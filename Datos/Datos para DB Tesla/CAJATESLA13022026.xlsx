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LA\Desktop\CAJATESLA\"/>
    </mc:Choice>
  </mc:AlternateContent>
  <xr:revisionPtr revIDLastSave="0" documentId="13_ncr:1_{29DF3AF9-A50E-4ED4-8962-DC6D2B8A533B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Hoja1" sheetId="1" r:id="rId1"/>
    <sheet name="Hoja2" sheetId="2" r:id="rId2"/>
    <sheet name="Hoja3" sheetId="3" r:id="rId3"/>
    <sheet name="Hoja4" sheetId="5" r:id="rId4"/>
  </sheets>
  <calcPr calcId="191029"/>
</workbook>
</file>

<file path=xl/calcChain.xml><?xml version="1.0" encoding="utf-8"?>
<calcChain xmlns="http://schemas.openxmlformats.org/spreadsheetml/2006/main">
  <c r="D14" i="3" l="1"/>
  <c r="D18" i="3" s="1"/>
  <c r="D16" i="3"/>
  <c r="D15" i="3"/>
  <c r="D24" i="1"/>
  <c r="D23" i="1"/>
  <c r="C10" i="5" l="1"/>
  <c r="C9" i="5"/>
  <c r="C8" i="5"/>
  <c r="C7" i="5"/>
  <c r="C6" i="5"/>
  <c r="C5" i="5"/>
  <c r="C4" i="5"/>
  <c r="K21" i="1" l="1"/>
  <c r="L7" i="2"/>
  <c r="E20" i="1"/>
  <c r="E19" i="1"/>
  <c r="C19" i="1"/>
  <c r="D18" i="1"/>
  <c r="D17" i="1"/>
  <c r="F6" i="2"/>
  <c r="E5" i="2"/>
  <c r="D16" i="1"/>
  <c r="D15" i="1" l="1"/>
  <c r="D14" i="1" l="1"/>
  <c r="C14" i="1"/>
  <c r="H3" i="2" l="1"/>
  <c r="D13" i="1"/>
  <c r="D11" i="1"/>
  <c r="C11" i="1"/>
  <c r="D10" i="1"/>
  <c r="D9" i="1" l="1"/>
  <c r="D8" i="1"/>
  <c r="C8" i="1"/>
  <c r="D7" i="1" l="1"/>
  <c r="D3" i="1" l="1"/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5" i="2"/>
  <c r="C66" i="5" l="1"/>
  <c r="D9" i="3" l="1"/>
  <c r="C17" i="5" l="1"/>
  <c r="K14" i="1" l="1"/>
  <c r="K3" i="1" l="1"/>
  <c r="K4" i="1"/>
  <c r="K5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N4" i="2" l="1"/>
  <c r="N2" i="2" l="1"/>
  <c r="D27" i="2"/>
  <c r="E27" i="2"/>
  <c r="N3" i="2" l="1"/>
  <c r="E30" i="1" l="1"/>
  <c r="K2" i="1" l="1"/>
  <c r="H30" i="1" l="1"/>
  <c r="I30" i="1"/>
  <c r="J30" i="1"/>
  <c r="G30" i="1"/>
  <c r="K30" i="1" l="1"/>
  <c r="D30" i="1" l="1"/>
  <c r="C30" i="1"/>
  <c r="F27" i="2" l="1"/>
  <c r="K27" i="2" l="1"/>
  <c r="F2" i="3" s="1"/>
  <c r="J27" i="2"/>
  <c r="H27" i="2"/>
  <c r="G27" i="2"/>
  <c r="D2" i="3" l="1"/>
  <c r="D11" i="3" s="1"/>
  <c r="E2" i="3" l="1"/>
  <c r="G2" i="3" s="1"/>
  <c r="N27" i="2"/>
  <c r="C2" i="3" s="1"/>
  <c r="L27" i="2"/>
</calcChain>
</file>

<file path=xl/sharedStrings.xml><?xml version="1.0" encoding="utf-8"?>
<sst xmlns="http://schemas.openxmlformats.org/spreadsheetml/2006/main" count="169" uniqueCount="129">
  <si>
    <t>EFECTIVO</t>
  </si>
  <si>
    <t>TRANSFERENCIA</t>
  </si>
  <si>
    <t>ECHEQS</t>
  </si>
  <si>
    <t>FECHA</t>
  </si>
  <si>
    <t>DETALLE</t>
  </si>
  <si>
    <t xml:space="preserve"> </t>
  </si>
  <si>
    <t>RETENCIONES</t>
  </si>
  <si>
    <t>TOTAL PAGADO</t>
  </si>
  <si>
    <t>CHEQUE</t>
  </si>
  <si>
    <t>NRO.REG.CHQ</t>
  </si>
  <si>
    <t>TOTAL SALIDAS</t>
  </si>
  <si>
    <t>NRO.FCT. O PRE.</t>
  </si>
  <si>
    <t>MANO OBRA S/IVA</t>
  </si>
  <si>
    <t>IVA</t>
  </si>
  <si>
    <t>CHEQUES</t>
  </si>
  <si>
    <t>NRO.REG.CHQ.</t>
  </si>
  <si>
    <t>TRANSFERENCIAS</t>
  </si>
  <si>
    <t>TOTAL RECIBIDO</t>
  </si>
  <si>
    <t>MATERIALES S/IVA</t>
  </si>
  <si>
    <t>IMPORTE</t>
  </si>
  <si>
    <t>SUB-TOTAL</t>
  </si>
  <si>
    <t>SALDO CAJA(TOTREC-TOTSAL)</t>
  </si>
  <si>
    <t>TOTAL</t>
  </si>
  <si>
    <t>TOTAL(EFVO+CHQS )</t>
  </si>
  <si>
    <t>ANDREA CAJA CHICA</t>
  </si>
  <si>
    <t>CAJA GRIS</t>
  </si>
  <si>
    <t>TOTAL EN CAJA</t>
  </si>
  <si>
    <t>DEP.BCO.PATAGONIA/SANTANDER</t>
  </si>
  <si>
    <t>BCO.PATAGONIA</t>
  </si>
  <si>
    <t>ECHEQ</t>
  </si>
  <si>
    <t>DIFERENCIA</t>
  </si>
  <si>
    <t>TES-LITA</t>
  </si>
  <si>
    <t>TESLA(BCO.PATAGONIA)</t>
  </si>
  <si>
    <t>TESLA-TESLITA</t>
  </si>
  <si>
    <t>DIF.SALDO BCO PATAGONIA</t>
  </si>
  <si>
    <t>A1142</t>
  </si>
  <si>
    <t>A1140</t>
  </si>
  <si>
    <t>A1146</t>
  </si>
  <si>
    <t>t106</t>
  </si>
  <si>
    <t>t107</t>
  </si>
  <si>
    <t>A1157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</si>
  <si>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</si>
  <si>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</si>
  <si>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</si>
  <si>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</si>
  <si>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</si>
  <si>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</si>
  <si>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</si>
  <si>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</si>
  <si>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A1156</t>
  </si>
  <si>
    <t>A1158</t>
  </si>
  <si>
    <t>A1159</t>
  </si>
  <si>
    <t>CANJE</t>
  </si>
  <si>
    <t>BANCO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</si>
  <si>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</si>
  <si>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</si>
  <si>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</si>
  <si>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</si>
  <si>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</si>
  <si>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</si>
  <si>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</si>
  <si>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</si>
  <si>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</si>
  <si>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</si>
  <si>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</si>
  <si>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</si>
  <si>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</si>
  <si>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</si>
  <si>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</si>
  <si>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</si>
  <si>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</si>
  <si>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</si>
  <si>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</si>
  <si>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MECANICO</t>
  </si>
  <si>
    <t>T109</t>
  </si>
  <si>
    <t>SALDO ANTERIOR(06/02/2026)</t>
  </si>
  <si>
    <t>A1179</t>
  </si>
  <si>
    <t>LOVERA</t>
  </si>
  <si>
    <t>PATAGONIA</t>
  </si>
  <si>
    <t>VILOSIO</t>
  </si>
  <si>
    <t>FERRET</t>
  </si>
  <si>
    <t>CORDOBA MOTOS</t>
  </si>
  <si>
    <t>SANTANDER</t>
  </si>
  <si>
    <t>A1180</t>
  </si>
  <si>
    <t>A1181</t>
  </si>
  <si>
    <t>INMOBILIARIA</t>
  </si>
  <si>
    <t>COMBUSTIBLE (AA261GG)</t>
  </si>
  <si>
    <t>FACU(IVA FCTS.01/2026)</t>
  </si>
  <si>
    <t>AMI-PLAST(CAJASP/ARCHIVO Y BOSAS)</t>
  </si>
  <si>
    <t>MODENA(EXPENSAS)</t>
  </si>
  <si>
    <t>COMBUSTIBLE (HDE722)</t>
  </si>
  <si>
    <t>NOBIS 02/2026 (GUIDO-MATI-CHACO-CORCHO-GERMAN-FACU)</t>
  </si>
  <si>
    <t>GUILLE 02/2026 (NOBIS)</t>
  </si>
  <si>
    <t>EPEC</t>
  </si>
  <si>
    <t>GUILLE (FASTA-LUZ CABAÑA)</t>
  </si>
  <si>
    <t>CELULAR (ABONO LINES 3564-573800)</t>
  </si>
  <si>
    <t>CAJA PREVISION</t>
  </si>
  <si>
    <t>CORDOBA MOTOS(REP.CHEQUE)</t>
  </si>
  <si>
    <t>A1183/2</t>
  </si>
  <si>
    <t>EFVO X BCO.PATAGONIA</t>
  </si>
  <si>
    <t>ADELANTOS (MATI-ANDREA)</t>
  </si>
  <si>
    <t>SUELDOS/VAC(JUANI-GUIDO-VIKY)</t>
  </si>
  <si>
    <t>PEAJE(AA261GG)ESC.DEVOTO</t>
  </si>
  <si>
    <t>PINGÜINO(GASTOS SUPER)</t>
  </si>
  <si>
    <t>ESPER</t>
  </si>
  <si>
    <t>A1184</t>
  </si>
  <si>
    <t>ANSELMI</t>
  </si>
  <si>
    <t>CREATIVA(PLANOS MAGNO)</t>
  </si>
  <si>
    <t>CAJA PREVISION(CERT.PIAZZA)</t>
  </si>
  <si>
    <t>EL NORTE</t>
  </si>
  <si>
    <t>TORNILLERIA SAN FRANCISCO</t>
  </si>
  <si>
    <t>MURIEL</t>
  </si>
  <si>
    <t>BCO.PATAGONIA(MURIEL) ECHEQS</t>
  </si>
  <si>
    <t>MURIEL(RETENCIONES)</t>
  </si>
  <si>
    <t xml:space="preserve"> 50*20000</t>
  </si>
  <si>
    <t>38*10000</t>
  </si>
  <si>
    <t>49*2000</t>
  </si>
  <si>
    <t>8*1000</t>
  </si>
  <si>
    <t>7*200</t>
  </si>
  <si>
    <t>25*100</t>
  </si>
  <si>
    <t>10*50</t>
  </si>
  <si>
    <t>ANDREA</t>
  </si>
  <si>
    <t>TESLA RETIRO(GUI-GERA)</t>
  </si>
  <si>
    <t>FACU (ADELANTO)</t>
  </si>
  <si>
    <t>CHEQUES TERCEROS-13/02/2026</t>
  </si>
  <si>
    <t>A1170/63/80</t>
  </si>
  <si>
    <t>TORNILLERIA</t>
  </si>
  <si>
    <t>A1182</t>
  </si>
  <si>
    <t>A1183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</si>
</sst>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1" fillId="0" borderId="1" xfId="0" applyNumberFormat="1" applyFont="1" applyBorder="1"/>
    <xf numFmtId="0" fontId="2" fillId="0" borderId="1" xfId="0" applyFont="1" applyBorder="1"/>
    <xf numFmtId="164" fontId="0" fillId="0" borderId="1" xfId="0" applyNumberFormat="1" applyFont="1" applyBorder="1"/>
    <xf numFmtId="0" fontId="0" fillId="0" borderId="0" xfId="0" applyFont="1"/>
    <xf numFmtId="16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3" fillId="0" borderId="0" xfId="0" applyNumberFormat="1" applyFont="1"/>
    <xf numFmtId="0" fontId="3" fillId="0" borderId="0" xfId="0" applyFont="1"/>
    <xf numFmtId="164" fontId="5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164" fontId="7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5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164" fontId="4" fillId="0" borderId="0" xfId="0" applyNumberFormat="1" applyFont="1"/>
    <xf numFmtId="0" fontId="6" fillId="0" borderId="1" xfId="0" applyFont="1" applyBorder="1" applyAlignment="1">
      <alignment horizontal="center" wrapText="1"/>
    </xf>
    <xf numFmtId="14" fontId="3" fillId="0" borderId="1" xfId="0" applyNumberFormat="1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wrapText="1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164" fontId="8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0" borderId="0" xfId="0" applyFont="1"/>
    <xf numFmtId="164" fontId="9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10" fillId="0" borderId="0" xfId="0" applyFont="1"/>
    <xf numFmtId="14" fontId="5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 applyAlignment="1">
      <alignment wrapText="1"/>
    </xf>
    <xf numFmtId="14" fontId="5" fillId="0" borderId="1" xfId="0" applyNumberFormat="1" applyFont="1" applyBorder="1"/>
    <xf numFmtId="164" fontId="7" fillId="0" borderId="1" xfId="0" applyNumberFormat="1" applyFont="1" applyBorder="1"/>
    <xf numFmtId="164" fontId="5" fillId="0" borderId="0" xfId="0" applyNumberFormat="1" applyFont="1"/>
    <xf numFmtId="164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/>
    <xf numFmtId="164" fontId="1" fillId="0" borderId="0" xfId="0" applyNumberFormat="1" applyFont="1"/>
    <xf numFmtId="0" fontId="11" fillId="0" borderId="0" xfId="0" applyFont="1"/>
    <xf numFmtId="164" fontId="11" fillId="0" borderId="0" xfId="0" applyNumberFormat="1" applyFont="1"/>
    <xf numFmtId="0" fontId="1" fillId="0" borderId="0" xfId="0" applyFont="1" applyAlignment="1">
      <alignment horizontal="center"/>
    </xf>
    <xf numFmtId="14" fontId="12" fillId="0" borderId="0" xfId="0" applyNumberFormat="1" applyFont="1"/>
    <xf numFmtId="0" fontId="3" fillId="0" borderId="1" xfId="0" applyFont="1" applyBorder="1" applyAlignment="1">
      <alignment horizontal="center" wrapText="1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right"/>
    </xf>
    <xf numFmtId="0" fontId="0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/>
    <xf numFmtId="0" fontId="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13" fillId="0" borderId="1" xfId="0" applyNumberFormat="1" applyFont="1" applyBorder="1"/>
    <xf numFmtId="0" fontId="6" fillId="0" borderId="1" xfId="0" applyFont="1" applyBorder="1" applyAlignment="1"/>
    <xf numFmtId="14" fontId="5" fillId="0" borderId="1" xfId="0" applyNumberFormat="1" applyFont="1" applyBorder="1" applyAlignment="1"/>
    <xf numFmtId="0" fontId="0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Fill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view="pageLayout" topLeftCell="A13" zoomScaleNormal="110" workbookViewId="0">
      <selection activeCell="F20" sqref="F20"/>
    </sheetView>
  </sheetViews>
  <sheetFormatPr baseColWidth="10" defaultRowHeight="14.5" x14ac:dyDescent="0.35"/>
  <cols>
    <col min="1" max="1" width="9.54296875" style="32" customWidth="1"/>
    <col min="2" max="2" width="12.6328125" style="41" customWidth="1"/>
    <col min="3" max="3" width="13.54296875" style="13" customWidth="1"/>
    <col min="4" max="4" width="13" style="47" customWidth="1"/>
    <col min="5" max="5" width="12.7265625" style="47" customWidth="1"/>
    <col min="6" max="6" width="6.90625" style="13" customWidth="1"/>
    <col min="7" max="7" width="12" style="22" customWidth="1"/>
    <col min="8" max="8" width="10.453125" style="13" customWidth="1"/>
    <col min="9" max="10" width="10.90625" style="13"/>
    <col min="11" max="11" width="13.54296875" style="47" customWidth="1"/>
  </cols>
  <sheetData>
    <row r="1" spans="1:11" s="1" customFormat="1" ht="32.5" x14ac:dyDescent="0.35">
      <c r="A1" s="31" t="s">
        <v>3</v>
      </c>
      <c r="B1" s="31" t="s">
        <v>4</v>
      </c>
      <c r="C1" s="15" t="s">
        <v>7</v>
      </c>
      <c r="D1" s="16" t="s">
        <v>0</v>
      </c>
      <c r="E1" s="27" t="s">
        <v>8</v>
      </c>
      <c r="F1" s="15" t="s">
        <v>9</v>
      </c>
      <c r="G1" s="17" t="s">
        <v>1</v>
      </c>
      <c r="H1" s="26" t="s">
        <v>2</v>
      </c>
      <c r="I1" s="26" t="s">
        <v>6</v>
      </c>
      <c r="J1" s="27" t="s">
        <v>27</v>
      </c>
      <c r="K1" s="15" t="s">
        <v>10</v>
      </c>
    </row>
    <row r="2" spans="1:11" ht="30" customHeight="1" x14ac:dyDescent="0.35">
      <c r="A2" s="19">
        <v>46062</v>
      </c>
      <c r="B2" s="43" t="s">
        <v>86</v>
      </c>
      <c r="C2" s="10">
        <v>50000</v>
      </c>
      <c r="D2" s="26">
        <v>50000</v>
      </c>
      <c r="E2" s="26"/>
      <c r="F2" s="33"/>
      <c r="G2" s="35"/>
      <c r="H2" s="26"/>
      <c r="I2" s="10"/>
      <c r="J2" s="10"/>
      <c r="K2" s="26">
        <f>+D2+E2+G2+H2+I2+J2</f>
        <v>50000</v>
      </c>
    </row>
    <row r="3" spans="1:11" ht="30" customHeight="1" x14ac:dyDescent="0.35">
      <c r="A3" s="19">
        <v>46183</v>
      </c>
      <c r="B3" s="43" t="s">
        <v>87</v>
      </c>
      <c r="C3" s="10">
        <v>114000</v>
      </c>
      <c r="D3" s="26">
        <f>+C3</f>
        <v>114000</v>
      </c>
      <c r="E3" s="26"/>
      <c r="F3" s="33"/>
      <c r="G3" s="35"/>
      <c r="H3" s="10"/>
      <c r="I3" s="10"/>
      <c r="J3" s="10"/>
      <c r="K3" s="26">
        <f t="shared" ref="K3:K21" si="0">+D3+E3+G3+H3+I3+J3</f>
        <v>114000</v>
      </c>
    </row>
    <row r="4" spans="1:11" ht="30" customHeight="1" x14ac:dyDescent="0.35">
      <c r="A4" s="19"/>
      <c r="B4" s="44" t="s">
        <v>88</v>
      </c>
      <c r="C4" s="10">
        <v>26400</v>
      </c>
      <c r="D4" s="26">
        <v>26400</v>
      </c>
      <c r="E4" s="26"/>
      <c r="F4" s="33"/>
      <c r="G4" s="25"/>
      <c r="H4" s="10"/>
      <c r="I4" s="10"/>
      <c r="J4" s="10"/>
      <c r="K4" s="26">
        <f t="shared" si="0"/>
        <v>26400</v>
      </c>
    </row>
    <row r="5" spans="1:11" ht="28.5" customHeight="1" x14ac:dyDescent="0.35">
      <c r="A5" s="19"/>
      <c r="B5" s="44" t="s">
        <v>89</v>
      </c>
      <c r="C5" s="10">
        <v>40000</v>
      </c>
      <c r="D5" s="26">
        <v>40000</v>
      </c>
      <c r="E5" s="26"/>
      <c r="F5" s="33"/>
      <c r="G5" s="25"/>
      <c r="H5" s="10"/>
      <c r="I5" s="10"/>
      <c r="J5" s="10"/>
      <c r="K5" s="26">
        <f t="shared" si="0"/>
        <v>40000</v>
      </c>
    </row>
    <row r="6" spans="1:11" ht="30" customHeight="1" x14ac:dyDescent="0.35">
      <c r="A6" s="19"/>
      <c r="B6" s="44" t="s">
        <v>90</v>
      </c>
      <c r="C6" s="10">
        <v>40000</v>
      </c>
      <c r="D6" s="26">
        <v>40000</v>
      </c>
      <c r="E6" s="26"/>
      <c r="F6" s="33"/>
      <c r="G6" s="25"/>
      <c r="H6" s="10"/>
      <c r="I6" s="10"/>
      <c r="J6" s="10"/>
      <c r="K6" s="26">
        <f t="shared" si="0"/>
        <v>40000</v>
      </c>
    </row>
    <row r="7" spans="1:11" ht="30" customHeight="1" x14ac:dyDescent="0.35">
      <c r="A7" s="19">
        <v>46064</v>
      </c>
      <c r="B7" s="44" t="s">
        <v>102</v>
      </c>
      <c r="C7" s="10">
        <v>5200</v>
      </c>
      <c r="D7" s="26">
        <f>+C7</f>
        <v>5200</v>
      </c>
      <c r="E7" s="26"/>
      <c r="F7" s="33"/>
      <c r="G7" s="25"/>
      <c r="H7" s="10"/>
      <c r="I7" s="10"/>
      <c r="J7" s="10"/>
      <c r="K7" s="26">
        <f t="shared" si="0"/>
        <v>5200</v>
      </c>
    </row>
    <row r="8" spans="1:11" ht="30.5" customHeight="1" x14ac:dyDescent="0.35">
      <c r="A8" s="19"/>
      <c r="B8" s="44" t="s">
        <v>91</v>
      </c>
      <c r="C8" s="10">
        <f>84661+43750+32913+32913+52569+7614</f>
        <v>254420</v>
      </c>
      <c r="D8" s="26">
        <f>+C8</f>
        <v>254420</v>
      </c>
      <c r="E8" s="26"/>
      <c r="F8" s="33"/>
      <c r="G8" s="25"/>
      <c r="H8" s="10"/>
      <c r="I8" s="10"/>
      <c r="J8" s="10"/>
      <c r="K8" s="26">
        <f t="shared" si="0"/>
        <v>254420</v>
      </c>
    </row>
    <row r="9" spans="1:11" ht="29" customHeight="1" x14ac:dyDescent="0.35">
      <c r="A9" s="19"/>
      <c r="B9" s="44" t="s">
        <v>92</v>
      </c>
      <c r="C9" s="10">
        <v>250228</v>
      </c>
      <c r="D9" s="26">
        <f>+C9</f>
        <v>250228</v>
      </c>
      <c r="E9" s="26"/>
      <c r="F9" s="10"/>
      <c r="G9" s="25"/>
      <c r="H9" s="10"/>
      <c r="I9" s="10"/>
      <c r="J9" s="10"/>
      <c r="K9" s="26">
        <f t="shared" si="0"/>
        <v>250228</v>
      </c>
    </row>
    <row r="10" spans="1:11" ht="28" customHeight="1" x14ac:dyDescent="0.35">
      <c r="A10" s="19"/>
      <c r="B10" s="66" t="s">
        <v>93</v>
      </c>
      <c r="C10" s="10">
        <v>116080</v>
      </c>
      <c r="D10" s="26">
        <f>+C10</f>
        <v>116080</v>
      </c>
      <c r="E10" s="26"/>
      <c r="F10" s="48"/>
      <c r="G10" s="25"/>
      <c r="H10" s="10"/>
      <c r="I10" s="10"/>
      <c r="J10" s="10"/>
      <c r="K10" s="26">
        <f t="shared" si="0"/>
        <v>116080</v>
      </c>
    </row>
    <row r="11" spans="1:11" ht="28.5" customHeight="1" x14ac:dyDescent="0.35">
      <c r="A11" s="19"/>
      <c r="B11" s="44" t="s">
        <v>94</v>
      </c>
      <c r="C11" s="10">
        <f>27360.82+197642+2000</f>
        <v>227002.82</v>
      </c>
      <c r="D11" s="26">
        <f>+C11</f>
        <v>227002.82</v>
      </c>
      <c r="E11" s="26"/>
      <c r="F11" s="33"/>
      <c r="G11" s="10"/>
      <c r="H11" s="26"/>
      <c r="I11" s="10"/>
      <c r="J11" s="10"/>
      <c r="K11" s="26">
        <f t="shared" si="0"/>
        <v>227002.82</v>
      </c>
    </row>
    <row r="12" spans="1:11" s="9" customFormat="1" ht="28" customHeight="1" x14ac:dyDescent="0.35">
      <c r="A12" s="19"/>
      <c r="B12" s="44" t="s">
        <v>95</v>
      </c>
      <c r="C12" s="26">
        <v>18740</v>
      </c>
      <c r="D12" s="26">
        <v>18740</v>
      </c>
      <c r="E12" s="26"/>
      <c r="F12" s="33"/>
      <c r="G12" s="68"/>
      <c r="H12" s="10"/>
      <c r="I12" s="10"/>
      <c r="J12" s="10"/>
      <c r="K12" s="26">
        <f t="shared" si="0"/>
        <v>18740</v>
      </c>
    </row>
    <row r="13" spans="1:11" s="9" customFormat="1" ht="28" customHeight="1" x14ac:dyDescent="0.35">
      <c r="A13" s="19"/>
      <c r="B13" s="44" t="s">
        <v>96</v>
      </c>
      <c r="C13" s="10">
        <v>80533</v>
      </c>
      <c r="D13" s="26">
        <f t="shared" ref="D13:D18" si="1">+C13</f>
        <v>80533</v>
      </c>
      <c r="E13" s="26"/>
      <c r="F13" s="33"/>
      <c r="G13" s="10"/>
      <c r="H13" s="10"/>
      <c r="I13" s="10"/>
      <c r="J13" s="10"/>
      <c r="K13" s="26">
        <f t="shared" si="0"/>
        <v>80533</v>
      </c>
    </row>
    <row r="14" spans="1:11" s="9" customFormat="1" ht="28" customHeight="1" x14ac:dyDescent="0.35">
      <c r="A14" s="19">
        <v>46066</v>
      </c>
      <c r="B14" s="44" t="s">
        <v>100</v>
      </c>
      <c r="C14" s="10">
        <f>200000+300000</f>
        <v>500000</v>
      </c>
      <c r="D14" s="26">
        <f t="shared" si="1"/>
        <v>500000</v>
      </c>
      <c r="E14" s="26"/>
      <c r="F14" s="48"/>
      <c r="G14" s="25"/>
      <c r="H14" s="26"/>
      <c r="I14" s="10"/>
      <c r="J14" s="10"/>
      <c r="K14" s="26">
        <f t="shared" si="0"/>
        <v>500000</v>
      </c>
    </row>
    <row r="15" spans="1:11" s="9" customFormat="1" ht="28" customHeight="1" x14ac:dyDescent="0.35">
      <c r="A15" s="19"/>
      <c r="B15" s="44" t="s">
        <v>101</v>
      </c>
      <c r="C15" s="10">
        <v>1290000</v>
      </c>
      <c r="D15" s="26">
        <f t="shared" si="1"/>
        <v>1290000</v>
      </c>
      <c r="E15" s="26"/>
      <c r="F15" s="33"/>
      <c r="G15" s="25"/>
      <c r="H15" s="10"/>
      <c r="I15" s="10"/>
      <c r="J15" s="10"/>
      <c r="K15" s="26">
        <f t="shared" si="0"/>
        <v>1290000</v>
      </c>
    </row>
    <row r="16" spans="1:11" s="9" customFormat="1" ht="28" customHeight="1" x14ac:dyDescent="0.35">
      <c r="A16" s="19"/>
      <c r="B16" s="44" t="s">
        <v>103</v>
      </c>
      <c r="C16" s="26">
        <v>41450</v>
      </c>
      <c r="D16" s="26">
        <f t="shared" si="1"/>
        <v>41450</v>
      </c>
      <c r="E16" s="26"/>
      <c r="F16" s="33"/>
      <c r="G16" s="10"/>
      <c r="H16" s="10"/>
      <c r="I16" s="10"/>
      <c r="J16" s="56"/>
      <c r="K16" s="26">
        <f t="shared" si="0"/>
        <v>41450</v>
      </c>
    </row>
    <row r="17" spans="1:11" s="9" customFormat="1" ht="28" customHeight="1" x14ac:dyDescent="0.35">
      <c r="A17" s="19"/>
      <c r="B17" s="44" t="s">
        <v>107</v>
      </c>
      <c r="C17" s="69">
        <v>31300</v>
      </c>
      <c r="D17" s="26">
        <f t="shared" si="1"/>
        <v>31300</v>
      </c>
      <c r="E17" s="26"/>
      <c r="F17" s="33"/>
      <c r="G17" s="17"/>
      <c r="H17" s="10"/>
      <c r="I17" s="10"/>
      <c r="J17" s="10"/>
      <c r="K17" s="26">
        <f t="shared" si="0"/>
        <v>31300</v>
      </c>
    </row>
    <row r="18" spans="1:11" s="9" customFormat="1" ht="28" customHeight="1" x14ac:dyDescent="0.35">
      <c r="A18" s="19"/>
      <c r="B18" s="44" t="s">
        <v>108</v>
      </c>
      <c r="C18" s="10">
        <v>25536</v>
      </c>
      <c r="D18" s="26">
        <f t="shared" si="1"/>
        <v>25536</v>
      </c>
      <c r="E18" s="26"/>
      <c r="F18" s="60"/>
      <c r="G18" s="25"/>
      <c r="H18" s="10"/>
      <c r="I18" s="10"/>
      <c r="J18" s="10"/>
      <c r="K18" s="26">
        <f t="shared" si="0"/>
        <v>25536</v>
      </c>
    </row>
    <row r="19" spans="1:11" s="9" customFormat="1" ht="28" customHeight="1" x14ac:dyDescent="0.35">
      <c r="A19" s="19"/>
      <c r="B19" s="44" t="s">
        <v>109</v>
      </c>
      <c r="C19" s="10">
        <f>200000+97000+325000+33500</f>
        <v>655500</v>
      </c>
      <c r="D19" s="26">
        <v>33500</v>
      </c>
      <c r="E19" s="26">
        <f>200000+97000+325000</f>
        <v>622000</v>
      </c>
      <c r="F19" s="33" t="s">
        <v>125</v>
      </c>
      <c r="G19" s="25"/>
      <c r="H19" s="10"/>
      <c r="I19" s="10"/>
      <c r="J19" s="10"/>
      <c r="K19" s="26">
        <f t="shared" si="0"/>
        <v>655500</v>
      </c>
    </row>
    <row r="20" spans="1:11" s="9" customFormat="1" ht="28" customHeight="1" x14ac:dyDescent="0.35">
      <c r="A20" s="19"/>
      <c r="B20" s="30" t="s">
        <v>110</v>
      </c>
      <c r="C20" s="10">
        <v>167463.32999999999</v>
      </c>
      <c r="D20" s="26"/>
      <c r="E20" s="26">
        <f>+C20</f>
        <v>167463.32999999999</v>
      </c>
      <c r="F20" s="10" t="s">
        <v>49</v>
      </c>
      <c r="G20" s="25"/>
      <c r="H20" s="10"/>
      <c r="I20" s="10"/>
      <c r="J20" s="10"/>
      <c r="K20" s="26">
        <f t="shared" si="0"/>
        <v>167463.32999999999</v>
      </c>
    </row>
    <row r="21" spans="1:11" s="9" customFormat="1" ht="28" customHeight="1" x14ac:dyDescent="0.35">
      <c r="A21" s="19"/>
      <c r="B21" s="30" t="s">
        <v>112</v>
      </c>
      <c r="C21" s="10"/>
      <c r="D21" s="26"/>
      <c r="E21" s="26"/>
      <c r="F21" s="10"/>
      <c r="G21" s="25"/>
      <c r="H21" s="10">
        <v>15933025.940000001</v>
      </c>
      <c r="I21" s="10"/>
      <c r="J21" s="10"/>
      <c r="K21" s="26">
        <f t="shared" si="0"/>
        <v>15933025.940000001</v>
      </c>
    </row>
    <row r="22" spans="1:11" s="9" customFormat="1" ht="28" customHeight="1" x14ac:dyDescent="0.35">
      <c r="A22" s="19"/>
      <c r="B22" s="44" t="s">
        <v>113</v>
      </c>
      <c r="C22" s="10"/>
      <c r="D22" s="26"/>
      <c r="E22" s="26"/>
      <c r="F22" s="33"/>
      <c r="G22" s="25"/>
      <c r="H22" s="10"/>
      <c r="I22" s="10">
        <v>263226.65000000002</v>
      </c>
      <c r="J22" s="10"/>
      <c r="K22" s="26">
        <f t="shared" ref="K22:K29" si="2">+D22+E22+G22+I22+J22</f>
        <v>263226.65000000002</v>
      </c>
    </row>
    <row r="23" spans="1:11" s="9" customFormat="1" ht="28" customHeight="1" x14ac:dyDescent="0.35">
      <c r="A23" s="19"/>
      <c r="B23" s="44" t="s">
        <v>122</v>
      </c>
      <c r="C23" s="10">
        <v>4000000</v>
      </c>
      <c r="D23" s="26">
        <f>+C23</f>
        <v>4000000</v>
      </c>
      <c r="E23" s="26"/>
      <c r="F23" s="33"/>
      <c r="G23" s="25"/>
      <c r="H23" s="10"/>
      <c r="I23" s="10"/>
      <c r="J23" s="10"/>
      <c r="K23" s="26">
        <f t="shared" si="2"/>
        <v>4000000</v>
      </c>
    </row>
    <row r="24" spans="1:11" s="9" customFormat="1" ht="28" customHeight="1" x14ac:dyDescent="0.35">
      <c r="A24" s="19"/>
      <c r="B24" s="30" t="s">
        <v>123</v>
      </c>
      <c r="C24" s="10">
        <v>2000000</v>
      </c>
      <c r="D24" s="26">
        <f>+C24</f>
        <v>2000000</v>
      </c>
      <c r="E24" s="26"/>
      <c r="F24" s="12"/>
      <c r="G24" s="25"/>
      <c r="H24" s="10"/>
      <c r="I24" s="10"/>
      <c r="J24" s="10"/>
      <c r="K24" s="26">
        <f t="shared" si="2"/>
        <v>2000000</v>
      </c>
    </row>
    <row r="25" spans="1:11" s="9" customFormat="1" ht="28" customHeight="1" x14ac:dyDescent="0.35">
      <c r="A25" s="7"/>
      <c r="B25" s="30"/>
      <c r="C25" s="10"/>
      <c r="D25" s="26"/>
      <c r="E25" s="26"/>
      <c r="F25" s="10"/>
      <c r="G25" s="25"/>
      <c r="H25" s="10"/>
      <c r="I25" s="10"/>
      <c r="J25" s="10"/>
      <c r="K25" s="26">
        <f t="shared" si="2"/>
        <v>0</v>
      </c>
    </row>
    <row r="26" spans="1:11" s="9" customFormat="1" ht="28" customHeight="1" x14ac:dyDescent="0.35">
      <c r="A26" s="19"/>
      <c r="B26" s="44"/>
      <c r="C26" s="10"/>
      <c r="D26" s="26"/>
      <c r="E26" s="26"/>
      <c r="F26" s="10"/>
      <c r="G26" s="25"/>
      <c r="H26" s="10"/>
      <c r="I26" s="10"/>
      <c r="J26" s="10"/>
      <c r="K26" s="26">
        <f t="shared" si="2"/>
        <v>0</v>
      </c>
    </row>
    <row r="27" spans="1:11" s="9" customFormat="1" ht="28" customHeight="1" x14ac:dyDescent="0.35">
      <c r="A27" s="19"/>
      <c r="B27" s="44"/>
      <c r="C27" s="10"/>
      <c r="D27" s="26"/>
      <c r="E27" s="26"/>
      <c r="F27" s="10"/>
      <c r="G27" s="25"/>
      <c r="H27" s="10"/>
      <c r="I27" s="10"/>
      <c r="J27" s="10"/>
      <c r="K27" s="26">
        <f t="shared" si="2"/>
        <v>0</v>
      </c>
    </row>
    <row r="28" spans="1:11" s="9" customFormat="1" ht="28" customHeight="1" x14ac:dyDescent="0.35">
      <c r="A28" s="19"/>
      <c r="B28" s="44"/>
      <c r="C28" s="10"/>
      <c r="D28" s="26"/>
      <c r="E28" s="26"/>
      <c r="F28" s="10"/>
      <c r="G28" s="25"/>
      <c r="H28" s="10"/>
      <c r="I28" s="10"/>
      <c r="J28" s="10"/>
      <c r="K28" s="26">
        <f t="shared" si="2"/>
        <v>0</v>
      </c>
    </row>
    <row r="29" spans="1:11" s="9" customFormat="1" ht="28" customHeight="1" x14ac:dyDescent="0.35">
      <c r="A29" s="19"/>
      <c r="B29" s="45"/>
      <c r="C29" s="10"/>
      <c r="D29" s="26"/>
      <c r="E29" s="26"/>
      <c r="F29" s="10"/>
      <c r="G29" s="25"/>
      <c r="H29" s="10"/>
      <c r="I29" s="10"/>
      <c r="J29" s="10"/>
      <c r="K29" s="26">
        <f t="shared" si="2"/>
        <v>0</v>
      </c>
    </row>
    <row r="30" spans="1:11" s="9" customFormat="1" ht="28" customHeight="1" x14ac:dyDescent="0.35">
      <c r="A30" s="7" t="s">
        <v>20</v>
      </c>
      <c r="B30" s="40"/>
      <c r="C30" s="10">
        <f>SUM(C2:C29)</f>
        <v>9933853.1500000004</v>
      </c>
      <c r="D30" s="46">
        <f>SUM(D2:D29)</f>
        <v>9144389.8200000003</v>
      </c>
      <c r="E30" s="26">
        <f>SUM(E2:E29)</f>
        <v>789463.33</v>
      </c>
      <c r="F30" s="10"/>
      <c r="G30" s="25">
        <f>SUM(G2:G29)</f>
        <v>0</v>
      </c>
      <c r="H30" s="25">
        <f t="shared" ref="H30:J30" si="3">SUM(H2:H29)</f>
        <v>15933025.940000001</v>
      </c>
      <c r="I30" s="25">
        <f t="shared" si="3"/>
        <v>263226.65000000002</v>
      </c>
      <c r="J30" s="10">
        <f t="shared" si="3"/>
        <v>0</v>
      </c>
      <c r="K30" s="26">
        <f>SUM(K2:K29)</f>
        <v>26130105.740000002</v>
      </c>
    </row>
  </sheetData>
  <pageMargins left="0.12222222222222222" right="0.29791666666666666" top="0.75" bottom="0.75" header="0.3" footer="0.3"/>
  <pageSetup scale="79" orientation="portrait" horizontalDpi="300" verticalDpi="300" r:id="rId1"/>
  <headerFooter>
    <oddHeader>&amp;C&amp;"-,Negrita Cursiva"&amp;26CAJA TESLA EGRESOS (SALIDAS)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7"/>
  <sheetViews>
    <sheetView tabSelected="1" showWhiteSpace="0" view="pageLayout" zoomScaleNormal="100" workbookViewId="0">
      <selection activeCell="E9" sqref="E9"/>
    </sheetView>
  </sheetViews>
  <sheetFormatPr baseColWidth="10" defaultRowHeight="14.5" x14ac:dyDescent="0.35"/>
  <cols>
    <col min="1" max="1" width="7.81640625" style="14" customWidth="1"/>
    <col min="2" max="2" width="13.6328125" style="38" customWidth="1"/>
    <col min="3" max="3" width="5.26953125" style="14" customWidth="1"/>
    <col min="4" max="4" width="13.81640625" style="5" bestFit="1" customWidth="1"/>
    <col min="5" max="5" width="12" style="22" customWidth="1"/>
    <col min="6" max="6" width="9.54296875" style="13" customWidth="1"/>
    <col min="7" max="7" width="10.36328125" style="47" customWidth="1"/>
    <col min="8" max="8" width="12.1796875" style="13" customWidth="1"/>
    <col min="9" max="9" width="5.36328125" style="14" customWidth="1"/>
    <col min="10" max="10" width="11.453125" style="13" customWidth="1"/>
    <col min="11" max="11" width="10.08984375" style="13" customWidth="1"/>
    <col min="12" max="12" width="10.08984375" style="47" customWidth="1"/>
    <col min="13" max="13" width="9.54296875" style="13" customWidth="1"/>
    <col min="14" max="14" width="13.6328125" style="47" customWidth="1"/>
  </cols>
  <sheetData>
    <row r="1" spans="1:14" s="21" customFormat="1" ht="32.5" x14ac:dyDescent="0.35">
      <c r="A1" s="20" t="s">
        <v>3</v>
      </c>
      <c r="B1" s="23" t="s">
        <v>4</v>
      </c>
      <c r="C1" s="20" t="s">
        <v>11</v>
      </c>
      <c r="D1" s="18" t="s">
        <v>18</v>
      </c>
      <c r="E1" s="34" t="s">
        <v>12</v>
      </c>
      <c r="F1" s="15" t="s">
        <v>13</v>
      </c>
      <c r="G1" s="15" t="s">
        <v>0</v>
      </c>
      <c r="H1" s="15" t="s">
        <v>14</v>
      </c>
      <c r="I1" s="30" t="s">
        <v>15</v>
      </c>
      <c r="J1" s="27" t="s">
        <v>6</v>
      </c>
      <c r="K1" s="49" t="s">
        <v>16</v>
      </c>
      <c r="L1" s="15" t="s">
        <v>2</v>
      </c>
      <c r="M1" s="15"/>
      <c r="N1" s="15" t="s">
        <v>17</v>
      </c>
    </row>
    <row r="2" spans="1:14" ht="32.5" x14ac:dyDescent="0.35">
      <c r="A2" s="24"/>
      <c r="B2" s="30" t="s">
        <v>75</v>
      </c>
      <c r="C2" s="11"/>
      <c r="D2" s="4"/>
      <c r="E2" s="25"/>
      <c r="F2" s="10"/>
      <c r="G2" s="26">
        <v>3356000</v>
      </c>
      <c r="H2" s="26">
        <v>7837098.8799999999</v>
      </c>
      <c r="I2" s="11"/>
      <c r="J2" s="10"/>
      <c r="K2" s="10"/>
      <c r="L2" s="26"/>
      <c r="M2" s="10"/>
      <c r="N2" s="26">
        <f>+G2+H2</f>
        <v>11193098.879999999</v>
      </c>
    </row>
    <row r="3" spans="1:14" ht="32.5" x14ac:dyDescent="0.35">
      <c r="A3" s="24">
        <v>46064</v>
      </c>
      <c r="B3" s="30" t="s">
        <v>97</v>
      </c>
      <c r="C3" s="12"/>
      <c r="D3" s="4"/>
      <c r="E3" s="25"/>
      <c r="F3" s="10"/>
      <c r="G3" s="26"/>
      <c r="H3" s="10">
        <f>200000+300000</f>
        <v>500000</v>
      </c>
      <c r="I3" s="55" t="s">
        <v>98</v>
      </c>
      <c r="J3" s="10"/>
      <c r="K3" s="10"/>
      <c r="L3" s="26"/>
      <c r="M3" s="10"/>
      <c r="N3" s="26">
        <f t="shared" ref="N3:N26" si="0">+G3+H3+J3+K3+L3</f>
        <v>500000</v>
      </c>
    </row>
    <row r="4" spans="1:14" ht="22" x14ac:dyDescent="0.35">
      <c r="A4" s="24">
        <v>46065</v>
      </c>
      <c r="B4" s="30" t="s">
        <v>99</v>
      </c>
      <c r="C4" s="12"/>
      <c r="D4" s="4"/>
      <c r="E4" s="25"/>
      <c r="F4" s="10"/>
      <c r="G4" s="26">
        <v>7000000</v>
      </c>
      <c r="H4" s="10"/>
      <c r="I4" s="12"/>
      <c r="J4" s="10"/>
      <c r="K4" s="10"/>
      <c r="L4" s="26"/>
      <c r="M4" s="10"/>
      <c r="N4" s="26">
        <f t="shared" si="0"/>
        <v>7000000</v>
      </c>
    </row>
    <row r="5" spans="1:14" s="42" customFormat="1" x14ac:dyDescent="0.35">
      <c r="A5" s="24"/>
      <c r="B5" s="30" t="s">
        <v>104</v>
      </c>
      <c r="C5" s="12"/>
      <c r="D5" s="8"/>
      <c r="E5" s="25">
        <f>618140+5000</f>
        <v>623140</v>
      </c>
      <c r="F5" s="10"/>
      <c r="G5" s="26">
        <v>5000</v>
      </c>
      <c r="H5" s="10">
        <v>618140</v>
      </c>
      <c r="I5" s="12" t="s">
        <v>105</v>
      </c>
      <c r="J5" s="64"/>
      <c r="K5" s="64"/>
      <c r="L5" s="26"/>
      <c r="M5" s="39"/>
      <c r="N5" s="26">
        <f t="shared" si="0"/>
        <v>623140</v>
      </c>
    </row>
    <row r="6" spans="1:14" x14ac:dyDescent="0.35">
      <c r="A6" s="24"/>
      <c r="B6" s="36" t="s">
        <v>106</v>
      </c>
      <c r="C6" s="11">
        <v>911</v>
      </c>
      <c r="D6" s="4"/>
      <c r="E6" s="22">
        <v>250000</v>
      </c>
      <c r="F6" s="10">
        <f>+E6*0.21</f>
        <v>52500</v>
      </c>
      <c r="G6" s="26">
        <v>302500</v>
      </c>
      <c r="J6" s="10"/>
      <c r="K6" s="10"/>
      <c r="L6" s="26"/>
      <c r="M6" s="10"/>
      <c r="N6" s="26">
        <f t="shared" si="0"/>
        <v>302500</v>
      </c>
    </row>
    <row r="7" spans="1:14" x14ac:dyDescent="0.35">
      <c r="A7" s="24"/>
      <c r="B7" s="30" t="s">
        <v>111</v>
      </c>
      <c r="C7" s="11"/>
      <c r="D7" s="4"/>
      <c r="E7" s="25"/>
      <c r="F7" s="10"/>
      <c r="G7" s="26"/>
      <c r="H7" s="10"/>
      <c r="I7" s="12"/>
      <c r="J7" s="10">
        <v>263226.65000000002</v>
      </c>
      <c r="K7" s="10"/>
      <c r="L7" s="26">
        <f>5300000+5300000+5333025.94</f>
        <v>15933025.940000001</v>
      </c>
      <c r="M7" s="10"/>
      <c r="N7" s="26">
        <f t="shared" si="0"/>
        <v>16196252.590000002</v>
      </c>
    </row>
    <row r="8" spans="1:14" x14ac:dyDescent="0.35">
      <c r="A8" s="24"/>
      <c r="B8" s="65"/>
      <c r="C8" s="12"/>
      <c r="D8" s="4"/>
      <c r="E8" s="25"/>
      <c r="F8" s="10"/>
      <c r="G8" s="26"/>
      <c r="H8" s="10"/>
      <c r="I8" s="12"/>
      <c r="J8" s="10"/>
      <c r="K8" s="10"/>
      <c r="L8" s="26"/>
      <c r="M8" s="10"/>
      <c r="N8" s="26">
        <f t="shared" si="0"/>
        <v>0</v>
      </c>
    </row>
    <row r="9" spans="1:14" x14ac:dyDescent="0.35">
      <c r="A9" s="24"/>
      <c r="B9" s="36"/>
      <c r="C9" s="12"/>
      <c r="D9" s="4"/>
      <c r="E9" s="25"/>
      <c r="F9" s="10"/>
      <c r="G9" s="26"/>
      <c r="H9" s="10"/>
      <c r="I9" s="12"/>
      <c r="J9" s="10"/>
      <c r="K9" s="10"/>
      <c r="L9" s="26"/>
      <c r="M9" s="10"/>
      <c r="N9" s="26">
        <f t="shared" si="0"/>
        <v>0</v>
      </c>
    </row>
    <row r="10" spans="1:14" x14ac:dyDescent="0.35">
      <c r="A10" s="24"/>
      <c r="B10" s="30"/>
      <c r="C10" s="12"/>
      <c r="D10" s="4"/>
      <c r="E10" s="25"/>
      <c r="F10" s="10"/>
      <c r="G10" s="26"/>
      <c r="H10" s="10"/>
      <c r="I10" s="12"/>
      <c r="J10" s="10"/>
      <c r="K10" s="10"/>
      <c r="L10" s="26"/>
      <c r="M10" s="10"/>
      <c r="N10" s="26">
        <f t="shared" si="0"/>
        <v>0</v>
      </c>
    </row>
    <row r="11" spans="1:14" x14ac:dyDescent="0.35">
      <c r="A11" s="24"/>
      <c r="B11" s="30"/>
      <c r="C11" s="12"/>
      <c r="D11" s="4"/>
      <c r="E11" s="25"/>
      <c r="F11" s="10"/>
      <c r="G11" s="26"/>
      <c r="H11" s="10"/>
      <c r="I11" s="12"/>
      <c r="J11" s="10"/>
      <c r="K11" s="10"/>
      <c r="L11" s="26"/>
      <c r="M11" s="10"/>
      <c r="N11" s="26">
        <f t="shared" si="0"/>
        <v>0</v>
      </c>
    </row>
    <row r="12" spans="1:14" x14ac:dyDescent="0.35">
      <c r="A12" s="24"/>
      <c r="B12" s="30"/>
      <c r="C12" s="12"/>
      <c r="D12" s="4"/>
      <c r="E12" s="25"/>
      <c r="F12" s="10"/>
      <c r="G12" s="26"/>
      <c r="H12" s="10"/>
      <c r="I12" s="12"/>
      <c r="J12" s="10"/>
      <c r="K12" s="10"/>
      <c r="L12" s="26"/>
      <c r="M12" s="10"/>
      <c r="N12" s="26">
        <f t="shared" si="0"/>
        <v>0</v>
      </c>
    </row>
    <row r="13" spans="1:14" x14ac:dyDescent="0.35">
      <c r="A13" s="24"/>
      <c r="B13" s="36"/>
      <c r="C13" s="11"/>
      <c r="D13" s="4"/>
      <c r="E13" s="25"/>
      <c r="F13" s="10"/>
      <c r="G13" s="26"/>
      <c r="H13" s="10"/>
      <c r="I13" s="12"/>
      <c r="J13" s="10"/>
      <c r="K13" s="10"/>
      <c r="L13" s="26"/>
      <c r="M13" s="10"/>
      <c r="N13" s="26">
        <f t="shared" si="0"/>
        <v>0</v>
      </c>
    </row>
    <row r="14" spans="1:14" x14ac:dyDescent="0.35">
      <c r="A14" s="24"/>
      <c r="B14" s="36"/>
      <c r="C14" s="11"/>
      <c r="D14" s="4"/>
      <c r="E14" s="25"/>
      <c r="F14" s="10"/>
      <c r="G14" s="26"/>
      <c r="H14" s="10"/>
      <c r="I14" s="11"/>
      <c r="J14" s="10"/>
      <c r="K14" s="10"/>
      <c r="L14" s="26"/>
      <c r="M14" s="10"/>
      <c r="N14" s="26">
        <f t="shared" si="0"/>
        <v>0</v>
      </c>
    </row>
    <row r="15" spans="1:14" x14ac:dyDescent="0.35">
      <c r="A15" s="11"/>
      <c r="B15" s="36"/>
      <c r="C15" s="11"/>
      <c r="D15" s="4"/>
      <c r="E15" s="25"/>
      <c r="F15" s="10"/>
      <c r="G15" s="26"/>
      <c r="H15" s="10"/>
      <c r="I15" s="11"/>
      <c r="J15" s="10"/>
      <c r="K15" s="10"/>
      <c r="L15" s="26"/>
      <c r="M15" s="10"/>
      <c r="N15" s="26">
        <f t="shared" si="0"/>
        <v>0</v>
      </c>
    </row>
    <row r="16" spans="1:14" x14ac:dyDescent="0.35">
      <c r="A16" s="11"/>
      <c r="B16" s="37"/>
      <c r="C16" s="11"/>
      <c r="D16" s="4"/>
      <c r="E16" s="25"/>
      <c r="F16" s="10"/>
      <c r="G16" s="26"/>
      <c r="H16" s="10"/>
      <c r="I16" s="11"/>
      <c r="J16" s="10"/>
      <c r="K16" s="10"/>
      <c r="L16" s="26"/>
      <c r="M16" s="10"/>
      <c r="N16" s="26">
        <f t="shared" si="0"/>
        <v>0</v>
      </c>
    </row>
    <row r="17" spans="1:14" x14ac:dyDescent="0.35">
      <c r="A17" s="11"/>
      <c r="B17" s="36"/>
      <c r="C17" s="11"/>
      <c r="D17" s="4"/>
      <c r="E17" s="25"/>
      <c r="F17" s="10"/>
      <c r="G17" s="26"/>
      <c r="H17" s="10"/>
      <c r="I17" s="11"/>
      <c r="J17" s="10"/>
      <c r="K17" s="10"/>
      <c r="L17" s="26"/>
      <c r="M17" s="10"/>
      <c r="N17" s="26">
        <f t="shared" si="0"/>
        <v>0</v>
      </c>
    </row>
    <row r="18" spans="1:14" x14ac:dyDescent="0.35">
      <c r="A18" s="11"/>
      <c r="B18" s="37"/>
      <c r="C18" s="11"/>
      <c r="D18" s="4"/>
      <c r="E18" s="25"/>
      <c r="F18" s="10"/>
      <c r="G18" s="26"/>
      <c r="H18" s="10"/>
      <c r="I18" s="11"/>
      <c r="J18" s="10"/>
      <c r="K18" s="10"/>
      <c r="L18" s="26"/>
      <c r="M18" s="10"/>
      <c r="N18" s="26">
        <f t="shared" si="0"/>
        <v>0</v>
      </c>
    </row>
    <row r="19" spans="1:14" x14ac:dyDescent="0.35">
      <c r="A19" s="11"/>
      <c r="B19" s="37"/>
      <c r="C19" s="11"/>
      <c r="D19" s="4"/>
      <c r="E19" s="25"/>
      <c r="F19" s="10"/>
      <c r="G19" s="26"/>
      <c r="H19" s="10"/>
      <c r="I19" s="11"/>
      <c r="J19" s="10"/>
      <c r="K19" s="10"/>
      <c r="L19" s="26"/>
      <c r="M19" s="10"/>
      <c r="N19" s="26">
        <f t="shared" si="0"/>
        <v>0</v>
      </c>
    </row>
    <row r="20" spans="1:14" x14ac:dyDescent="0.35">
      <c r="A20" s="11"/>
      <c r="B20" s="37"/>
      <c r="C20" s="11"/>
      <c r="D20" s="4"/>
      <c r="E20" s="25"/>
      <c r="F20" s="10"/>
      <c r="G20" s="26"/>
      <c r="H20" s="10"/>
      <c r="I20" s="11"/>
      <c r="J20" s="10"/>
      <c r="K20" s="10"/>
      <c r="L20" s="26"/>
      <c r="M20" s="10"/>
      <c r="N20" s="26">
        <f t="shared" si="0"/>
        <v>0</v>
      </c>
    </row>
    <row r="21" spans="1:14" x14ac:dyDescent="0.35">
      <c r="A21" s="11"/>
      <c r="B21" s="37"/>
      <c r="C21" s="11"/>
      <c r="D21" s="4"/>
      <c r="E21" s="25"/>
      <c r="F21" s="10"/>
      <c r="G21" s="26"/>
      <c r="H21" s="10"/>
      <c r="I21" s="11"/>
      <c r="J21" s="10"/>
      <c r="K21" s="10"/>
      <c r="L21" s="26"/>
      <c r="M21" s="10"/>
      <c r="N21" s="26">
        <f t="shared" si="0"/>
        <v>0</v>
      </c>
    </row>
    <row r="22" spans="1:14" x14ac:dyDescent="0.35">
      <c r="A22" s="11"/>
      <c r="B22" s="37"/>
      <c r="C22" s="11"/>
      <c r="D22" s="4"/>
      <c r="E22" s="25"/>
      <c r="F22" s="10"/>
      <c r="G22" s="26"/>
      <c r="H22" s="10"/>
      <c r="I22" s="11"/>
      <c r="J22" s="10"/>
      <c r="K22" s="10"/>
      <c r="L22" s="26"/>
      <c r="M22" s="10"/>
      <c r="N22" s="26">
        <f t="shared" si="0"/>
        <v>0</v>
      </c>
    </row>
    <row r="23" spans="1:14" x14ac:dyDescent="0.35">
      <c r="A23" s="11"/>
      <c r="B23" s="37"/>
      <c r="C23" s="11"/>
      <c r="D23" s="4"/>
      <c r="E23" s="25"/>
      <c r="F23" s="10"/>
      <c r="G23" s="26"/>
      <c r="H23" s="10"/>
      <c r="I23" s="11"/>
      <c r="J23" s="10"/>
      <c r="K23" s="10"/>
      <c r="L23" s="26"/>
      <c r="M23" s="10"/>
      <c r="N23" s="26">
        <f t="shared" si="0"/>
        <v>0</v>
      </c>
    </row>
    <row r="24" spans="1:14" ht="13.5" customHeight="1" x14ac:dyDescent="0.35">
      <c r="A24" s="11"/>
      <c r="B24" s="37"/>
      <c r="C24" s="11"/>
      <c r="D24" s="4"/>
      <c r="E24" s="25"/>
      <c r="F24" s="10"/>
      <c r="G24" s="26"/>
      <c r="H24" s="10"/>
      <c r="I24" s="11"/>
      <c r="J24" s="10"/>
      <c r="K24" s="10"/>
      <c r="L24" s="26"/>
      <c r="M24" s="10"/>
      <c r="N24" s="26">
        <f t="shared" si="0"/>
        <v>0</v>
      </c>
    </row>
    <row r="25" spans="1:14" x14ac:dyDescent="0.35">
      <c r="A25" s="11"/>
      <c r="B25" s="37"/>
      <c r="C25" s="11"/>
      <c r="D25" s="4"/>
      <c r="E25" s="25"/>
      <c r="F25" s="10"/>
      <c r="G25" s="26"/>
      <c r="H25" s="10"/>
      <c r="I25" s="11"/>
      <c r="J25" s="10"/>
      <c r="K25" s="10"/>
      <c r="L25" s="26"/>
      <c r="M25" s="10"/>
      <c r="N25" s="26">
        <f t="shared" si="0"/>
        <v>0</v>
      </c>
    </row>
    <row r="26" spans="1:14" x14ac:dyDescent="0.35">
      <c r="A26" s="11"/>
      <c r="B26" s="37"/>
      <c r="C26" s="11"/>
      <c r="D26" s="4"/>
      <c r="E26" s="25"/>
      <c r="F26" s="10"/>
      <c r="G26" s="26"/>
      <c r="H26" s="10"/>
      <c r="I26" s="11"/>
      <c r="J26" s="10"/>
      <c r="K26" s="10"/>
      <c r="L26" s="26"/>
      <c r="M26" s="10"/>
      <c r="N26" s="26">
        <f t="shared" si="0"/>
        <v>0</v>
      </c>
    </row>
    <row r="27" spans="1:14" x14ac:dyDescent="0.35">
      <c r="A27" s="11"/>
      <c r="B27" s="37"/>
      <c r="C27" s="11"/>
      <c r="D27" s="4">
        <f>SUM(D3:D26)</f>
        <v>0</v>
      </c>
      <c r="E27" s="25">
        <f>SUM(E3:E26)</f>
        <v>873140</v>
      </c>
      <c r="F27" s="10">
        <f>SUM(F2:F26)</f>
        <v>52500</v>
      </c>
      <c r="G27" s="26">
        <f>SUM(G2:G26)</f>
        <v>10663500</v>
      </c>
      <c r="H27" s="10">
        <f>SUM(H2:H26)</f>
        <v>8955238.879999999</v>
      </c>
      <c r="I27" s="11"/>
      <c r="J27" s="10">
        <f>SUM(J2:J26)</f>
        <v>263226.65000000002</v>
      </c>
      <c r="K27" s="33">
        <f t="shared" ref="K27:L27" si="1">SUM(K2:K26)</f>
        <v>0</v>
      </c>
      <c r="L27" s="26">
        <f t="shared" si="1"/>
        <v>15933025.940000001</v>
      </c>
      <c r="M27" s="10"/>
      <c r="N27" s="26">
        <f>SUM(N2:N26)</f>
        <v>35814991.469999999</v>
      </c>
    </row>
  </sheetData>
  <pageMargins left="0.13194444444444445" right="0.7" top="0.75" bottom="0.1751388888888889" header="0.3" footer="0.3"/>
  <pageSetup paperSize="9" scale="94" fitToHeight="0" orientation="landscape" verticalDpi="0" r:id="rId1"/>
  <headerFooter>
    <oddHeader>&amp;C&amp;"-,Negrita Cursiva"&amp;26CAJA TESLA INGRESOS (ENTRADAS)</oddHeader>
    <oddFooter xml:space="preserve">&amp;L&amp;"-,Negrita Cursiva"&amp;20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view="pageLayout" zoomScaleNormal="100" workbookViewId="0">
      <selection activeCell="D15" sqref="D15"/>
    </sheetView>
  </sheetViews>
  <sheetFormatPr baseColWidth="10" defaultRowHeight="14.5" x14ac:dyDescent="0.35"/>
  <cols>
    <col min="2" max="2" width="25.6328125" customWidth="1"/>
    <col min="3" max="3" width="21.7265625" style="5" customWidth="1"/>
    <col min="4" max="4" width="16.08984375" style="5" customWidth="1"/>
    <col min="5" max="6" width="16.7265625" style="5" customWidth="1"/>
    <col min="7" max="7" width="16.08984375" customWidth="1"/>
  </cols>
  <sheetData>
    <row r="1" spans="1:7" s="1" customFormat="1" x14ac:dyDescent="0.35">
      <c r="A1" s="2" t="s">
        <v>3</v>
      </c>
      <c r="B1" s="2" t="s">
        <v>4</v>
      </c>
      <c r="C1" s="29" t="s">
        <v>19</v>
      </c>
      <c r="D1" s="29" t="s">
        <v>0</v>
      </c>
      <c r="E1" s="29" t="s">
        <v>14</v>
      </c>
      <c r="F1" s="29" t="s">
        <v>16</v>
      </c>
      <c r="G1" s="23" t="s">
        <v>23</v>
      </c>
    </row>
    <row r="2" spans="1:7" s="1" customFormat="1" x14ac:dyDescent="0.35">
      <c r="A2" s="70">
        <v>46066</v>
      </c>
      <c r="B2" s="28" t="s">
        <v>21</v>
      </c>
      <c r="C2" s="6">
        <f>Hoja2!N27-Hoja1!K30</f>
        <v>9684885.7299999967</v>
      </c>
      <c r="D2" s="6">
        <f>Hoja2!G27-Hoja1!D30</f>
        <v>1519110.1799999997</v>
      </c>
      <c r="E2" s="6">
        <f>Hoja2!H27-Hoja1!E30</f>
        <v>8165775.5499999989</v>
      </c>
      <c r="F2" s="6">
        <f>+Hoja2!K27</f>
        <v>0</v>
      </c>
      <c r="G2" s="26">
        <f>D2+E2</f>
        <v>9684885.7299999986</v>
      </c>
    </row>
    <row r="3" spans="1:7" x14ac:dyDescent="0.35">
      <c r="A3" s="3"/>
      <c r="B3" s="3"/>
      <c r="C3" s="4"/>
      <c r="D3" s="4"/>
      <c r="E3" s="4"/>
      <c r="F3" s="4"/>
      <c r="G3" s="3"/>
    </row>
    <row r="4" spans="1:7" x14ac:dyDescent="0.35">
      <c r="A4" s="3"/>
      <c r="B4" s="3"/>
      <c r="C4" s="4"/>
      <c r="D4" s="4"/>
      <c r="E4" s="4" t="s">
        <v>5</v>
      </c>
      <c r="F4" s="4"/>
      <c r="G4" s="3"/>
    </row>
    <row r="5" spans="1:7" x14ac:dyDescent="0.35">
      <c r="A5" s="3"/>
      <c r="B5" s="3"/>
      <c r="C5" s="4"/>
      <c r="D5" s="6"/>
      <c r="E5" s="4"/>
      <c r="F5" s="4"/>
      <c r="G5" s="4" t="s">
        <v>5</v>
      </c>
    </row>
    <row r="6" spans="1:7" x14ac:dyDescent="0.35">
      <c r="A6" s="3"/>
      <c r="B6" s="3"/>
      <c r="C6" s="4"/>
      <c r="D6" s="6"/>
      <c r="E6" s="4"/>
      <c r="F6" s="4"/>
      <c r="G6" s="3"/>
    </row>
    <row r="7" spans="1:7" x14ac:dyDescent="0.35">
      <c r="A7" s="3"/>
      <c r="B7" s="3" t="s">
        <v>24</v>
      </c>
      <c r="C7" s="4"/>
      <c r="D7" s="6">
        <v>1515470</v>
      </c>
      <c r="E7" s="4"/>
      <c r="F7" s="4"/>
      <c r="G7" s="3"/>
    </row>
    <row r="8" spans="1:7" x14ac:dyDescent="0.35">
      <c r="A8" s="3"/>
      <c r="B8" s="3" t="s">
        <v>25</v>
      </c>
      <c r="C8" s="4"/>
      <c r="D8" s="6"/>
      <c r="E8" s="4"/>
      <c r="F8" s="4"/>
      <c r="G8" s="3"/>
    </row>
    <row r="9" spans="1:7" s="1" customFormat="1" x14ac:dyDescent="0.35">
      <c r="A9" s="28"/>
      <c r="B9" s="28" t="s">
        <v>26</v>
      </c>
      <c r="C9" s="6"/>
      <c r="D9" s="6">
        <f>+D6+D7+D8</f>
        <v>1515470</v>
      </c>
      <c r="E9" s="6"/>
      <c r="F9" s="6"/>
      <c r="G9" s="6"/>
    </row>
    <row r="10" spans="1:7" x14ac:dyDescent="0.35">
      <c r="A10" s="3"/>
      <c r="B10" s="28"/>
      <c r="C10" s="6"/>
      <c r="D10" s="6"/>
      <c r="E10" s="4"/>
      <c r="F10" s="4"/>
      <c r="G10" s="3"/>
    </row>
    <row r="11" spans="1:7" x14ac:dyDescent="0.35">
      <c r="A11" s="3"/>
      <c r="B11" s="3" t="s">
        <v>30</v>
      </c>
      <c r="C11" s="4"/>
      <c r="D11" s="6">
        <f>+D2-D9</f>
        <v>3640.179999999702</v>
      </c>
      <c r="E11" s="4"/>
      <c r="F11" s="4"/>
      <c r="G11" s="3"/>
    </row>
    <row r="12" spans="1:7" s="1" customFormat="1" x14ac:dyDescent="0.35">
      <c r="A12" s="28"/>
      <c r="B12" s="28"/>
      <c r="C12" s="6"/>
      <c r="D12" s="6"/>
      <c r="E12" s="6"/>
      <c r="F12" s="6"/>
      <c r="G12" s="28"/>
    </row>
    <row r="13" spans="1:7" x14ac:dyDescent="0.35">
      <c r="A13" s="3"/>
      <c r="B13" s="3"/>
      <c r="C13" s="4"/>
      <c r="D13" s="4"/>
      <c r="E13" s="4"/>
      <c r="F13" s="4"/>
      <c r="G13" s="3"/>
    </row>
    <row r="14" spans="1:7" x14ac:dyDescent="0.35">
      <c r="A14" s="3"/>
      <c r="B14" s="3" t="s">
        <v>28</v>
      </c>
      <c r="C14" s="4"/>
      <c r="D14" s="6">
        <f>96126131+5408567</f>
        <v>101534698</v>
      </c>
      <c r="E14" s="4"/>
      <c r="F14" s="4"/>
      <c r="G14" s="3"/>
    </row>
    <row r="15" spans="1:7" x14ac:dyDescent="0.35">
      <c r="A15" s="28"/>
      <c r="B15" s="28" t="s">
        <v>29</v>
      </c>
      <c r="C15" s="6"/>
      <c r="D15" s="6">
        <f>1000000+5300000+1500000+5300000+5333025+593795</f>
        <v>19026820</v>
      </c>
      <c r="E15" s="6"/>
      <c r="F15" s="4"/>
      <c r="G15" s="3"/>
    </row>
    <row r="16" spans="1:7" x14ac:dyDescent="0.35">
      <c r="A16" s="28"/>
      <c r="B16" s="28" t="s">
        <v>31</v>
      </c>
      <c r="C16" s="6"/>
      <c r="D16" s="6">
        <f>290400+936822</f>
        <v>1227222</v>
      </c>
      <c r="E16" s="4"/>
      <c r="F16" s="4"/>
      <c r="G16" s="3"/>
    </row>
    <row r="17" spans="1:7" x14ac:dyDescent="0.35">
      <c r="A17" s="28"/>
      <c r="B17" s="28"/>
      <c r="C17" s="6"/>
      <c r="D17" s="6" t="s">
        <v>5</v>
      </c>
      <c r="E17" s="4"/>
      <c r="F17" s="4"/>
      <c r="G17" s="3"/>
    </row>
    <row r="18" spans="1:7" x14ac:dyDescent="0.35">
      <c r="A18" s="28"/>
      <c r="B18" s="28" t="s">
        <v>32</v>
      </c>
      <c r="C18" s="6"/>
      <c r="D18" s="6">
        <f>+D14-D16</f>
        <v>100307476</v>
      </c>
      <c r="E18" s="4"/>
      <c r="F18" s="4"/>
      <c r="G18" s="3"/>
    </row>
    <row r="19" spans="1:7" s="1" customFormat="1" x14ac:dyDescent="0.35">
      <c r="A19" s="28"/>
      <c r="B19" s="28" t="s">
        <v>34</v>
      </c>
      <c r="C19" s="6"/>
      <c r="D19" s="6"/>
      <c r="E19" s="6"/>
      <c r="F19" s="6"/>
      <c r="G19" s="28"/>
    </row>
    <row r="20" spans="1:7" x14ac:dyDescent="0.35">
      <c r="A20" s="3"/>
      <c r="B20" s="3" t="s">
        <v>33</v>
      </c>
      <c r="C20" s="4"/>
      <c r="D20" s="4"/>
      <c r="E20" s="4"/>
      <c r="F20" s="4"/>
      <c r="G20" s="3"/>
    </row>
    <row r="21" spans="1:7" x14ac:dyDescent="0.35">
      <c r="A21" s="3"/>
      <c r="B21" s="3"/>
      <c r="C21" s="4"/>
      <c r="D21" s="4"/>
      <c r="E21" s="4"/>
      <c r="F21" s="4"/>
      <c r="G21" s="3"/>
    </row>
    <row r="22" spans="1:7" x14ac:dyDescent="0.35">
      <c r="A22" s="3"/>
      <c r="B22" s="3"/>
      <c r="C22" s="4"/>
      <c r="D22" s="4"/>
      <c r="E22" s="4"/>
      <c r="F22" s="4"/>
      <c r="G22" s="3"/>
    </row>
    <row r="23" spans="1:7" x14ac:dyDescent="0.35">
      <c r="A23" s="3"/>
      <c r="B23" s="3"/>
      <c r="C23" s="4"/>
      <c r="D23" s="4"/>
      <c r="E23" s="4"/>
      <c r="F23" s="4"/>
      <c r="G23" s="3"/>
    </row>
    <row r="24" spans="1:7" x14ac:dyDescent="0.35">
      <c r="A24" s="3"/>
      <c r="B24" s="3"/>
      <c r="C24" s="4"/>
      <c r="D24" s="4"/>
      <c r="E24" s="4"/>
      <c r="F24" s="4"/>
      <c r="G24" s="3"/>
    </row>
    <row r="25" spans="1:7" x14ac:dyDescent="0.35">
      <c r="A25" s="3"/>
      <c r="B25" s="3"/>
      <c r="C25" s="4"/>
      <c r="D25" s="4"/>
      <c r="E25" s="4"/>
      <c r="F25" s="4"/>
      <c r="G25" s="3"/>
    </row>
    <row r="26" spans="1:7" x14ac:dyDescent="0.35">
      <c r="A26" s="3"/>
      <c r="B26" s="3"/>
      <c r="C26" s="4"/>
      <c r="D26" s="4"/>
      <c r="E26" s="4"/>
      <c r="F26" s="4"/>
      <c r="G26" s="3"/>
    </row>
    <row r="27" spans="1:7" x14ac:dyDescent="0.35">
      <c r="A27" s="3"/>
      <c r="B27" s="3"/>
      <c r="C27" s="4"/>
      <c r="D27" s="4"/>
      <c r="E27" s="4"/>
      <c r="F27" s="4"/>
      <c r="G27" s="3"/>
    </row>
    <row r="28" spans="1:7" x14ac:dyDescent="0.35">
      <c r="A28" s="3"/>
      <c r="B28" s="3"/>
      <c r="C28" s="4"/>
      <c r="D28" s="4"/>
      <c r="E28" s="4"/>
      <c r="F28" s="4"/>
      <c r="G28" s="3"/>
    </row>
    <row r="29" spans="1:7" x14ac:dyDescent="0.35">
      <c r="A29" s="3"/>
      <c r="B29" s="3"/>
      <c r="C29" s="4"/>
      <c r="D29" s="4"/>
      <c r="E29" s="4"/>
      <c r="F29" s="4"/>
      <c r="G29" s="3"/>
    </row>
    <row r="30" spans="1:7" x14ac:dyDescent="0.35">
      <c r="A30" s="3"/>
      <c r="B30" s="3"/>
      <c r="C30" s="4"/>
      <c r="D30" s="4"/>
      <c r="E30" s="4"/>
      <c r="F30" s="4"/>
      <c r="G30" s="3"/>
    </row>
    <row r="31" spans="1:7" x14ac:dyDescent="0.35">
      <c r="A31" s="3"/>
      <c r="B31" s="3"/>
      <c r="C31" s="4"/>
      <c r="D31" s="4"/>
      <c r="E31" s="4"/>
      <c r="F31" s="4"/>
      <c r="G31" s="3"/>
    </row>
    <row r="32" spans="1:7" x14ac:dyDescent="0.35">
      <c r="A32" s="3"/>
      <c r="B32" s="3"/>
      <c r="C32" s="4"/>
      <c r="D32" s="4"/>
      <c r="E32" s="4"/>
      <c r="F32" s="4"/>
      <c r="G32" s="3"/>
    </row>
  </sheetData>
  <pageMargins left="0.7" right="0.7" top="0.75" bottom="0.75" header="0.3" footer="0.3"/>
  <pageSetup paperSize="9" orientation="landscape" verticalDpi="0" r:id="rId1"/>
  <headerFooter>
    <oddHeader>&amp;L&amp;"-,Negrita Cursiva"&amp;22SALDO Y ARQUEO CAJA TESLA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DCBB-8439-4D11-B37C-E7208E220F30}">
  <sheetPr>
    <pageSetUpPr fitToPage="1"/>
  </sheetPr>
  <dimension ref="A1:D67"/>
  <sheetViews>
    <sheetView workbookViewId="0">
      <selection activeCell="E6" sqref="E6"/>
    </sheetView>
  </sheetViews>
  <sheetFormatPr baseColWidth="10" defaultRowHeight="14.5" x14ac:dyDescent="0.35"/>
  <cols>
    <col min="2" max="2" width="21.81640625" customWidth="1"/>
    <col min="3" max="3" width="15.6328125" style="5" customWidth="1"/>
    <col min="6" max="6" width="21.6328125" customWidth="1"/>
  </cols>
  <sheetData>
    <row r="1" spans="2:3" ht="28.5" x14ac:dyDescent="0.65">
      <c r="B1" s="54">
        <v>46066</v>
      </c>
    </row>
    <row r="2" spans="2:3" s="1" customFormat="1" ht="15.5" customHeight="1" x14ac:dyDescent="0.35">
      <c r="C2" s="50"/>
    </row>
    <row r="3" spans="2:3" s="1" customFormat="1" x14ac:dyDescent="0.35">
      <c r="B3" s="2" t="s">
        <v>4</v>
      </c>
      <c r="C3" s="29" t="s">
        <v>19</v>
      </c>
    </row>
    <row r="4" spans="2:3" x14ac:dyDescent="0.35">
      <c r="B4" s="3" t="s">
        <v>114</v>
      </c>
      <c r="C4" s="4">
        <f>50*20000</f>
        <v>1000000</v>
      </c>
    </row>
    <row r="5" spans="2:3" x14ac:dyDescent="0.35">
      <c r="B5" s="3" t="s">
        <v>115</v>
      </c>
      <c r="C5" s="4">
        <f>38*10000</f>
        <v>380000</v>
      </c>
    </row>
    <row r="6" spans="2:3" x14ac:dyDescent="0.35">
      <c r="B6" s="3" t="s">
        <v>116</v>
      </c>
      <c r="C6" s="4">
        <f>49*2000</f>
        <v>98000</v>
      </c>
    </row>
    <row r="7" spans="2:3" x14ac:dyDescent="0.35">
      <c r="B7" s="3" t="s">
        <v>117</v>
      </c>
      <c r="C7" s="4">
        <f>8*1000</f>
        <v>8000</v>
      </c>
    </row>
    <row r="8" spans="2:3" x14ac:dyDescent="0.35">
      <c r="B8" s="3" t="s">
        <v>118</v>
      </c>
      <c r="C8" s="4">
        <f>7*200</f>
        <v>1400</v>
      </c>
    </row>
    <row r="9" spans="2:3" x14ac:dyDescent="0.35">
      <c r="B9" s="3" t="s">
        <v>119</v>
      </c>
      <c r="C9" s="4">
        <f>25*100</f>
        <v>2500</v>
      </c>
    </row>
    <row r="10" spans="2:3" x14ac:dyDescent="0.35">
      <c r="B10" s="3" t="s">
        <v>120</v>
      </c>
      <c r="C10" s="4">
        <f>10*50</f>
        <v>500</v>
      </c>
    </row>
    <row r="11" spans="2:3" x14ac:dyDescent="0.35">
      <c r="B11" s="3"/>
      <c r="C11" s="4">
        <v>70</v>
      </c>
    </row>
    <row r="12" spans="2:3" x14ac:dyDescent="0.35">
      <c r="B12" s="3" t="s">
        <v>121</v>
      </c>
      <c r="C12" s="4">
        <v>25000</v>
      </c>
    </row>
    <row r="13" spans="2:3" x14ac:dyDescent="0.35">
      <c r="B13" s="3"/>
      <c r="C13" s="4"/>
    </row>
    <row r="14" spans="2:3" x14ac:dyDescent="0.35">
      <c r="B14" s="3"/>
      <c r="C14" s="4"/>
    </row>
    <row r="15" spans="2:3" x14ac:dyDescent="0.35">
      <c r="B15" s="3"/>
      <c r="C15" s="4"/>
    </row>
    <row r="16" spans="2:3" x14ac:dyDescent="0.35">
      <c r="B16" s="3"/>
      <c r="C16" s="4"/>
    </row>
    <row r="17" spans="1:4" s="1" customFormat="1" x14ac:dyDescent="0.35">
      <c r="B17" s="28" t="s">
        <v>22</v>
      </c>
      <c r="C17" s="6">
        <f>+C4+C5+C6+C7+C8+C9+C10+C11+C12+C13+C14+C15+C16</f>
        <v>1515470</v>
      </c>
    </row>
    <row r="19" spans="1:4" s="51" customFormat="1" ht="26" x14ac:dyDescent="0.6">
      <c r="B19" s="51" t="s">
        <v>124</v>
      </c>
      <c r="C19" s="52"/>
    </row>
    <row r="20" spans="1:4" s="53" customFormat="1" x14ac:dyDescent="0.35">
      <c r="B20" s="2" t="s">
        <v>4</v>
      </c>
      <c r="C20" s="29" t="s">
        <v>19</v>
      </c>
    </row>
    <row r="21" spans="1:4" s="59" customFormat="1" x14ac:dyDescent="0.35">
      <c r="B21" s="61" t="s">
        <v>35</v>
      </c>
      <c r="C21" s="58"/>
      <c r="D21" s="63" t="s">
        <v>52</v>
      </c>
    </row>
    <row r="22" spans="1:4" s="59" customFormat="1" x14ac:dyDescent="0.35">
      <c r="A22" s="67">
        <v>1</v>
      </c>
      <c r="B22" s="57" t="s">
        <v>36</v>
      </c>
      <c r="C22" s="58">
        <v>1000000</v>
      </c>
      <c r="D22" s="62"/>
    </row>
    <row r="23" spans="1:4" x14ac:dyDescent="0.35">
      <c r="A23">
        <v>2</v>
      </c>
      <c r="B23" s="3" t="s">
        <v>37</v>
      </c>
      <c r="C23" s="4">
        <v>1000000</v>
      </c>
    </row>
    <row r="24" spans="1:4" x14ac:dyDescent="0.35">
      <c r="A24">
        <v>3</v>
      </c>
      <c r="B24" s="3" t="s">
        <v>38</v>
      </c>
      <c r="C24" s="4"/>
      <c r="D24" t="s">
        <v>77</v>
      </c>
    </row>
    <row r="25" spans="1:4" x14ac:dyDescent="0.35">
      <c r="A25">
        <v>4</v>
      </c>
      <c r="B25" s="3" t="s">
        <v>39</v>
      </c>
      <c r="C25" s="8"/>
      <c r="D25" t="s">
        <v>52</v>
      </c>
    </row>
    <row r="26" spans="1:4" x14ac:dyDescent="0.35">
      <c r="A26">
        <v>5</v>
      </c>
      <c r="B26" s="3" t="s">
        <v>41</v>
      </c>
      <c r="C26" s="8"/>
      <c r="D26" t="s">
        <v>52</v>
      </c>
    </row>
    <row r="27" spans="1:4" x14ac:dyDescent="0.35">
      <c r="A27">
        <v>6</v>
      </c>
      <c r="B27" s="3" t="s">
        <v>42</v>
      </c>
      <c r="C27" s="8">
        <v>440000</v>
      </c>
    </row>
    <row r="28" spans="1:4" x14ac:dyDescent="0.35">
      <c r="A28">
        <v>7</v>
      </c>
      <c r="B28" s="3" t="s">
        <v>43</v>
      </c>
      <c r="C28" s="8">
        <v>266803</v>
      </c>
    </row>
    <row r="29" spans="1:4" x14ac:dyDescent="0.35">
      <c r="A29">
        <v>8</v>
      </c>
      <c r="B29" s="3" t="s">
        <v>44</v>
      </c>
      <c r="C29" s="8">
        <v>375000</v>
      </c>
    </row>
    <row r="30" spans="1:4" x14ac:dyDescent="0.35">
      <c r="A30">
        <v>9</v>
      </c>
      <c r="B30" s="3" t="s">
        <v>45</v>
      </c>
      <c r="C30" s="4"/>
      <c r="D30" t="s">
        <v>52</v>
      </c>
    </row>
    <row r="31" spans="1:4" x14ac:dyDescent="0.35">
      <c r="A31">
        <v>10</v>
      </c>
      <c r="B31" s="3" t="s">
        <v>46</v>
      </c>
      <c r="C31" s="4">
        <v>440000</v>
      </c>
    </row>
    <row r="32" spans="1:4" x14ac:dyDescent="0.35">
      <c r="A32">
        <v>11</v>
      </c>
      <c r="B32" s="3" t="s">
        <v>47</v>
      </c>
      <c r="C32" s="4"/>
      <c r="D32" t="s">
        <v>78</v>
      </c>
    </row>
    <row r="33" spans="1:4" x14ac:dyDescent="0.35">
      <c r="A33">
        <v>12</v>
      </c>
      <c r="B33" s="3" t="s">
        <v>48</v>
      </c>
      <c r="C33" s="4"/>
      <c r="D33" t="s">
        <v>79</v>
      </c>
    </row>
    <row r="34" spans="1:4" x14ac:dyDescent="0.35">
      <c r="A34">
        <v>13</v>
      </c>
      <c r="B34" s="3" t="s">
        <v>49</v>
      </c>
      <c r="C34" s="4"/>
      <c r="D34" t="s">
        <v>126</v>
      </c>
    </row>
    <row r="35" spans="1:4" x14ac:dyDescent="0.35">
      <c r="A35">
        <v>14</v>
      </c>
      <c r="B35" s="3" t="s">
        <v>40</v>
      </c>
      <c r="C35" s="4">
        <v>3300000</v>
      </c>
    </row>
    <row r="36" spans="1:4" x14ac:dyDescent="0.35">
      <c r="B36" s="3" t="s">
        <v>50</v>
      </c>
      <c r="C36" s="4"/>
      <c r="D36" t="s">
        <v>53</v>
      </c>
    </row>
    <row r="37" spans="1:4" x14ac:dyDescent="0.35">
      <c r="B37" s="3" t="s">
        <v>51</v>
      </c>
      <c r="C37" s="4"/>
      <c r="D37" t="s">
        <v>52</v>
      </c>
    </row>
    <row r="38" spans="1:4" x14ac:dyDescent="0.35">
      <c r="A38">
        <v>15</v>
      </c>
      <c r="B38" s="3" t="s">
        <v>54</v>
      </c>
      <c r="C38" s="4"/>
      <c r="D38" t="s">
        <v>52</v>
      </c>
    </row>
    <row r="39" spans="1:4" x14ac:dyDescent="0.35">
      <c r="A39">
        <v>16</v>
      </c>
      <c r="B39" s="3" t="s">
        <v>55</v>
      </c>
      <c r="C39" s="4"/>
      <c r="D39" t="s">
        <v>77</v>
      </c>
    </row>
    <row r="40" spans="1:4" x14ac:dyDescent="0.35">
      <c r="A40">
        <v>17</v>
      </c>
      <c r="B40" s="3" t="s">
        <v>56</v>
      </c>
      <c r="C40" s="4"/>
      <c r="D40" t="s">
        <v>77</v>
      </c>
    </row>
    <row r="41" spans="1:4" x14ac:dyDescent="0.35">
      <c r="A41">
        <v>18</v>
      </c>
      <c r="B41" s="3" t="s">
        <v>57</v>
      </c>
      <c r="C41" s="4"/>
      <c r="D41" t="s">
        <v>109</v>
      </c>
    </row>
    <row r="42" spans="1:4" x14ac:dyDescent="0.35">
      <c r="A42">
        <v>19</v>
      </c>
      <c r="B42" s="3" t="s">
        <v>58</v>
      </c>
      <c r="C42" s="4"/>
      <c r="D42" t="s">
        <v>52</v>
      </c>
    </row>
    <row r="43" spans="1:4" x14ac:dyDescent="0.35">
      <c r="A43">
        <v>20</v>
      </c>
      <c r="B43" s="3" t="s">
        <v>59</v>
      </c>
      <c r="C43" s="4"/>
      <c r="D43" t="s">
        <v>77</v>
      </c>
    </row>
    <row r="44" spans="1:4" x14ac:dyDescent="0.35">
      <c r="A44">
        <v>21</v>
      </c>
      <c r="B44" s="3" t="s">
        <v>60</v>
      </c>
      <c r="C44" s="4"/>
      <c r="D44" t="s">
        <v>77</v>
      </c>
    </row>
    <row r="45" spans="1:4" x14ac:dyDescent="0.35">
      <c r="A45">
        <v>22</v>
      </c>
      <c r="B45" s="3" t="s">
        <v>61</v>
      </c>
      <c r="C45" s="4"/>
      <c r="D45" t="s">
        <v>80</v>
      </c>
    </row>
    <row r="46" spans="1:4" x14ac:dyDescent="0.35">
      <c r="A46">
        <v>23</v>
      </c>
      <c r="B46" s="3" t="s">
        <v>62</v>
      </c>
      <c r="C46" s="4"/>
      <c r="D46" t="s">
        <v>52</v>
      </c>
    </row>
    <row r="47" spans="1:4" x14ac:dyDescent="0.35">
      <c r="A47">
        <v>24</v>
      </c>
      <c r="B47" s="3" t="s">
        <v>63</v>
      </c>
      <c r="C47" s="4"/>
      <c r="D47" t="s">
        <v>81</v>
      </c>
    </row>
    <row r="48" spans="1:4" x14ac:dyDescent="0.35">
      <c r="A48">
        <v>25</v>
      </c>
      <c r="B48" s="3" t="s">
        <v>64</v>
      </c>
      <c r="C48" s="4"/>
      <c r="D48" t="s">
        <v>109</v>
      </c>
    </row>
    <row r="49" spans="1:4" x14ac:dyDescent="0.35">
      <c r="A49">
        <v>26</v>
      </c>
      <c r="B49" s="3" t="s">
        <v>65</v>
      </c>
      <c r="C49" s="4"/>
      <c r="D49" t="s">
        <v>52</v>
      </c>
    </row>
    <row r="50" spans="1:4" x14ac:dyDescent="0.35">
      <c r="A50">
        <v>27</v>
      </c>
      <c r="B50" s="3" t="s">
        <v>66</v>
      </c>
      <c r="C50" s="4"/>
      <c r="D50" t="s">
        <v>79</v>
      </c>
    </row>
    <row r="51" spans="1:4" x14ac:dyDescent="0.35">
      <c r="A51">
        <v>28</v>
      </c>
      <c r="B51" s="3" t="s">
        <v>67</v>
      </c>
      <c r="C51" s="4"/>
      <c r="D51" t="s">
        <v>85</v>
      </c>
    </row>
    <row r="52" spans="1:4" x14ac:dyDescent="0.35">
      <c r="A52">
        <v>29</v>
      </c>
      <c r="B52" s="3" t="s">
        <v>68</v>
      </c>
      <c r="C52" s="4"/>
      <c r="D52" t="s">
        <v>52</v>
      </c>
    </row>
    <row r="53" spans="1:4" x14ac:dyDescent="0.35">
      <c r="B53" s="3" t="s">
        <v>69</v>
      </c>
      <c r="C53" s="4"/>
      <c r="D53" t="s">
        <v>73</v>
      </c>
    </row>
    <row r="54" spans="1:4" x14ac:dyDescent="0.35">
      <c r="A54">
        <v>30</v>
      </c>
      <c r="B54" s="3" t="s">
        <v>70</v>
      </c>
      <c r="C54" s="4"/>
      <c r="D54" t="s">
        <v>52</v>
      </c>
    </row>
    <row r="55" spans="1:4" x14ac:dyDescent="0.35">
      <c r="A55">
        <v>31</v>
      </c>
      <c r="B55" s="3" t="s">
        <v>71</v>
      </c>
      <c r="C55" s="4"/>
      <c r="D55" t="s">
        <v>52</v>
      </c>
    </row>
    <row r="56" spans="1:4" x14ac:dyDescent="0.35">
      <c r="A56">
        <v>32</v>
      </c>
      <c r="B56" s="3" t="s">
        <v>72</v>
      </c>
      <c r="C56" s="4"/>
      <c r="D56" t="s">
        <v>82</v>
      </c>
    </row>
    <row r="57" spans="1:4" x14ac:dyDescent="0.35">
      <c r="A57">
        <v>33</v>
      </c>
      <c r="B57" s="3" t="s">
        <v>74</v>
      </c>
      <c r="C57" s="4"/>
      <c r="D57" t="s">
        <v>77</v>
      </c>
    </row>
    <row r="58" spans="1:4" x14ac:dyDescent="0.35">
      <c r="B58" s="3" t="s">
        <v>76</v>
      </c>
      <c r="C58" s="4"/>
      <c r="D58" t="s">
        <v>82</v>
      </c>
    </row>
    <row r="59" spans="1:4" x14ac:dyDescent="0.35">
      <c r="B59" s="3" t="s">
        <v>83</v>
      </c>
      <c r="C59" s="4"/>
      <c r="D59" t="s">
        <v>109</v>
      </c>
    </row>
    <row r="60" spans="1:4" x14ac:dyDescent="0.35">
      <c r="B60" s="3" t="s">
        <v>84</v>
      </c>
      <c r="C60" s="4">
        <v>225832.55</v>
      </c>
    </row>
    <row r="61" spans="1:4" x14ac:dyDescent="0.35">
      <c r="B61" s="3" t="s">
        <v>105</v>
      </c>
      <c r="C61" s="4">
        <v>618140</v>
      </c>
    </row>
    <row r="62" spans="1:4" x14ac:dyDescent="0.35">
      <c r="B62" s="3" t="s">
        <v>127</v>
      </c>
      <c r="C62" s="4">
        <v>300000</v>
      </c>
    </row>
    <row r="63" spans="1:4" x14ac:dyDescent="0.35">
      <c r="B63" s="3" t="s">
        <v>128</v>
      </c>
      <c r="C63" s="4">
        <v>200000</v>
      </c>
    </row>
    <row r="64" spans="1:4" x14ac:dyDescent="0.35">
      <c r="B64" s="3"/>
      <c r="C64" s="4"/>
    </row>
    <row r="65" spans="2:3" x14ac:dyDescent="0.35">
      <c r="B65" s="3"/>
      <c r="C65" s="4"/>
    </row>
    <row r="66" spans="2:3" s="1" customFormat="1" x14ac:dyDescent="0.35">
      <c r="B66" s="28" t="s">
        <v>22</v>
      </c>
      <c r="C66" s="6">
        <f>SUM(C21:C65)</f>
        <v>8165775.5499999998</v>
      </c>
    </row>
    <row r="67" spans="2:3" ht="17" customHeight="1" x14ac:dyDescent="0.35"/>
  </sheetData>
  <phoneticPr fontId="14" type="noConversion"/>
  <pageMargins left="0.7" right="0.7" top="0.75" bottom="0.75" header="0.3" footer="0.3"/>
  <pageSetup paperSize="9" scale="7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</dc:creator>
  <cp:lastModifiedBy>TESLA</cp:lastModifiedBy>
  <cp:lastPrinted>2026-02-13T17:28:10Z</cp:lastPrinted>
  <dcterms:created xsi:type="dcterms:W3CDTF">2023-05-18T10:24:24Z</dcterms:created>
  <dcterms:modified xsi:type="dcterms:W3CDTF">2026-02-18T11:09:04Z</dcterms:modified>
</cp:coreProperties>
</file>
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er7slvo\compartido\"/>
    </mc:Choice>
  </mc:AlternateContent>
  <xr:revisionPtr revIDLastSave="0" documentId="13_ncr:1_{5300DB21-208C-4F97-A60E-CB3F40F97B54}" xr6:coauthVersionLast="45" xr6:coauthVersionMax="47" xr10:uidLastSave="{00000000-0000-0000-0000-000000000000}"/>
  <bookViews>
    <workbookView xWindow="-110" yWindow="-110" windowWidth="19420" windowHeight="10420" xr2:uid="{CAEFAA20-DCDC-423F-B901-DAC40FA1C4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" i="1" l="1"/>
  <c r="B31" i="1"/>
  <c r="B6" i="1"/>
  <c r="C6" i="1"/>
  <c r="C48" i="1" l="1"/>
</calcChain>
</file>

<file path=xl/sharedStrings.xml><?xml version="1.0" encoding="utf-8"?>
<sst xmlns="http://schemas.openxmlformats.org/spreadsheetml/2006/main" count="56" uniqueCount="56">
  <si>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</si>
  <si>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</si>
  <si>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</si>
  <si>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</si>
  <si>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</si>
  <si>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</si>
  <si>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</si>
  <si>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</si>
  <si>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</si>
  <si>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</si>
  <si>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</si>
  <si>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</si>
  <si>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MUTUAL NOBIS (EMP.)</t>
  </si>
  <si>
    <t>MUTUAL NOBIS (GUI.)</t>
  </si>
  <si>
    <t>CAJA PREVISION(GERA)</t>
  </si>
  <si>
    <t>INMOBILIARIA BS AS</t>
  </si>
  <si>
    <t>ABONO CELULAR</t>
  </si>
  <si>
    <t>SEGUROS EL NORTE</t>
  </si>
  <si>
    <t>LUZ CABAÑA</t>
  </si>
  <si>
    <t>IMP.MUNICIPAL(TASA COM)</t>
  </si>
  <si>
    <t>MUN.SAN.FCO. CTA.AUT.GUILLE</t>
  </si>
  <si>
    <t>AGOSTI MARTIN (CONTADOR)</t>
  </si>
  <si>
    <t>SUELDOS</t>
  </si>
  <si>
    <t>IERIC</t>
  </si>
  <si>
    <t>UOCRA</t>
  </si>
  <si>
    <t>VEP CARGAS SOCIALES</t>
  </si>
  <si>
    <t>VEP IVA</t>
  </si>
  <si>
    <t>VEP INGS BTS</t>
  </si>
  <si>
    <t>VEP PREVENCION</t>
  </si>
  <si>
    <t>CESE LABORAL</t>
  </si>
  <si>
    <t>DETALLE</t>
  </si>
  <si>
    <t>TOTAL</t>
  </si>
  <si>
    <t>AGUINALDOS</t>
  </si>
  <si>
    <t>MONOTRIBUTOS</t>
  </si>
  <si>
    <t>AUTONOMOS</t>
  </si>
  <si>
    <t>LUZ DEPOSITO</t>
  </si>
  <si>
    <t>INTERNET</t>
  </si>
  <si>
    <t>PABLO AMADIO (SEG E H)</t>
  </si>
  <si>
    <t>ROPA DE TRABAJO</t>
  </si>
  <si>
    <t>HERRAMIENTAS</t>
  </si>
  <si>
    <t>IMP. VEHICULOS</t>
  </si>
  <si>
    <t>NAFTA GERA Y GUILLE</t>
  </si>
  <si>
    <t>SUELDO GERA Y GUILLE</t>
  </si>
  <si>
    <t>ESTACIONAMIENTO MEDIDO</t>
  </si>
  <si>
    <t>DICIEMBRE 2025</t>
  </si>
  <si>
    <t>PRODUCTOS LIMPIEZA</t>
  </si>
  <si>
    <t>GASTOS LIMPIEZA</t>
  </si>
  <si>
    <t>AGUA</t>
  </si>
  <si>
    <t>EXPENSAS G3</t>
  </si>
  <si>
    <t>SEGURO RIO URUGUAY GUILLE</t>
  </si>
  <si>
    <t>LIBRERÍA</t>
  </si>
  <si>
    <t>SUPERMERCADO</t>
  </si>
  <si>
    <t>NAFTA CAMIONETAS</t>
  </si>
  <si>
    <t>CARTUCHO Y TONER IMPRESORA</t>
  </si>
  <si>
    <t>RESMA HOJAS</t>
  </si>
  <si>
    <t>IERIC (RENOV.ANUAL)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</si>
</sst>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4" fontId="0" fillId="0" borderId="1" xfId="1" applyFont="1" applyBorder="1"/>
    <xf numFmtId="44" fontId="5" fillId="0" borderId="1" xfId="1" applyFont="1" applyBorder="1"/>
    <xf numFmtId="44" fontId="3" fillId="0" borderId="1" xfId="0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9A42-4790-48EC-A90B-A956F82EDB58}">
  <dimension ref="A5:N48"/>
  <sheetViews>
    <sheetView tabSelected="1" topLeftCell="A4" workbookViewId="0">
      <selection activeCell="D20" sqref="D20"/>
    </sheetView>
  </sheetViews>
  <sheetFormatPr baseColWidth="10" defaultRowHeight="14.5" x14ac:dyDescent="0.35"/>
  <cols>
    <col min="1" max="1" width="29.54296875" customWidth="1"/>
    <col min="2" max="2" width="16.7265625" customWidth="1"/>
    <col min="3" max="3" width="13.1796875" style="1" bestFit="1" customWidth="1"/>
    <col min="4" max="4" width="12.81640625" style="1" bestFit="1" customWidth="1"/>
  </cols>
  <sheetData>
    <row r="5" spans="1:14" s="8" customFormat="1" x14ac:dyDescent="0.35">
      <c r="A5" s="6" t="s">
        <v>30</v>
      </c>
      <c r="B5" s="9" t="s">
        <v>44</v>
      </c>
      <c r="C5" s="7" t="s">
        <v>0</v>
      </c>
      <c r="D5" s="7" t="s">
        <v>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</row>
    <row r="6" spans="1:14" x14ac:dyDescent="0.35">
      <c r="A6" s="2" t="s">
        <v>12</v>
      </c>
      <c r="B6" s="10">
        <f>322000+17000</f>
        <v>339000</v>
      </c>
      <c r="C6" s="3">
        <f>56787+80857+62459+62459+73021+82516</f>
        <v>418099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5">
      <c r="A7" s="2" t="s">
        <v>13</v>
      </c>
      <c r="B7" s="10">
        <v>240000</v>
      </c>
      <c r="C7" s="3">
        <v>243890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5">
      <c r="A8" s="2" t="s">
        <v>14</v>
      </c>
      <c r="B8" s="10">
        <v>80540</v>
      </c>
      <c r="C8" s="3">
        <v>80150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5">
      <c r="A9" s="2" t="s">
        <v>15</v>
      </c>
      <c r="B9" s="10">
        <v>320000</v>
      </c>
      <c r="C9" s="3">
        <v>340815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5">
      <c r="A10" s="2" t="s">
        <v>16</v>
      </c>
      <c r="B10" s="10">
        <v>18100</v>
      </c>
      <c r="C10" s="3">
        <v>18300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5">
      <c r="A11" s="2" t="s">
        <v>17</v>
      </c>
      <c r="B11" s="10">
        <v>600000</v>
      </c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5">
      <c r="A12" s="2" t="s">
        <v>18</v>
      </c>
      <c r="B12" s="10">
        <v>26000</v>
      </c>
      <c r="C12" s="3">
        <v>26570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5">
      <c r="A13" s="4" t="s">
        <v>19</v>
      </c>
      <c r="B13" s="11">
        <v>362600</v>
      </c>
      <c r="C13" s="3">
        <v>238720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5">
      <c r="A14" s="5" t="s">
        <v>20</v>
      </c>
      <c r="B14" s="11">
        <v>147500</v>
      </c>
      <c r="C14" s="3">
        <v>151180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5">
      <c r="A15" s="5" t="s">
        <v>21</v>
      </c>
      <c r="B15" s="11">
        <v>798060</v>
      </c>
      <c r="C15" s="3">
        <v>100000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5">
      <c r="A16" s="2" t="s">
        <v>22</v>
      </c>
      <c r="B16" s="11">
        <v>9107000</v>
      </c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5">
      <c r="A17" s="2" t="s">
        <v>23</v>
      </c>
      <c r="B17" s="11">
        <v>2200</v>
      </c>
      <c r="C17" s="3">
        <v>3364.03</v>
      </c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5">
      <c r="A18" s="2" t="s">
        <v>55</v>
      </c>
      <c r="B18" s="11"/>
      <c r="C18" s="3">
        <v>442000</v>
      </c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5">
      <c r="A19" s="2" t="s">
        <v>24</v>
      </c>
      <c r="B19" s="11">
        <v>81500</v>
      </c>
      <c r="C19" s="3">
        <v>43581</v>
      </c>
      <c r="D19" s="3">
        <v>42160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5">
      <c r="A20" s="2" t="s">
        <v>25</v>
      </c>
      <c r="B20" s="11">
        <v>1300000</v>
      </c>
      <c r="C20" s="3"/>
      <c r="D20" s="3">
        <v>1426700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5">
      <c r="A21" s="2" t="s">
        <v>26</v>
      </c>
      <c r="B21" s="10">
        <v>724000</v>
      </c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5">
      <c r="A22" s="2" t="s">
        <v>27</v>
      </c>
      <c r="B22" s="10">
        <v>587000</v>
      </c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5">
      <c r="A23" s="2" t="s">
        <v>28</v>
      </c>
      <c r="B23" s="10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5">
      <c r="A24" s="2" t="s">
        <v>29</v>
      </c>
      <c r="B24" s="10">
        <v>135000</v>
      </c>
      <c r="C24" s="3">
        <v>136403</v>
      </c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5">
      <c r="A25" s="2" t="s">
        <v>32</v>
      </c>
      <c r="B25" s="10">
        <v>4900000</v>
      </c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5">
      <c r="A26" s="2" t="s">
        <v>33</v>
      </c>
      <c r="B26" s="10">
        <v>470000</v>
      </c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5">
      <c r="A27" s="2" t="s">
        <v>34</v>
      </c>
      <c r="B27" s="10">
        <v>125000</v>
      </c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5">
      <c r="A28" s="2" t="s">
        <v>35</v>
      </c>
      <c r="B28" s="10">
        <v>115000</v>
      </c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5">
      <c r="A29" s="2" t="s">
        <v>36</v>
      </c>
      <c r="B29" s="10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5">
      <c r="A30" s="2" t="s">
        <v>37</v>
      </c>
      <c r="B30" s="10">
        <v>50000</v>
      </c>
      <c r="C30" s="3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5">
      <c r="A31" s="2" t="s">
        <v>38</v>
      </c>
      <c r="B31" s="10">
        <f>65000+1600000+71000</f>
        <v>1736000</v>
      </c>
      <c r="C31" s="3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5">
      <c r="A32" s="2" t="s">
        <v>39</v>
      </c>
      <c r="B32" s="10"/>
      <c r="C32" s="3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5">
      <c r="A33" s="2" t="s">
        <v>52</v>
      </c>
      <c r="B33" s="10">
        <v>250000</v>
      </c>
      <c r="C33" s="3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5">
      <c r="A34" s="2" t="s">
        <v>40</v>
      </c>
      <c r="B34" s="10"/>
      <c r="C34" s="3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5">
      <c r="A35" s="2" t="s">
        <v>41</v>
      </c>
      <c r="B35" s="10"/>
      <c r="C35" s="3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5">
      <c r="A36" s="2" t="s">
        <v>42</v>
      </c>
      <c r="B36" s="10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5">
      <c r="A37" s="2" t="s">
        <v>43</v>
      </c>
      <c r="B37" s="10">
        <v>100000</v>
      </c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5">
      <c r="A38" s="2" t="s">
        <v>45</v>
      </c>
      <c r="B38" s="10">
        <v>8000</v>
      </c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5">
      <c r="A39" s="2" t="s">
        <v>46</v>
      </c>
      <c r="B39" s="10">
        <v>15000</v>
      </c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5">
      <c r="A40" s="2" t="s">
        <v>47</v>
      </c>
      <c r="B40" s="10">
        <v>30000</v>
      </c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5">
      <c r="A41" s="2" t="s">
        <v>48</v>
      </c>
      <c r="B41" s="10">
        <v>252000</v>
      </c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35">
      <c r="A42" s="2" t="s">
        <v>49</v>
      </c>
      <c r="B42" s="10">
        <v>375000</v>
      </c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35">
      <c r="A43" s="2" t="s">
        <v>50</v>
      </c>
      <c r="B43" s="10">
        <v>30000</v>
      </c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5">
      <c r="A44" s="2" t="s">
        <v>51</v>
      </c>
      <c r="B44" s="10">
        <v>25000</v>
      </c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35">
      <c r="A45" s="2" t="s">
        <v>53</v>
      </c>
      <c r="B45" s="10">
        <v>24000</v>
      </c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5">
      <c r="A46" s="2" t="s">
        <v>54</v>
      </c>
      <c r="B46" s="10">
        <v>10000</v>
      </c>
      <c r="C46" s="3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35">
      <c r="A47" s="2"/>
      <c r="B47" s="2"/>
      <c r="C47" s="3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5">
      <c r="A48" s="2" t="s">
        <v>31</v>
      </c>
      <c r="B48" s="12">
        <f>SUM(B6:B47)</f>
        <v>23383500</v>
      </c>
      <c r="C48" s="3">
        <f>+C6+C7+C8+C9+C10+C11+C12+C13+C14+C15+C16+C17+C19+C20+C21+C22+C23+C24+C33+C34+C35</f>
        <v>1801072.03</v>
      </c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TESLA</dc:creator>
  <cp:lastModifiedBy>TESLA</cp:lastModifiedBy>
  <dcterms:created xsi:type="dcterms:W3CDTF">2026-01-05T14:41:59Z</dcterms:created>
  <dcterms:modified xsi:type="dcterms:W3CDTF">2026-02-10T12:10:43Z</dcterms:modified>
</cp:coreProperties>
</file>
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LA\Desktop\ARCHIVOS VARIOS\"/>
    </mc:Choice>
  </mc:AlternateContent>
  <xr:revisionPtr revIDLastSave="0" documentId="13_ncr:1_{B678BB06-573F-443A-9DD1-DE742204F86F}" xr6:coauthVersionLast="45" xr6:coauthVersionMax="45" xr10:uidLastSave="{00000000-0000-0000-0000-000000000000}"/>
  <bookViews>
    <workbookView xWindow="-110" yWindow="-110" windowWidth="19420" windowHeight="10420" firstSheet="100" activeTab="104" xr2:uid="{00000000-000D-0000-FFFF-FFFF00000000}"/>
  </bookViews>
  <sheets>
    <sheet name="DICIEMBRE" sheetId="1" r:id="rId1"/>
    <sheet name="ENERO" sheetId="2" r:id="rId2"/>
    <sheet name="FEB" sheetId="3" r:id="rId3"/>
    <sheet name="MARZO" sheetId="4" r:id="rId4"/>
    <sheet name="ABRIL" sheetId="5" r:id="rId5"/>
    <sheet name="MAYO" sheetId="6" r:id="rId6"/>
    <sheet name="JUNIO" sheetId="7" r:id="rId7"/>
    <sheet name="JULIO" sheetId="9" r:id="rId8"/>
    <sheet name="AGOSTO" sheetId="10" r:id="rId9"/>
    <sheet name="SEPT" sheetId="11" r:id="rId10"/>
    <sheet name="OCTUBRE" sheetId="12" r:id="rId11"/>
    <sheet name="NOVIEMBRE" sheetId="17" r:id="rId12"/>
    <sheet name="DICIEMBRE21" sheetId="18" r:id="rId13"/>
    <sheet name="ENE22" sheetId="19" r:id="rId14"/>
    <sheet name="MARZO2022" sheetId="20" r:id="rId15"/>
    <sheet name="RES422" sheetId="22" r:id="rId16"/>
    <sheet name="ABRIL2022" sheetId="24" r:id="rId17"/>
    <sheet name="JUNIO2022" sheetId="26" r:id="rId18"/>
    <sheet name="JULIO2022" sheetId="27" r:id="rId19"/>
    <sheet name="RESUMEN0722" sheetId="28" r:id="rId20"/>
    <sheet name="RESUMEN0822 " sheetId="29" r:id="rId21"/>
    <sheet name="AGOSTO2022" sheetId="30" r:id="rId22"/>
    <sheet name="SETIEMBRE2022" sheetId="31" r:id="rId23"/>
    <sheet name="RESUMENSET2022" sheetId="32" r:id="rId24"/>
    <sheet name="OCTUBRE2022" sheetId="33" r:id="rId25"/>
    <sheet name="RES102022" sheetId="36" r:id="rId26"/>
    <sheet name="NOVIEMBRE2022" sheetId="37" r:id="rId27"/>
    <sheet name="RES112022" sheetId="38" r:id="rId28"/>
    <sheet name="DICYSA22022" sheetId="39" r:id="rId29"/>
    <sheet name="RES122022" sheetId="40" r:id="rId30"/>
    <sheet name="ENERO2023" sheetId="41" r:id="rId31"/>
    <sheet name="RESUMEN012023" sheetId="42" r:id="rId32"/>
    <sheet name="FEBRERO2023" sheetId="44" r:id="rId33"/>
    <sheet name="RESUMEN022023" sheetId="45" r:id="rId34"/>
    <sheet name="MARZO2023" sheetId="46" r:id="rId35"/>
    <sheet name="RESUMEN032023" sheetId="47" r:id="rId36"/>
    <sheet name="RESUMEN042023" sheetId="48" r:id="rId37"/>
    <sheet name="ABRIL2023" sheetId="49" r:id="rId38"/>
    <sheet name="RESUMEN0523" sheetId="50" r:id="rId39"/>
    <sheet name="MAYO2023" sheetId="51" r:id="rId40"/>
    <sheet name="Hoja1" sheetId="52" r:id="rId41"/>
    <sheet name="JUNIOYSAC1" sheetId="53" r:id="rId42"/>
    <sheet name="RESUMENJULIO2023" sheetId="54" r:id="rId43"/>
    <sheet name="JULIO2023" sheetId="55" r:id="rId44"/>
    <sheet name="AGOSTO2023" sheetId="56" r:id="rId45"/>
    <sheet name="BAJAS AGOSTO2023" sheetId="57" r:id="rId46"/>
    <sheet name="RESUMEN0823" sheetId="58" r:id="rId47"/>
    <sheet name="SETIEMBRE2023" sheetId="59" r:id="rId48"/>
    <sheet name="RESUMEN0923" sheetId="60" r:id="rId49"/>
    <sheet name="OCTUBRE2023" sheetId="61" r:id="rId50"/>
    <sheet name="RESUMEN1023" sheetId="62" r:id="rId51"/>
    <sheet name="NOVIEMBRE2023" sheetId="63" r:id="rId52"/>
    <sheet name="RESUMEN122023" sheetId="64" r:id="rId53"/>
    <sheet name="DICIEMBRE2023" sheetId="65" r:id="rId54"/>
    <sheet name="SACCTA22023" sheetId="66" r:id="rId55"/>
    <sheet name="ENERO2024" sheetId="67" r:id="rId56"/>
    <sheet name="RESUMEN012024" sheetId="68" r:id="rId57"/>
    <sheet name="FEBRERO2024" sheetId="69" r:id="rId58"/>
    <sheet name="RESUMEN022024" sheetId="70" r:id="rId59"/>
    <sheet name="MARZO2024" sheetId="71" r:id="rId60"/>
    <sheet name="RESUMEN032024" sheetId="72" r:id="rId61"/>
    <sheet name="ABRIL2024" sheetId="73" r:id="rId62"/>
    <sheet name="RESUMEN042024" sheetId="74" r:id="rId63"/>
    <sheet name="MAYO2024" sheetId="75" r:id="rId64"/>
    <sheet name="RESUMEN052024" sheetId="76" r:id="rId65"/>
    <sheet name="JUNIO2024+SAC" sheetId="77" r:id="rId66"/>
    <sheet name="JULIO2024" sheetId="79" r:id="rId67"/>
    <sheet name="AGO24" sheetId="80" r:id="rId68"/>
    <sheet name="SET24" sheetId="81" r:id="rId69"/>
    <sheet name="OCT24" sheetId="82" r:id="rId70"/>
    <sheet name="RESUMENOCT2024 " sheetId="83" r:id="rId71"/>
    <sheet name="NOV24" sheetId="85" r:id="rId72"/>
    <sheet name="RESUMEN112024" sheetId="87" r:id="rId73"/>
    <sheet name="RESUMEN122024" sheetId="89" r:id="rId74"/>
    <sheet name="DICYvac2024" sheetId="88" r:id="rId75"/>
    <sheet name="ENE2025" sheetId="90" r:id="rId76"/>
    <sheet name="RESUMEN 012025" sheetId="91" r:id="rId77"/>
    <sheet name="FEBRERO2025" sheetId="92" r:id="rId78"/>
    <sheet name="RESUMEN 022025" sheetId="93" r:id="rId79"/>
    <sheet name="MARZO2025" sheetId="94" r:id="rId80"/>
    <sheet name="RESUMEN032025" sheetId="95" r:id="rId81"/>
    <sheet name="ABRIL2025" sheetId="96" r:id="rId82"/>
    <sheet name="RESUMEN 042025" sheetId="97" r:id="rId83"/>
    <sheet name="MAYO2025" sheetId="98" r:id="rId84"/>
    <sheet name="JUNIO2025" sheetId="100" r:id="rId85"/>
    <sheet name="RESUMEN 052025" sheetId="99" r:id="rId86"/>
    <sheet name="RESUMEN062025+SAC" sheetId="102" r:id="rId87"/>
    <sheet name="JULIO2025" sheetId="103" r:id="rId88"/>
    <sheet name="RESUMEN072025" sheetId="104" r:id="rId89"/>
    <sheet name="AGOSTO2025" sheetId="105" r:id="rId90"/>
    <sheet name="RESUMEN082025" sheetId="106" r:id="rId91"/>
    <sheet name="SETIEMBRE2025" sheetId="107" r:id="rId92"/>
    <sheet name="RESUMEN0925" sheetId="108" r:id="rId93"/>
    <sheet name="OCTUBRE2025" sheetId="109" r:id="rId94"/>
    <sheet name="RESUMEN102025" sheetId="110" r:id="rId95"/>
    <sheet name="NOV2025" sheetId="112" r:id="rId96"/>
    <sheet name="RESUMEN122025" sheetId="113" r:id="rId97"/>
    <sheet name="DIC2025" sheetId="114" r:id="rId98"/>
    <sheet name="SACCTA2" sheetId="115" r:id="rId99"/>
    <sheet name="VACACIONES2025" sheetId="116" r:id="rId100"/>
    <sheet name="VACACIONES2026 (2)" sheetId="117" r:id="rId101"/>
    <sheet name="ENE2026" sheetId="118" r:id="rId102"/>
    <sheet name="RESUMEN012026" sheetId="119" r:id="rId103"/>
    <sheet name="FEBRERO 2026" sheetId="120" r:id="rId104"/>
    <sheet name="RESUMEN022026" sheetId="121" r:id="rId105"/>
  </sheets>
  <externalReferences>
    <externalReference r:id="rId106"/>
  </externalReferences>
  <definedNames>
    <definedName name="_xlnm._FilterDatabase" localSheetId="1" hidden="1">ENERO!$G$1:$O$27</definedName>
    <definedName name="_xlnm.Print_Area" localSheetId="4">ABRIL!$B$48:$E$55</definedName>
    <definedName name="_xlnm.Print_Area" localSheetId="8">AGOSTO!$G$1:$P$27</definedName>
    <definedName name="_xlnm.Print_Area" localSheetId="0">DICIEMBRE!$A$1:$E$72</definedName>
    <definedName name="_xlnm.Print_Area" localSheetId="12">DICIEMBRE21!$H$1:$T$14</definedName>
    <definedName name="_xlnm.Print_Area" localSheetId="13">'ENE22'!$B$169:$F$189</definedName>
    <definedName name="_xlnm.Print_Area" localSheetId="1">ENERO!$B$55:$F$63</definedName>
    <definedName name="_xlnm.Print_Area" localSheetId="2">FEB!$G$1:$O$13</definedName>
    <definedName name="_xlnm.Print_Area" localSheetId="7">JULIO!$L$17:$O$27</definedName>
    <definedName name="_xlnm.Print_Area" localSheetId="6">JUNIO!$G$1:$P$11</definedName>
    <definedName name="_xlnm.Print_Area" localSheetId="3">MARZO!$B$1:$G$79</definedName>
    <definedName name="_xlnm.Print_Area" localSheetId="5">MAYO!$G$1:$O$12</definedName>
    <definedName name="_xlnm.Print_Area" localSheetId="11">NOVIEMBRE!$B$94:$E$105</definedName>
    <definedName name="_xlnm.Print_Area" localSheetId="10">OCTUBRE!$B$1:$E$13</definedName>
    <definedName name="_xlnm.Print_Area" localSheetId="9">SEPT!$G$1:$P$20</definedName>
  </definedNames>
  <calcPr calcId="191029"/>
</workbook>
</file>

<file path=xl/calcChain.xml><?xml version="1.0" encoding="utf-8"?>
<calcChain xmlns="http://schemas.openxmlformats.org/spreadsheetml/2006/main">
  <c r="D136" i="120" l="1"/>
  <c r="B41" i="120" l="1"/>
  <c r="C159" i="120"/>
  <c r="D47" i="121" l="1"/>
  <c r="D46" i="121"/>
  <c r="D45" i="121"/>
  <c r="D44" i="121"/>
  <c r="D48" i="121" s="1"/>
  <c r="D23" i="121"/>
  <c r="C23" i="121"/>
  <c r="D17" i="121"/>
  <c r="D2" i="121" s="1"/>
  <c r="C17" i="121"/>
  <c r="D180" i="120"/>
  <c r="D179" i="120"/>
  <c r="D178" i="120"/>
  <c r="D177" i="120"/>
  <c r="D183" i="120" s="1"/>
  <c r="D186" i="120" s="1"/>
  <c r="D176" i="120"/>
  <c r="C163" i="120"/>
  <c r="D163" i="120" s="1"/>
  <c r="D162" i="120"/>
  <c r="C162" i="120"/>
  <c r="D159" i="120"/>
  <c r="D158" i="120"/>
  <c r="C158" i="120"/>
  <c r="D157" i="120"/>
  <c r="D166" i="120" s="1"/>
  <c r="D169" i="120" s="1"/>
  <c r="C146" i="120"/>
  <c r="D146" i="120" s="1"/>
  <c r="D144" i="120"/>
  <c r="C142" i="120"/>
  <c r="C143" i="120" s="1"/>
  <c r="D143" i="120" s="1"/>
  <c r="D141" i="120"/>
  <c r="C128" i="120"/>
  <c r="D128" i="120" s="1"/>
  <c r="D127" i="120"/>
  <c r="D126" i="120"/>
  <c r="C125" i="120"/>
  <c r="D125" i="120" s="1"/>
  <c r="C124" i="120"/>
  <c r="D124" i="120" s="1"/>
  <c r="D123" i="120"/>
  <c r="D112" i="120"/>
  <c r="C112" i="120"/>
  <c r="C111" i="120"/>
  <c r="D111" i="120" s="1"/>
  <c r="D110" i="120"/>
  <c r="C108" i="120"/>
  <c r="D108" i="120" s="1"/>
  <c r="D107" i="120"/>
  <c r="C95" i="120"/>
  <c r="D95" i="120" s="1"/>
  <c r="C94" i="120"/>
  <c r="D94" i="120" s="1"/>
  <c r="D93" i="120"/>
  <c r="D92" i="120"/>
  <c r="C91" i="120"/>
  <c r="D91" i="120" s="1"/>
  <c r="C90" i="120"/>
  <c r="D90" i="120" s="1"/>
  <c r="D89" i="120"/>
  <c r="D79" i="120"/>
  <c r="C79" i="120"/>
  <c r="C78" i="120"/>
  <c r="D78" i="120" s="1"/>
  <c r="D76" i="120"/>
  <c r="C75" i="120"/>
  <c r="D75" i="120" s="1"/>
  <c r="D74" i="120"/>
  <c r="D64" i="120"/>
  <c r="C64" i="120"/>
  <c r="D63" i="120"/>
  <c r="C63" i="120"/>
  <c r="D62" i="120"/>
  <c r="D61" i="120"/>
  <c r="D60" i="120"/>
  <c r="C60" i="120"/>
  <c r="C59" i="120"/>
  <c r="D59" i="120" s="1"/>
  <c r="D58" i="120"/>
  <c r="D67" i="120" s="1"/>
  <c r="D69" i="120" s="1"/>
  <c r="C45" i="120"/>
  <c r="D45" i="120" s="1"/>
  <c r="C44" i="120"/>
  <c r="D44" i="120" s="1"/>
  <c r="C41" i="120"/>
  <c r="D41" i="120" s="1"/>
  <c r="C40" i="120"/>
  <c r="D40" i="120" s="1"/>
  <c r="D39" i="120"/>
  <c r="D28" i="120"/>
  <c r="C28" i="120"/>
  <c r="D27" i="120"/>
  <c r="C27" i="120"/>
  <c r="D26" i="120"/>
  <c r="D25" i="120"/>
  <c r="D24" i="120"/>
  <c r="C24" i="120"/>
  <c r="D23" i="120"/>
  <c r="C23" i="120"/>
  <c r="D22" i="120"/>
  <c r="C11" i="120"/>
  <c r="D11" i="120" s="1"/>
  <c r="D10" i="120"/>
  <c r="C10" i="120"/>
  <c r="C7" i="120"/>
  <c r="D7" i="120" s="1"/>
  <c r="D6" i="120"/>
  <c r="C6" i="120"/>
  <c r="D5" i="120"/>
  <c r="D82" i="120" l="1"/>
  <c r="D84" i="120" s="1"/>
  <c r="D48" i="120"/>
  <c r="D51" i="120" s="1"/>
  <c r="D53" i="120" s="1"/>
  <c r="D31" i="120"/>
  <c r="D34" i="120" s="1"/>
  <c r="D14" i="120"/>
  <c r="D17" i="120" s="1"/>
  <c r="D98" i="120"/>
  <c r="D100" i="120" s="1"/>
  <c r="D102" i="120" s="1"/>
  <c r="D115" i="120"/>
  <c r="D118" i="120" s="1"/>
  <c r="D131" i="120"/>
  <c r="D134" i="120" s="1"/>
  <c r="D142" i="120"/>
  <c r="D149" i="120" s="1"/>
  <c r="D151" i="120" s="1"/>
  <c r="D47" i="119"/>
  <c r="D46" i="119"/>
  <c r="D45" i="119"/>
  <c r="D44" i="119"/>
  <c r="D23" i="119"/>
  <c r="C23" i="119"/>
  <c r="D17" i="119"/>
  <c r="C17" i="119"/>
  <c r="D48" i="119" l="1"/>
  <c r="D2" i="119"/>
  <c r="D156" i="118"/>
  <c r="C157" i="118"/>
  <c r="D157" i="118" s="1"/>
  <c r="C156" i="118"/>
  <c r="C125" i="118"/>
  <c r="D125" i="118" s="1"/>
  <c r="C60" i="118" l="1"/>
  <c r="B60" i="118"/>
  <c r="D60" i="118" s="1"/>
  <c r="C41" i="118" l="1"/>
  <c r="D41" i="118" s="1"/>
  <c r="B7" i="118"/>
  <c r="D178" i="118"/>
  <c r="D177" i="118"/>
  <c r="D176" i="118"/>
  <c r="D175" i="118"/>
  <c r="D174" i="118"/>
  <c r="C161" i="118"/>
  <c r="D161" i="118" s="1"/>
  <c r="C160" i="118"/>
  <c r="D160" i="118" s="1"/>
  <c r="D164" i="118" s="1"/>
  <c r="D159" i="118"/>
  <c r="D158" i="118"/>
  <c r="D155" i="118"/>
  <c r="C144" i="118"/>
  <c r="D144" i="118" s="1"/>
  <c r="D142" i="118"/>
  <c r="C140" i="118"/>
  <c r="D140" i="118" s="1"/>
  <c r="D139" i="118"/>
  <c r="C128" i="118"/>
  <c r="D128" i="118" s="1"/>
  <c r="D127" i="118"/>
  <c r="D126" i="118"/>
  <c r="C124" i="118"/>
  <c r="D124" i="118" s="1"/>
  <c r="D123" i="118"/>
  <c r="D131" i="118" s="1"/>
  <c r="C112" i="118"/>
  <c r="D112" i="118" s="1"/>
  <c r="C111" i="118"/>
  <c r="D111" i="118" s="1"/>
  <c r="D110" i="118"/>
  <c r="C108" i="118"/>
  <c r="D108" i="118" s="1"/>
  <c r="D107" i="118"/>
  <c r="C95" i="118"/>
  <c r="D95" i="118" s="1"/>
  <c r="C94" i="118"/>
  <c r="D94" i="118" s="1"/>
  <c r="D93" i="118"/>
  <c r="D92" i="118"/>
  <c r="C91" i="118"/>
  <c r="D91" i="118" s="1"/>
  <c r="C90" i="118"/>
  <c r="D90" i="118" s="1"/>
  <c r="D89" i="118"/>
  <c r="C79" i="118"/>
  <c r="D79" i="118" s="1"/>
  <c r="C78" i="118"/>
  <c r="D78" i="118" s="1"/>
  <c r="D76" i="118"/>
  <c r="C75" i="118"/>
  <c r="D75" i="118" s="1"/>
  <c r="D74" i="118"/>
  <c r="C64" i="118"/>
  <c r="D64" i="118" s="1"/>
  <c r="C63" i="118"/>
  <c r="D63" i="118" s="1"/>
  <c r="D62" i="118"/>
  <c r="D61" i="118"/>
  <c r="C59" i="118"/>
  <c r="D59" i="118" s="1"/>
  <c r="D58" i="118"/>
  <c r="A50" i="118"/>
  <c r="A49" i="118"/>
  <c r="C45" i="118"/>
  <c r="D45" i="118" s="1"/>
  <c r="C44" i="118"/>
  <c r="D44" i="118" s="1"/>
  <c r="D43" i="118"/>
  <c r="D42" i="118"/>
  <c r="C40" i="118"/>
  <c r="D40" i="118" s="1"/>
  <c r="D39" i="118"/>
  <c r="C28" i="118"/>
  <c r="D28" i="118" s="1"/>
  <c r="C27" i="118"/>
  <c r="D27" i="118" s="1"/>
  <c r="D26" i="118"/>
  <c r="D25" i="118"/>
  <c r="C24" i="118"/>
  <c r="D24" i="118" s="1"/>
  <c r="C23" i="118"/>
  <c r="D23" i="118" s="1"/>
  <c r="D22" i="118"/>
  <c r="C11" i="118"/>
  <c r="D11" i="118" s="1"/>
  <c r="C10" i="118"/>
  <c r="D10" i="118" s="1"/>
  <c r="C7" i="118"/>
  <c r="C6" i="118"/>
  <c r="D6" i="118" s="1"/>
  <c r="D5" i="118"/>
  <c r="D67" i="118" l="1"/>
  <c r="D69" i="118" s="1"/>
  <c r="D31" i="118"/>
  <c r="D34" i="118" s="1"/>
  <c r="D48" i="118"/>
  <c r="D7" i="118"/>
  <c r="D181" i="118"/>
  <c r="D184" i="118" s="1"/>
  <c r="D167" i="118"/>
  <c r="D98" i="118"/>
  <c r="D100" i="118" s="1"/>
  <c r="D102" i="118" s="1"/>
  <c r="D115" i="118"/>
  <c r="D118" i="118" s="1"/>
  <c r="D51" i="118"/>
  <c r="D53" i="118" s="1"/>
  <c r="D14" i="118"/>
  <c r="D17" i="118" s="1"/>
  <c r="D82" i="118"/>
  <c r="D84" i="118" s="1"/>
  <c r="D134" i="118"/>
  <c r="C141" i="118"/>
  <c r="D141" i="118" s="1"/>
  <c r="D147" i="118" s="1"/>
  <c r="D149" i="118" s="1"/>
  <c r="C17" i="110"/>
  <c r="C23" i="110"/>
  <c r="D12" i="117" l="1"/>
  <c r="C12" i="117"/>
  <c r="B12" i="117"/>
  <c r="C175" i="117"/>
  <c r="D175" i="117" s="1"/>
  <c r="B175" i="117"/>
  <c r="D173" i="117"/>
  <c r="C173" i="117"/>
  <c r="C172" i="117"/>
  <c r="D172" i="117" s="1"/>
  <c r="D171" i="117"/>
  <c r="D170" i="117"/>
  <c r="D169" i="117"/>
  <c r="C169" i="117"/>
  <c r="D168" i="117"/>
  <c r="C158" i="117"/>
  <c r="B158" i="117"/>
  <c r="C156" i="117"/>
  <c r="D156" i="117" s="1"/>
  <c r="C155" i="117"/>
  <c r="D155" i="117" s="1"/>
  <c r="D154" i="117"/>
  <c r="D153" i="117"/>
  <c r="D152" i="117"/>
  <c r="C152" i="117"/>
  <c r="D151" i="117"/>
  <c r="C142" i="117"/>
  <c r="D142" i="117" s="1"/>
  <c r="D141" i="117"/>
  <c r="C140" i="117"/>
  <c r="D140" i="117" s="1"/>
  <c r="D138" i="117"/>
  <c r="C136" i="117"/>
  <c r="D136" i="117" s="1"/>
  <c r="D135" i="117"/>
  <c r="C126" i="117"/>
  <c r="D126" i="117" s="1"/>
  <c r="C124" i="117"/>
  <c r="D124" i="117" s="1"/>
  <c r="D123" i="117"/>
  <c r="D122" i="117"/>
  <c r="C121" i="117"/>
  <c r="D121" i="117" s="1"/>
  <c r="D120" i="117"/>
  <c r="C111" i="117"/>
  <c r="D111" i="117" s="1"/>
  <c r="B111" i="117"/>
  <c r="C109" i="117"/>
  <c r="D109" i="117" s="1"/>
  <c r="C108" i="117"/>
  <c r="D108" i="117" s="1"/>
  <c r="D107" i="117"/>
  <c r="C105" i="117"/>
  <c r="D105" i="117" s="1"/>
  <c r="D104" i="117"/>
  <c r="D94" i="117"/>
  <c r="C92" i="117"/>
  <c r="D92" i="117" s="1"/>
  <c r="C91" i="117"/>
  <c r="D91" i="117" s="1"/>
  <c r="D90" i="117"/>
  <c r="D89" i="117"/>
  <c r="C88" i="117"/>
  <c r="B88" i="117"/>
  <c r="D88" i="117" s="1"/>
  <c r="C87" i="117"/>
  <c r="D87" i="117" s="1"/>
  <c r="D86" i="117"/>
  <c r="D78" i="117"/>
  <c r="C78" i="117"/>
  <c r="B78" i="117"/>
  <c r="C76" i="117"/>
  <c r="D76" i="117" s="1"/>
  <c r="C75" i="117"/>
  <c r="D75" i="117" s="1"/>
  <c r="D73" i="117"/>
  <c r="D72" i="117"/>
  <c r="C72" i="117"/>
  <c r="D71" i="117"/>
  <c r="C63" i="117"/>
  <c r="D63" i="117" s="1"/>
  <c r="C61" i="117"/>
  <c r="D61" i="117" s="1"/>
  <c r="C60" i="117"/>
  <c r="D60" i="117" s="1"/>
  <c r="D59" i="117"/>
  <c r="D58" i="117"/>
  <c r="C57" i="117"/>
  <c r="D57" i="117" s="1"/>
  <c r="D56" i="117"/>
  <c r="A48" i="117"/>
  <c r="A47" i="117"/>
  <c r="C45" i="117"/>
  <c r="D45" i="117" s="1"/>
  <c r="C43" i="117"/>
  <c r="D43" i="117" s="1"/>
  <c r="C42" i="117"/>
  <c r="D42" i="117" s="1"/>
  <c r="D41" i="117"/>
  <c r="D40" i="117"/>
  <c r="C39" i="117"/>
  <c r="D39" i="117" s="1"/>
  <c r="D38" i="117"/>
  <c r="C28" i="117"/>
  <c r="D28" i="117" s="1"/>
  <c r="C27" i="117"/>
  <c r="D27" i="117" s="1"/>
  <c r="D26" i="117"/>
  <c r="D25" i="117"/>
  <c r="D24" i="117"/>
  <c r="C24" i="117"/>
  <c r="C23" i="117"/>
  <c r="D23" i="117" s="1"/>
  <c r="C22" i="117"/>
  <c r="D22" i="117" s="1"/>
  <c r="D21" i="117"/>
  <c r="C10" i="117"/>
  <c r="D10" i="117" s="1"/>
  <c r="C9" i="117"/>
  <c r="D9" i="117" s="1"/>
  <c r="C6" i="117"/>
  <c r="D6" i="117" s="1"/>
  <c r="D5" i="117"/>
  <c r="D31" i="117" l="1"/>
  <c r="D33" i="117" s="1"/>
  <c r="D79" i="117"/>
  <c r="D81" i="117" s="1"/>
  <c r="D95" i="117"/>
  <c r="D97" i="117" s="1"/>
  <c r="D99" i="117" s="1"/>
  <c r="D46" i="117"/>
  <c r="D49" i="117" s="1"/>
  <c r="D51" i="117" s="1"/>
  <c r="D143" i="117"/>
  <c r="D145" i="117" s="1"/>
  <c r="D158" i="117"/>
  <c r="D159" i="117" s="1"/>
  <c r="D162" i="117" s="1"/>
  <c r="C137" i="117"/>
  <c r="D137" i="117" s="1"/>
  <c r="D112" i="117"/>
  <c r="D115" i="117" s="1"/>
  <c r="D176" i="117"/>
  <c r="D179" i="117" s="1"/>
  <c r="D64" i="117"/>
  <c r="D66" i="117" s="1"/>
  <c r="D127" i="117"/>
  <c r="D130" i="117" s="1"/>
  <c r="D162" i="114"/>
  <c r="D159" i="114"/>
  <c r="C159" i="114"/>
  <c r="D48" i="114"/>
  <c r="D45" i="114"/>
  <c r="C45" i="114"/>
  <c r="D30" i="114"/>
  <c r="C30" i="114"/>
  <c r="D197" i="114" l="1"/>
  <c r="D195" i="114"/>
  <c r="D194" i="114"/>
  <c r="D193" i="114"/>
  <c r="D192" i="114"/>
  <c r="D191" i="114"/>
  <c r="D190" i="114"/>
  <c r="D189" i="114"/>
  <c r="D198" i="114" l="1"/>
  <c r="D201" i="114" s="1"/>
  <c r="D106" i="114"/>
  <c r="D114" i="114" s="1"/>
  <c r="D117" i="114" s="1"/>
  <c r="C107" i="114"/>
  <c r="D107" i="114"/>
  <c r="D109" i="114"/>
  <c r="C110" i="114"/>
  <c r="D110" i="114"/>
  <c r="C111" i="114"/>
  <c r="D111" i="114"/>
  <c r="C113" i="114"/>
  <c r="D113" i="114"/>
  <c r="C161" i="114"/>
  <c r="D161" i="114" s="1"/>
  <c r="B139" i="114"/>
  <c r="B138" i="114" l="1"/>
  <c r="C128" i="114"/>
  <c r="B128" i="114"/>
  <c r="D128" i="114" s="1"/>
  <c r="B123" i="114"/>
  <c r="B90" i="114"/>
  <c r="C47" i="114"/>
  <c r="B47" i="114"/>
  <c r="D47" i="114" s="1"/>
  <c r="B40" i="114"/>
  <c r="B24" i="114"/>
  <c r="C13" i="114"/>
  <c r="B13" i="114"/>
  <c r="D13" i="114" l="1"/>
  <c r="D112" i="116"/>
  <c r="D177" i="116" l="1"/>
  <c r="B176" i="116"/>
  <c r="C159" i="116"/>
  <c r="B159" i="116"/>
  <c r="D159" i="116" s="1"/>
  <c r="C112" i="116"/>
  <c r="B112" i="116"/>
  <c r="B89" i="116"/>
  <c r="C79" i="116"/>
  <c r="B79" i="116"/>
  <c r="D79" i="116" s="1"/>
  <c r="D64" i="116"/>
  <c r="C64" i="116"/>
  <c r="C176" i="116"/>
  <c r="D176" i="116" s="1"/>
  <c r="C174" i="116"/>
  <c r="D174" i="116" s="1"/>
  <c r="C173" i="116"/>
  <c r="D173" i="116" s="1"/>
  <c r="D172" i="116"/>
  <c r="D171" i="116"/>
  <c r="C170" i="116"/>
  <c r="D170" i="116" s="1"/>
  <c r="D169" i="116"/>
  <c r="C157" i="116"/>
  <c r="D157" i="116" s="1"/>
  <c r="C156" i="116"/>
  <c r="D156" i="116" s="1"/>
  <c r="D155" i="116"/>
  <c r="D154" i="116"/>
  <c r="C153" i="116"/>
  <c r="D153" i="116" s="1"/>
  <c r="D152" i="116"/>
  <c r="C143" i="116"/>
  <c r="D143" i="116" s="1"/>
  <c r="D142" i="116"/>
  <c r="C141" i="116"/>
  <c r="D141" i="116" s="1"/>
  <c r="D139" i="116"/>
  <c r="C137" i="116"/>
  <c r="D137" i="116" s="1"/>
  <c r="D136" i="116"/>
  <c r="C127" i="116"/>
  <c r="D127" i="116" s="1"/>
  <c r="C125" i="116"/>
  <c r="D125" i="116" s="1"/>
  <c r="D124" i="116"/>
  <c r="D123" i="116"/>
  <c r="D122" i="116"/>
  <c r="C122" i="116"/>
  <c r="D121" i="116"/>
  <c r="C110" i="116"/>
  <c r="D110" i="116" s="1"/>
  <c r="C109" i="116"/>
  <c r="D109" i="116" s="1"/>
  <c r="D108" i="116"/>
  <c r="D106" i="116"/>
  <c r="C106" i="116"/>
  <c r="D105" i="116"/>
  <c r="D95" i="116"/>
  <c r="C93" i="116"/>
  <c r="D93" i="116" s="1"/>
  <c r="C92" i="116"/>
  <c r="D92" i="116" s="1"/>
  <c r="D91" i="116"/>
  <c r="D90" i="116"/>
  <c r="C89" i="116"/>
  <c r="D89" i="116" s="1"/>
  <c r="C88" i="116"/>
  <c r="D88" i="116" s="1"/>
  <c r="D87" i="116"/>
  <c r="C77" i="116"/>
  <c r="D77" i="116" s="1"/>
  <c r="C76" i="116"/>
  <c r="D76" i="116" s="1"/>
  <c r="D74" i="116"/>
  <c r="C73" i="116"/>
  <c r="D73" i="116" s="1"/>
  <c r="D72" i="116"/>
  <c r="C62" i="116"/>
  <c r="D62" i="116" s="1"/>
  <c r="C61" i="116"/>
  <c r="D61" i="116" s="1"/>
  <c r="D60" i="116"/>
  <c r="D59" i="116"/>
  <c r="C58" i="116"/>
  <c r="D58" i="116" s="1"/>
  <c r="D57" i="116"/>
  <c r="A49" i="116"/>
  <c r="A48" i="116"/>
  <c r="C46" i="116"/>
  <c r="D46" i="116" s="1"/>
  <c r="C44" i="116"/>
  <c r="D44" i="116" s="1"/>
  <c r="C43" i="116"/>
  <c r="D43" i="116" s="1"/>
  <c r="D42" i="116"/>
  <c r="D41" i="116"/>
  <c r="D40" i="116"/>
  <c r="C40" i="116"/>
  <c r="D39" i="116"/>
  <c r="C29" i="116"/>
  <c r="D29" i="116" s="1"/>
  <c r="C28" i="116"/>
  <c r="D28" i="116" s="1"/>
  <c r="D27" i="116"/>
  <c r="D26" i="116"/>
  <c r="C25" i="116"/>
  <c r="D25" i="116" s="1"/>
  <c r="C24" i="116"/>
  <c r="D24" i="116" s="1"/>
  <c r="C23" i="116"/>
  <c r="D23" i="116" s="1"/>
  <c r="D22" i="116"/>
  <c r="C13" i="116"/>
  <c r="D13" i="116" s="1"/>
  <c r="C11" i="116"/>
  <c r="D11" i="116" s="1"/>
  <c r="C10" i="116"/>
  <c r="D10" i="116" s="1"/>
  <c r="C7" i="116"/>
  <c r="D7" i="116" s="1"/>
  <c r="C6" i="116"/>
  <c r="D6" i="116" s="1"/>
  <c r="D5" i="116"/>
  <c r="D47" i="116" l="1"/>
  <c r="D50" i="116" s="1"/>
  <c r="D52" i="116" s="1"/>
  <c r="C138" i="116"/>
  <c r="D138" i="116" s="1"/>
  <c r="D160" i="116"/>
  <c r="D163" i="116" s="1"/>
  <c r="D180" i="116"/>
  <c r="D113" i="116"/>
  <c r="D116" i="116" s="1"/>
  <c r="D96" i="116"/>
  <c r="D98" i="116" s="1"/>
  <c r="D100" i="116" s="1"/>
  <c r="D65" i="116"/>
  <c r="D67" i="116" s="1"/>
  <c r="D80" i="116"/>
  <c r="D82" i="116" s="1"/>
  <c r="D14" i="116"/>
  <c r="D17" i="116" s="1"/>
  <c r="D32" i="116"/>
  <c r="D34" i="116" s="1"/>
  <c r="D128" i="116"/>
  <c r="D131" i="116" s="1"/>
  <c r="D144" i="116"/>
  <c r="D146" i="116" s="1"/>
  <c r="G3" i="113"/>
  <c r="G24" i="113"/>
  <c r="G18" i="113"/>
  <c r="G8" i="113"/>
  <c r="G6" i="113"/>
  <c r="E3" i="113" l="1"/>
  <c r="E18" i="113" l="1"/>
  <c r="E24" i="113"/>
  <c r="C179" i="114"/>
  <c r="D179" i="114" s="1"/>
  <c r="D144" i="114"/>
  <c r="F2" i="115"/>
  <c r="E10" i="115" l="1"/>
  <c r="E9" i="115"/>
  <c r="E8" i="115"/>
  <c r="E7" i="115"/>
  <c r="E6" i="115"/>
  <c r="E5" i="115"/>
  <c r="E4" i="115"/>
  <c r="E3" i="115"/>
  <c r="E2" i="115"/>
  <c r="D96" i="114"/>
  <c r="C80" i="114"/>
  <c r="D80" i="114" s="1"/>
  <c r="C65" i="114"/>
  <c r="D65" i="114" s="1"/>
  <c r="D22" i="114"/>
  <c r="C23" i="114"/>
  <c r="D23" i="114" s="1"/>
  <c r="C24" i="114"/>
  <c r="D24" i="114"/>
  <c r="D26" i="114"/>
  <c r="C27" i="114"/>
  <c r="D27" i="114" s="1"/>
  <c r="C28" i="114"/>
  <c r="D28" i="114"/>
  <c r="C177" i="114"/>
  <c r="D177" i="114" s="1"/>
  <c r="C176" i="114"/>
  <c r="D176" i="114" s="1"/>
  <c r="D175" i="114"/>
  <c r="D174" i="114"/>
  <c r="C173" i="114"/>
  <c r="D173" i="114" s="1"/>
  <c r="C172" i="114"/>
  <c r="D172" i="114" s="1"/>
  <c r="D171" i="114"/>
  <c r="C158" i="114"/>
  <c r="D158" i="114" s="1"/>
  <c r="C157" i="114"/>
  <c r="D157" i="114" s="1"/>
  <c r="D156" i="114"/>
  <c r="D155" i="114"/>
  <c r="C154" i="114"/>
  <c r="D154" i="114" s="1"/>
  <c r="D153" i="114"/>
  <c r="D143" i="114"/>
  <c r="C142" i="114"/>
  <c r="D142" i="114" s="1"/>
  <c r="D140" i="114"/>
  <c r="C138" i="114"/>
  <c r="C139" i="114" s="1"/>
  <c r="D139" i="114" s="1"/>
  <c r="D137" i="114"/>
  <c r="C126" i="114"/>
  <c r="D126" i="114" s="1"/>
  <c r="D125" i="114"/>
  <c r="D124" i="114"/>
  <c r="C123" i="114"/>
  <c r="D123" i="114" s="1"/>
  <c r="D122" i="114"/>
  <c r="C94" i="114"/>
  <c r="D94" i="114" s="1"/>
  <c r="C93" i="114"/>
  <c r="D93" i="114" s="1"/>
  <c r="D92" i="114"/>
  <c r="D91" i="114"/>
  <c r="C90" i="114"/>
  <c r="D90" i="114" s="1"/>
  <c r="C89" i="114"/>
  <c r="D89" i="114" s="1"/>
  <c r="D88" i="114"/>
  <c r="C78" i="114"/>
  <c r="D78" i="114" s="1"/>
  <c r="C77" i="114"/>
  <c r="D77" i="114" s="1"/>
  <c r="D75" i="114"/>
  <c r="C74" i="114"/>
  <c r="D74" i="114" s="1"/>
  <c r="D73" i="114"/>
  <c r="C63" i="114"/>
  <c r="D63" i="114" s="1"/>
  <c r="C62" i="114"/>
  <c r="D62" i="114" s="1"/>
  <c r="D61" i="114"/>
  <c r="D60" i="114"/>
  <c r="C59" i="114"/>
  <c r="D59" i="114" s="1"/>
  <c r="D58" i="114"/>
  <c r="A50" i="114"/>
  <c r="A49" i="114"/>
  <c r="C44" i="114"/>
  <c r="D44" i="114" s="1"/>
  <c r="C43" i="114"/>
  <c r="D43" i="114" s="1"/>
  <c r="D42" i="114"/>
  <c r="D41" i="114"/>
  <c r="C40" i="114"/>
  <c r="D40" i="114" s="1"/>
  <c r="D39" i="114"/>
  <c r="C11" i="114"/>
  <c r="D11" i="114" s="1"/>
  <c r="C10" i="114"/>
  <c r="D10" i="114" s="1"/>
  <c r="C7" i="114"/>
  <c r="D7" i="114" s="1"/>
  <c r="C6" i="114"/>
  <c r="D6" i="114" s="1"/>
  <c r="D5" i="114"/>
  <c r="D31" i="114" l="1"/>
  <c r="D34" i="114" s="1"/>
  <c r="D129" i="114"/>
  <c r="D132" i="114" s="1"/>
  <c r="D180" i="114"/>
  <c r="D183" i="114" s="1"/>
  <c r="D14" i="114"/>
  <c r="D17" i="114" s="1"/>
  <c r="D51" i="114"/>
  <c r="D53" i="114" s="1"/>
  <c r="D97" i="114"/>
  <c r="D99" i="114" s="1"/>
  <c r="D101" i="114" s="1"/>
  <c r="D66" i="114"/>
  <c r="D68" i="114" s="1"/>
  <c r="D81" i="114"/>
  <c r="D83" i="114" s="1"/>
  <c r="D165" i="114"/>
  <c r="D138" i="114"/>
  <c r="D145" i="114" s="1"/>
  <c r="D147" i="114" s="1"/>
  <c r="D98" i="112"/>
  <c r="D74" i="112"/>
  <c r="C24" i="112"/>
  <c r="B24" i="112"/>
  <c r="D24" i="112" s="1"/>
  <c r="C7" i="112"/>
  <c r="B7" i="112"/>
  <c r="D7" i="112" s="1"/>
  <c r="A48" i="112" l="1"/>
  <c r="D48" i="113"/>
  <c r="D47" i="113"/>
  <c r="D46" i="113"/>
  <c r="D49" i="113" s="1"/>
  <c r="D45" i="113"/>
  <c r="D24" i="113"/>
  <c r="D18" i="113"/>
  <c r="D2" i="113" s="1"/>
  <c r="C175" i="112"/>
  <c r="D175" i="112" s="1"/>
  <c r="C174" i="112"/>
  <c r="D174" i="112" s="1"/>
  <c r="D173" i="112"/>
  <c r="D172" i="112"/>
  <c r="C171" i="112"/>
  <c r="D171" i="112" s="1"/>
  <c r="C170" i="112"/>
  <c r="D170" i="112" s="1"/>
  <c r="D169" i="112"/>
  <c r="C157" i="112"/>
  <c r="D157" i="112" s="1"/>
  <c r="C156" i="112"/>
  <c r="D156" i="112" s="1"/>
  <c r="D155" i="112"/>
  <c r="D154" i="112"/>
  <c r="C153" i="112"/>
  <c r="D153" i="112" s="1"/>
  <c r="D152" i="112"/>
  <c r="D142" i="112"/>
  <c r="C141" i="112"/>
  <c r="D141" i="112" s="1"/>
  <c r="D139" i="112"/>
  <c r="C137" i="112"/>
  <c r="C138" i="112" s="1"/>
  <c r="D138" i="112" s="1"/>
  <c r="D136" i="112"/>
  <c r="C125" i="112"/>
  <c r="D125" i="112" s="1"/>
  <c r="D124" i="112"/>
  <c r="D123" i="112"/>
  <c r="C122" i="112"/>
  <c r="D122" i="112" s="1"/>
  <c r="D121" i="112"/>
  <c r="C110" i="112"/>
  <c r="D110" i="112" s="1"/>
  <c r="D109" i="112"/>
  <c r="C109" i="112"/>
  <c r="D108" i="112"/>
  <c r="C106" i="112"/>
  <c r="D106" i="112" s="1"/>
  <c r="D105" i="112"/>
  <c r="C93" i="112"/>
  <c r="D93" i="112" s="1"/>
  <c r="C92" i="112"/>
  <c r="D92" i="112" s="1"/>
  <c r="D91" i="112"/>
  <c r="D90" i="112"/>
  <c r="C89" i="112"/>
  <c r="D89" i="112" s="1"/>
  <c r="C88" i="112"/>
  <c r="D88" i="112" s="1"/>
  <c r="D87" i="112"/>
  <c r="C77" i="112"/>
  <c r="D77" i="112" s="1"/>
  <c r="C76" i="112"/>
  <c r="D76" i="112" s="1"/>
  <c r="C73" i="112"/>
  <c r="D73" i="112" s="1"/>
  <c r="D72" i="112"/>
  <c r="C62" i="112"/>
  <c r="D62" i="112" s="1"/>
  <c r="C61" i="112"/>
  <c r="D61" i="112" s="1"/>
  <c r="D60" i="112"/>
  <c r="D59" i="112"/>
  <c r="C58" i="112"/>
  <c r="D58" i="112" s="1"/>
  <c r="D57" i="112"/>
  <c r="A49" i="112"/>
  <c r="C44" i="112"/>
  <c r="D44" i="112" s="1"/>
  <c r="C43" i="112"/>
  <c r="D43" i="112" s="1"/>
  <c r="D42" i="112"/>
  <c r="D41" i="112"/>
  <c r="C40" i="112"/>
  <c r="D40" i="112" s="1"/>
  <c r="D39" i="112"/>
  <c r="C29" i="112"/>
  <c r="D29" i="112" s="1"/>
  <c r="D28" i="112"/>
  <c r="C28" i="112"/>
  <c r="D27" i="112"/>
  <c r="D26" i="112"/>
  <c r="C25" i="112"/>
  <c r="D25" i="112" s="1"/>
  <c r="C23" i="112"/>
  <c r="D23" i="112" s="1"/>
  <c r="D22" i="112"/>
  <c r="C11" i="112"/>
  <c r="D11" i="112" s="1"/>
  <c r="C10" i="112"/>
  <c r="D10" i="112" s="1"/>
  <c r="C6" i="112"/>
  <c r="D6" i="112" s="1"/>
  <c r="D5" i="112"/>
  <c r="D32" i="112" l="1"/>
  <c r="D34" i="112" s="1"/>
  <c r="D14" i="112"/>
  <c r="D17" i="112" s="1"/>
  <c r="D128" i="112"/>
  <c r="D131" i="112" s="1"/>
  <c r="D160" i="112"/>
  <c r="D163" i="112" s="1"/>
  <c r="D178" i="112"/>
  <c r="D181" i="112" s="1"/>
  <c r="D47" i="112"/>
  <c r="D50" i="112" s="1"/>
  <c r="D52" i="112" s="1"/>
  <c r="D96" i="112"/>
  <c r="D100" i="112" s="1"/>
  <c r="D65" i="112"/>
  <c r="D67" i="112" s="1"/>
  <c r="D80" i="112"/>
  <c r="D82" i="112" s="1"/>
  <c r="D113" i="112"/>
  <c r="D116" i="112" s="1"/>
  <c r="D137" i="112"/>
  <c r="D144" i="112" s="1"/>
  <c r="D146" i="112" s="1"/>
  <c r="C13" i="110"/>
  <c r="C22" i="110"/>
  <c r="C11" i="110"/>
  <c r="C12" i="110"/>
  <c r="C10" i="110"/>
  <c r="C9" i="110"/>
  <c r="C8" i="110"/>
  <c r="C21" i="110"/>
  <c r="C7" i="110"/>
  <c r="C6" i="110"/>
  <c r="C5" i="110"/>
  <c r="D47" i="110"/>
  <c r="D46" i="110"/>
  <c r="D45" i="110"/>
  <c r="D44" i="110"/>
  <c r="D48" i="110" s="1"/>
  <c r="D23" i="110"/>
  <c r="D17" i="110"/>
  <c r="D2" i="110" l="1"/>
  <c r="B85" i="109"/>
  <c r="D137" i="109"/>
  <c r="C137" i="109"/>
  <c r="A46" i="109"/>
  <c r="A47" i="109"/>
  <c r="C174" i="109" l="1"/>
  <c r="D174" i="109" s="1"/>
  <c r="D173" i="109"/>
  <c r="C173" i="109"/>
  <c r="D172" i="109"/>
  <c r="D171" i="109"/>
  <c r="C170" i="109"/>
  <c r="D170" i="109" s="1"/>
  <c r="D169" i="109"/>
  <c r="C169" i="109"/>
  <c r="D168" i="109"/>
  <c r="C156" i="109"/>
  <c r="D156" i="109" s="1"/>
  <c r="C155" i="109"/>
  <c r="D155" i="109" s="1"/>
  <c r="D154" i="109"/>
  <c r="D153" i="109"/>
  <c r="C152" i="109"/>
  <c r="D152" i="109" s="1"/>
  <c r="D151" i="109"/>
  <c r="D141" i="109"/>
  <c r="C140" i="109"/>
  <c r="D140" i="109" s="1"/>
  <c r="D143" i="109" s="1"/>
  <c r="D138" i="109"/>
  <c r="C136" i="109"/>
  <c r="D136" i="109" s="1"/>
  <c r="D135" i="109"/>
  <c r="C124" i="109"/>
  <c r="D124" i="109" s="1"/>
  <c r="D123" i="109"/>
  <c r="D122" i="109"/>
  <c r="C121" i="109"/>
  <c r="D121" i="109" s="1"/>
  <c r="D120" i="109"/>
  <c r="C109" i="109"/>
  <c r="D109" i="109" s="1"/>
  <c r="D108" i="109"/>
  <c r="C108" i="109"/>
  <c r="D107" i="109"/>
  <c r="D105" i="109"/>
  <c r="C105" i="109"/>
  <c r="D104" i="109"/>
  <c r="D91" i="109"/>
  <c r="C91" i="109"/>
  <c r="C90" i="109"/>
  <c r="D90" i="109" s="1"/>
  <c r="D89" i="109"/>
  <c r="D88" i="109"/>
  <c r="D87" i="109"/>
  <c r="C87" i="109"/>
  <c r="C86" i="109"/>
  <c r="D86" i="109" s="1"/>
  <c r="D85" i="109"/>
  <c r="C75" i="109"/>
  <c r="D75" i="109" s="1"/>
  <c r="D74" i="109"/>
  <c r="C74" i="109"/>
  <c r="D72" i="109"/>
  <c r="D71" i="109"/>
  <c r="C71" i="109"/>
  <c r="D70" i="109"/>
  <c r="C60" i="109"/>
  <c r="D60" i="109" s="1"/>
  <c r="C59" i="109"/>
  <c r="D59" i="109" s="1"/>
  <c r="D58" i="109"/>
  <c r="D57" i="109"/>
  <c r="C56" i="109"/>
  <c r="D56" i="109" s="1"/>
  <c r="D55" i="109"/>
  <c r="D42" i="109"/>
  <c r="C42" i="109"/>
  <c r="C41" i="109"/>
  <c r="D41" i="109" s="1"/>
  <c r="D40" i="109"/>
  <c r="D39" i="109"/>
  <c r="D38" i="109"/>
  <c r="C38" i="109"/>
  <c r="D37" i="109"/>
  <c r="C27" i="109"/>
  <c r="D27" i="109" s="1"/>
  <c r="C26" i="109"/>
  <c r="D26" i="109" s="1"/>
  <c r="D25" i="109"/>
  <c r="D24" i="109"/>
  <c r="C23" i="109"/>
  <c r="D23" i="109" s="1"/>
  <c r="C22" i="109"/>
  <c r="D22" i="109" s="1"/>
  <c r="D21" i="109"/>
  <c r="C10" i="109"/>
  <c r="D10" i="109" s="1"/>
  <c r="D9" i="109"/>
  <c r="C9" i="109"/>
  <c r="C6" i="109"/>
  <c r="D6" i="109" s="1"/>
  <c r="D5" i="109"/>
  <c r="D177" i="109" l="1"/>
  <c r="D180" i="109" s="1"/>
  <c r="D78" i="109"/>
  <c r="D80" i="109" s="1"/>
  <c r="D13" i="109"/>
  <c r="D16" i="109" s="1"/>
  <c r="D30" i="109"/>
  <c r="D32" i="109" s="1"/>
  <c r="D94" i="109"/>
  <c r="D97" i="109" s="1"/>
  <c r="D99" i="109" s="1"/>
  <c r="D159" i="109"/>
  <c r="D162" i="109" s="1"/>
  <c r="D45" i="109"/>
  <c r="D145" i="109"/>
  <c r="D63" i="109"/>
  <c r="D65" i="109" s="1"/>
  <c r="D112" i="109"/>
  <c r="D115" i="109" s="1"/>
  <c r="D127" i="109"/>
  <c r="D130" i="109" s="1"/>
  <c r="C169" i="107"/>
  <c r="D169" i="107" s="1"/>
  <c r="D170" i="107"/>
  <c r="C87" i="107"/>
  <c r="D87" i="107" s="1"/>
  <c r="D89" i="107"/>
  <c r="D46" i="107"/>
  <c r="D24" i="107"/>
  <c r="C23" i="107"/>
  <c r="D23" i="107" s="1"/>
  <c r="D14" i="107"/>
  <c r="D48" i="109" l="1"/>
  <c r="D50" i="109" s="1"/>
  <c r="D178" i="107"/>
  <c r="C105" i="107" l="1"/>
  <c r="D72" i="107" l="1"/>
  <c r="D47" i="108"/>
  <c r="D46" i="108"/>
  <c r="D45" i="108"/>
  <c r="D48" i="108" s="1"/>
  <c r="D44" i="108"/>
  <c r="D23" i="108"/>
  <c r="D17" i="108"/>
  <c r="C173" i="107"/>
  <c r="D173" i="107" s="1"/>
  <c r="C172" i="107"/>
  <c r="D172" i="107" s="1"/>
  <c r="D171" i="107"/>
  <c r="C168" i="107"/>
  <c r="D168" i="107" s="1"/>
  <c r="D167" i="107"/>
  <c r="C155" i="107"/>
  <c r="D155" i="107" s="1"/>
  <c r="C154" i="107"/>
  <c r="D154" i="107" s="1"/>
  <c r="D153" i="107"/>
  <c r="D152" i="107"/>
  <c r="C151" i="107"/>
  <c r="D151" i="107" s="1"/>
  <c r="D150" i="107"/>
  <c r="D140" i="107"/>
  <c r="C139" i="107"/>
  <c r="D139" i="107" s="1"/>
  <c r="D137" i="107"/>
  <c r="C136" i="107"/>
  <c r="D136" i="107" s="1"/>
  <c r="D135" i="107"/>
  <c r="C124" i="107"/>
  <c r="D124" i="107" s="1"/>
  <c r="D123" i="107"/>
  <c r="D122" i="107"/>
  <c r="C121" i="107"/>
  <c r="D121" i="107" s="1"/>
  <c r="D120" i="107"/>
  <c r="C109" i="107"/>
  <c r="D109" i="107" s="1"/>
  <c r="C108" i="107"/>
  <c r="D108" i="107" s="1"/>
  <c r="D107" i="107"/>
  <c r="D105" i="107"/>
  <c r="D104" i="107"/>
  <c r="C91" i="107"/>
  <c r="D91" i="107" s="1"/>
  <c r="C90" i="107"/>
  <c r="D90" i="107" s="1"/>
  <c r="D88" i="107"/>
  <c r="C86" i="107"/>
  <c r="D86" i="107" s="1"/>
  <c r="D85" i="107"/>
  <c r="C75" i="107"/>
  <c r="D75" i="107" s="1"/>
  <c r="C74" i="107"/>
  <c r="D74" i="107" s="1"/>
  <c r="C71" i="107"/>
  <c r="D71" i="107" s="1"/>
  <c r="D70" i="107"/>
  <c r="C60" i="107"/>
  <c r="D60" i="107" s="1"/>
  <c r="C59" i="107"/>
  <c r="D59" i="107" s="1"/>
  <c r="D58" i="107"/>
  <c r="D57" i="107"/>
  <c r="C56" i="107"/>
  <c r="D56" i="107" s="1"/>
  <c r="D55" i="107"/>
  <c r="C42" i="107"/>
  <c r="D42" i="107" s="1"/>
  <c r="C41" i="107"/>
  <c r="D41" i="107" s="1"/>
  <c r="D40" i="107"/>
  <c r="D39" i="107"/>
  <c r="C38" i="107"/>
  <c r="D38" i="107" s="1"/>
  <c r="D37" i="107"/>
  <c r="C27" i="107"/>
  <c r="D27" i="107" s="1"/>
  <c r="C26" i="107"/>
  <c r="D26" i="107" s="1"/>
  <c r="D25" i="107"/>
  <c r="C22" i="107"/>
  <c r="D22" i="107" s="1"/>
  <c r="D21" i="107"/>
  <c r="C10" i="107"/>
  <c r="D10" i="107" s="1"/>
  <c r="C9" i="107"/>
  <c r="D9" i="107" s="1"/>
  <c r="C6" i="107"/>
  <c r="D6" i="107" s="1"/>
  <c r="D5" i="107"/>
  <c r="D94" i="107" l="1"/>
  <c r="D97" i="107" s="1"/>
  <c r="D99" i="107" s="1"/>
  <c r="D30" i="107"/>
  <c r="D176" i="107"/>
  <c r="D179" i="107" s="1"/>
  <c r="D13" i="107"/>
  <c r="D16" i="107" s="1"/>
  <c r="D142" i="107"/>
  <c r="D144" i="107" s="1"/>
  <c r="D78" i="107"/>
  <c r="D80" i="107" s="1"/>
  <c r="D45" i="107"/>
  <c r="D32" i="107"/>
  <c r="D2" i="108"/>
  <c r="D112" i="107"/>
  <c r="D115" i="107" s="1"/>
  <c r="D127" i="107"/>
  <c r="D130" i="107" s="1"/>
  <c r="D158" i="107"/>
  <c r="D161" i="107" s="1"/>
  <c r="D63" i="107"/>
  <c r="D65" i="107" s="1"/>
  <c r="D47" i="106"/>
  <c r="D46" i="106"/>
  <c r="D45" i="106"/>
  <c r="D44" i="106"/>
  <c r="D23" i="106"/>
  <c r="D17" i="106"/>
  <c r="D48" i="107" l="1"/>
  <c r="D50" i="107" s="1"/>
  <c r="D2" i="106"/>
  <c r="D48" i="106"/>
  <c r="D120" i="105"/>
  <c r="C69" i="105"/>
  <c r="D69" i="105" s="1"/>
  <c r="D55" i="105" l="1"/>
  <c r="C188" i="105" l="1"/>
  <c r="D188" i="105" s="1"/>
  <c r="D183" i="105"/>
  <c r="C186" i="105"/>
  <c r="D186" i="105" s="1"/>
  <c r="C185" i="105"/>
  <c r="D185" i="105" s="1"/>
  <c r="C182" i="105"/>
  <c r="D182" i="105" s="1"/>
  <c r="D181" i="105"/>
  <c r="C170" i="105"/>
  <c r="D170" i="105" s="1"/>
  <c r="C169" i="105"/>
  <c r="D169" i="105" s="1"/>
  <c r="D168" i="105"/>
  <c r="D167" i="105"/>
  <c r="C166" i="105"/>
  <c r="D166" i="105" s="1"/>
  <c r="D165" i="105"/>
  <c r="C153" i="105"/>
  <c r="D153" i="105" s="1"/>
  <c r="C152" i="105"/>
  <c r="D152" i="105" s="1"/>
  <c r="D151" i="105"/>
  <c r="D150" i="105"/>
  <c r="C149" i="105"/>
  <c r="D149" i="105" s="1"/>
  <c r="D148" i="105"/>
  <c r="D138" i="105"/>
  <c r="C137" i="105"/>
  <c r="D137" i="105" s="1"/>
  <c r="D135" i="105"/>
  <c r="C134" i="105"/>
  <c r="D134" i="105" s="1"/>
  <c r="D133" i="105"/>
  <c r="C122" i="105"/>
  <c r="D122" i="105" s="1"/>
  <c r="D121" i="105"/>
  <c r="C119" i="105"/>
  <c r="D119" i="105" s="1"/>
  <c r="D118" i="105"/>
  <c r="C107" i="105"/>
  <c r="D107" i="105" s="1"/>
  <c r="C106" i="105"/>
  <c r="D106" i="105" s="1"/>
  <c r="D105" i="105"/>
  <c r="D103" i="105"/>
  <c r="D102" i="105"/>
  <c r="C89" i="105"/>
  <c r="D89" i="105" s="1"/>
  <c r="C88" i="105"/>
  <c r="D88" i="105" s="1"/>
  <c r="D86" i="105"/>
  <c r="C85" i="105"/>
  <c r="D85" i="105" s="1"/>
  <c r="D84" i="105"/>
  <c r="C74" i="105"/>
  <c r="D74" i="105" s="1"/>
  <c r="C73" i="105"/>
  <c r="D73" i="105" s="1"/>
  <c r="C70" i="105"/>
  <c r="D70" i="105" s="1"/>
  <c r="D68" i="105"/>
  <c r="C58" i="105"/>
  <c r="D58" i="105" s="1"/>
  <c r="C57" i="105"/>
  <c r="D57" i="105" s="1"/>
  <c r="D56" i="105"/>
  <c r="C54" i="105"/>
  <c r="D54" i="105" s="1"/>
  <c r="B53" i="105"/>
  <c r="D53" i="105" s="1"/>
  <c r="C41" i="105"/>
  <c r="D41" i="105" s="1"/>
  <c r="C40" i="105"/>
  <c r="D40" i="105" s="1"/>
  <c r="D39" i="105"/>
  <c r="D38" i="105"/>
  <c r="C37" i="105"/>
  <c r="D37" i="105" s="1"/>
  <c r="D36" i="105"/>
  <c r="C26" i="105"/>
  <c r="D26" i="105" s="1"/>
  <c r="C25" i="105"/>
  <c r="D25" i="105" s="1"/>
  <c r="D24" i="105"/>
  <c r="D23" i="105"/>
  <c r="C22" i="105"/>
  <c r="D22" i="105" s="1"/>
  <c r="D21" i="105"/>
  <c r="C10" i="105"/>
  <c r="D10" i="105" s="1"/>
  <c r="C9" i="105"/>
  <c r="D9" i="105" s="1"/>
  <c r="C6" i="105"/>
  <c r="D6" i="105" s="1"/>
  <c r="B5" i="105"/>
  <c r="D5" i="105" s="1"/>
  <c r="D125" i="105" l="1"/>
  <c r="D61" i="105"/>
  <c r="D63" i="105" s="1"/>
  <c r="D190" i="105"/>
  <c r="D193" i="105" s="1"/>
  <c r="D140" i="105"/>
  <c r="D142" i="105" s="1"/>
  <c r="D110" i="105"/>
  <c r="D113" i="105" s="1"/>
  <c r="D92" i="105"/>
  <c r="D95" i="105" s="1"/>
  <c r="D97" i="105" s="1"/>
  <c r="D128" i="105"/>
  <c r="D44" i="105"/>
  <c r="D47" i="105" s="1"/>
  <c r="D49" i="105" s="1"/>
  <c r="D156" i="105"/>
  <c r="D159" i="105" s="1"/>
  <c r="D13" i="105"/>
  <c r="D16" i="105" s="1"/>
  <c r="D29" i="105"/>
  <c r="D31" i="105" s="1"/>
  <c r="D77" i="105"/>
  <c r="D79" i="105" s="1"/>
  <c r="D173" i="105"/>
  <c r="D176" i="105" s="1"/>
  <c r="D122" i="103"/>
  <c r="B5" i="103" l="1"/>
  <c r="C48" i="104" l="1"/>
  <c r="C46" i="104"/>
  <c r="C47" i="104"/>
  <c r="C45" i="104"/>
  <c r="C44" i="104"/>
  <c r="C23" i="104"/>
  <c r="C17" i="104"/>
  <c r="C55" i="103"/>
  <c r="D55" i="103" s="1"/>
  <c r="B54" i="103"/>
  <c r="C2" i="104" l="1"/>
  <c r="C208" i="103"/>
  <c r="D208" i="103" s="1"/>
  <c r="C202" i="103"/>
  <c r="D202" i="103" s="1"/>
  <c r="D201" i="103"/>
  <c r="C189" i="103"/>
  <c r="D189" i="103" s="1"/>
  <c r="C188" i="103"/>
  <c r="D188" i="103" s="1"/>
  <c r="D186" i="103"/>
  <c r="C185" i="103"/>
  <c r="D185" i="103" s="1"/>
  <c r="D184" i="103"/>
  <c r="C173" i="103"/>
  <c r="D173" i="103" s="1"/>
  <c r="C172" i="103"/>
  <c r="D172" i="103" s="1"/>
  <c r="D171" i="103"/>
  <c r="D170" i="103"/>
  <c r="C169" i="103"/>
  <c r="D169" i="103" s="1"/>
  <c r="D168" i="103"/>
  <c r="C156" i="103"/>
  <c r="D156" i="103" s="1"/>
  <c r="C155" i="103"/>
  <c r="D155" i="103" s="1"/>
  <c r="D154" i="103"/>
  <c r="D153" i="103"/>
  <c r="C152" i="103"/>
  <c r="D152" i="103" s="1"/>
  <c r="D151" i="103"/>
  <c r="D141" i="103"/>
  <c r="C140" i="103"/>
  <c r="D140" i="103" s="1"/>
  <c r="D138" i="103"/>
  <c r="C137" i="103"/>
  <c r="D137" i="103" s="1"/>
  <c r="D136" i="103"/>
  <c r="C125" i="103"/>
  <c r="D125" i="103" s="1"/>
  <c r="C124" i="103"/>
  <c r="D124" i="103" s="1"/>
  <c r="D123" i="103"/>
  <c r="C121" i="103"/>
  <c r="D121" i="103" s="1"/>
  <c r="D120" i="103"/>
  <c r="C109" i="103"/>
  <c r="D109" i="103" s="1"/>
  <c r="C108" i="103"/>
  <c r="D108" i="103" s="1"/>
  <c r="D112" i="103" s="1"/>
  <c r="D107" i="103"/>
  <c r="D105" i="103"/>
  <c r="D104" i="103"/>
  <c r="C91" i="103"/>
  <c r="D91" i="103" s="1"/>
  <c r="C90" i="103"/>
  <c r="D90" i="103" s="1"/>
  <c r="D88" i="103"/>
  <c r="C87" i="103"/>
  <c r="D86" i="103"/>
  <c r="C75" i="103"/>
  <c r="D75" i="103" s="1"/>
  <c r="C74" i="103"/>
  <c r="D74" i="103" s="1"/>
  <c r="D72" i="103"/>
  <c r="C71" i="103"/>
  <c r="D71" i="103" s="1"/>
  <c r="D70" i="103"/>
  <c r="C60" i="103"/>
  <c r="D60" i="103" s="1"/>
  <c r="C59" i="103"/>
  <c r="D59" i="103" s="1"/>
  <c r="D58" i="103"/>
  <c r="C56" i="103"/>
  <c r="D56" i="103" s="1"/>
  <c r="D54" i="103"/>
  <c r="C42" i="103"/>
  <c r="D42" i="103" s="1"/>
  <c r="C41" i="103"/>
  <c r="D41" i="103" s="1"/>
  <c r="D40" i="103"/>
  <c r="D39" i="103"/>
  <c r="C38" i="103"/>
  <c r="D38" i="103" s="1"/>
  <c r="D37" i="103"/>
  <c r="C26" i="103"/>
  <c r="D26" i="103" s="1"/>
  <c r="C25" i="103"/>
  <c r="D25" i="103" s="1"/>
  <c r="D24" i="103"/>
  <c r="D23" i="103"/>
  <c r="C22" i="103"/>
  <c r="D22" i="103" s="1"/>
  <c r="D21" i="103"/>
  <c r="C10" i="103"/>
  <c r="D10" i="103" s="1"/>
  <c r="C9" i="103"/>
  <c r="D9" i="103" s="1"/>
  <c r="C6" i="103"/>
  <c r="D6" i="103" s="1"/>
  <c r="D5" i="103"/>
  <c r="D13" i="103" l="1"/>
  <c r="D16" i="103" s="1"/>
  <c r="D192" i="103"/>
  <c r="D195" i="103" s="1"/>
  <c r="D176" i="103"/>
  <c r="D179" i="103" s="1"/>
  <c r="D63" i="103"/>
  <c r="D65" i="103" s="1"/>
  <c r="D78" i="103"/>
  <c r="D81" i="103" s="1"/>
  <c r="D29" i="103"/>
  <c r="D32" i="103" s="1"/>
  <c r="D128" i="103"/>
  <c r="D131" i="103" s="1"/>
  <c r="D143" i="103"/>
  <c r="D145" i="103" s="1"/>
  <c r="D45" i="103"/>
  <c r="D48" i="103" s="1"/>
  <c r="D50" i="103" s="1"/>
  <c r="D159" i="103"/>
  <c r="D162" i="103" s="1"/>
  <c r="D115" i="103"/>
  <c r="D209" i="103"/>
  <c r="D212" i="103" s="1"/>
  <c r="D87" i="103"/>
  <c r="D28" i="100"/>
  <c r="D94" i="103" l="1"/>
  <c r="D97" i="103" s="1"/>
  <c r="D99" i="103" s="1"/>
  <c r="D209" i="100"/>
  <c r="C209" i="100"/>
  <c r="D192" i="100"/>
  <c r="D187" i="100"/>
  <c r="D89" i="100"/>
  <c r="C106" i="100" l="1"/>
  <c r="D106" i="100" s="1"/>
  <c r="B106" i="100"/>
  <c r="C157" i="100" l="1"/>
  <c r="D157" i="100" s="1"/>
  <c r="D44" i="100"/>
  <c r="F42" i="98"/>
  <c r="C46" i="102" l="1"/>
  <c r="C45" i="102"/>
  <c r="C44" i="102"/>
  <c r="C23" i="102"/>
  <c r="C17" i="102"/>
  <c r="C190" i="100"/>
  <c r="D190" i="100" s="1"/>
  <c r="D176" i="100"/>
  <c r="D159" i="100"/>
  <c r="D143" i="100"/>
  <c r="D128" i="100"/>
  <c r="D112" i="100"/>
  <c r="D93" i="100"/>
  <c r="D76" i="100"/>
  <c r="D61" i="100"/>
  <c r="D12" i="100"/>
  <c r="D205" i="100"/>
  <c r="D204" i="100"/>
  <c r="C203" i="100"/>
  <c r="D203" i="100" s="1"/>
  <c r="D171" i="100"/>
  <c r="C2" i="102" l="1"/>
  <c r="C47" i="102"/>
  <c r="D202" i="100" l="1"/>
  <c r="C189" i="100"/>
  <c r="D189" i="100" s="1"/>
  <c r="C186" i="100"/>
  <c r="D186" i="100" s="1"/>
  <c r="D185" i="100"/>
  <c r="C174" i="100"/>
  <c r="D174" i="100" s="1"/>
  <c r="C173" i="100"/>
  <c r="D173" i="100" s="1"/>
  <c r="D172" i="100"/>
  <c r="C170" i="100"/>
  <c r="D170" i="100" s="1"/>
  <c r="D169" i="100"/>
  <c r="C156" i="100"/>
  <c r="D156" i="100" s="1"/>
  <c r="D155" i="100"/>
  <c r="D154" i="100"/>
  <c r="C153" i="100"/>
  <c r="D153" i="100" s="1"/>
  <c r="D152" i="100"/>
  <c r="D142" i="100"/>
  <c r="C141" i="100"/>
  <c r="D141" i="100" s="1"/>
  <c r="D140" i="100"/>
  <c r="D139" i="100"/>
  <c r="C138" i="100"/>
  <c r="D138" i="100" s="1"/>
  <c r="D137" i="100"/>
  <c r="C126" i="100"/>
  <c r="D126" i="100" s="1"/>
  <c r="C125" i="100"/>
  <c r="D125" i="100" s="1"/>
  <c r="D124" i="100"/>
  <c r="D123" i="100"/>
  <c r="C122" i="100"/>
  <c r="D122" i="100" s="1"/>
  <c r="D121" i="100"/>
  <c r="C110" i="100"/>
  <c r="D110" i="100" s="1"/>
  <c r="C109" i="100"/>
  <c r="D109" i="100" s="1"/>
  <c r="D108" i="100"/>
  <c r="D107" i="100"/>
  <c r="C105" i="100"/>
  <c r="D105" i="100" s="1"/>
  <c r="D104" i="100"/>
  <c r="C91" i="100"/>
  <c r="D91" i="100" s="1"/>
  <c r="C90" i="100"/>
  <c r="D90" i="100" s="1"/>
  <c r="D88" i="100"/>
  <c r="C86" i="100"/>
  <c r="D85" i="100"/>
  <c r="C74" i="100"/>
  <c r="D74" i="100" s="1"/>
  <c r="C73" i="100"/>
  <c r="D73" i="100" s="1"/>
  <c r="D71" i="100"/>
  <c r="C70" i="100"/>
  <c r="D70" i="100" s="1"/>
  <c r="D69" i="100"/>
  <c r="C59" i="100"/>
  <c r="D59" i="100" s="1"/>
  <c r="C58" i="100"/>
  <c r="D58" i="100" s="1"/>
  <c r="D57" i="100"/>
  <c r="D56" i="100"/>
  <c r="C55" i="100"/>
  <c r="D55" i="100" s="1"/>
  <c r="D54" i="100"/>
  <c r="C42" i="100"/>
  <c r="D42" i="100" s="1"/>
  <c r="C41" i="100"/>
  <c r="D41" i="100" s="1"/>
  <c r="D40" i="100"/>
  <c r="D39" i="100"/>
  <c r="C38" i="100"/>
  <c r="D38" i="100" s="1"/>
  <c r="D37" i="100"/>
  <c r="C26" i="100"/>
  <c r="D26" i="100" s="1"/>
  <c r="C25" i="100"/>
  <c r="D25" i="100" s="1"/>
  <c r="D24" i="100"/>
  <c r="D23" i="100"/>
  <c r="C22" i="100"/>
  <c r="D22" i="100" s="1"/>
  <c r="D21" i="100"/>
  <c r="C10" i="100"/>
  <c r="D10" i="100" s="1"/>
  <c r="C9" i="100"/>
  <c r="D9" i="100" s="1"/>
  <c r="D7" i="100"/>
  <c r="C6" i="100"/>
  <c r="D6" i="100" s="1"/>
  <c r="D5" i="100"/>
  <c r="D113" i="100" l="1"/>
  <c r="D13" i="100"/>
  <c r="D16" i="100" s="1"/>
  <c r="D160" i="100"/>
  <c r="D163" i="100" s="1"/>
  <c r="D62" i="100"/>
  <c r="D64" i="100" s="1"/>
  <c r="D77" i="100"/>
  <c r="D80" i="100" s="1"/>
  <c r="D177" i="100"/>
  <c r="D180" i="100" s="1"/>
  <c r="D210" i="100"/>
  <c r="D213" i="100" s="1"/>
  <c r="D86" i="100"/>
  <c r="C87" i="100"/>
  <c r="D87" i="100" s="1"/>
  <c r="D144" i="100"/>
  <c r="D146" i="100" s="1"/>
  <c r="D193" i="100"/>
  <c r="D196" i="100" s="1"/>
  <c r="D29" i="100"/>
  <c r="D32" i="100" s="1"/>
  <c r="D45" i="100"/>
  <c r="D48" i="100" s="1"/>
  <c r="D50" i="100" s="1"/>
  <c r="D116" i="100"/>
  <c r="D129" i="100"/>
  <c r="C17" i="99"/>
  <c r="D94" i="100" l="1"/>
  <c r="D97" i="100" s="1"/>
  <c r="D99" i="100" s="1"/>
  <c r="D132" i="100"/>
  <c r="D201" i="98"/>
  <c r="D198" i="98"/>
  <c r="D191" i="98"/>
  <c r="D162" i="98" l="1"/>
  <c r="D45" i="98"/>
  <c r="C117" i="98" l="1"/>
  <c r="D117" i="98" s="1"/>
  <c r="C179" i="98"/>
  <c r="D179" i="98" s="1"/>
  <c r="D176" i="98"/>
  <c r="C176" i="98"/>
  <c r="C69" i="98"/>
  <c r="D69" i="98" s="1"/>
  <c r="C46" i="99" l="1"/>
  <c r="C45" i="99"/>
  <c r="C44" i="99"/>
  <c r="C47" i="99" s="1"/>
  <c r="C23" i="99"/>
  <c r="D177" i="98"/>
  <c r="D175" i="98"/>
  <c r="C165" i="98"/>
  <c r="D165" i="98" s="1"/>
  <c r="C164" i="98"/>
  <c r="D164" i="98" s="1"/>
  <c r="C163" i="98"/>
  <c r="D163" i="98" s="1"/>
  <c r="C161" i="98"/>
  <c r="D161" i="98" s="1"/>
  <c r="D160" i="98"/>
  <c r="C148" i="98"/>
  <c r="D148" i="98" s="1"/>
  <c r="D147" i="98"/>
  <c r="D146" i="98"/>
  <c r="C145" i="98"/>
  <c r="D145" i="98" s="1"/>
  <c r="D144" i="98"/>
  <c r="D134" i="98"/>
  <c r="C133" i="98"/>
  <c r="D133" i="98" s="1"/>
  <c r="D132" i="98"/>
  <c r="D131" i="98"/>
  <c r="C130" i="98"/>
  <c r="D130" i="98" s="1"/>
  <c r="D129" i="98"/>
  <c r="C118" i="98"/>
  <c r="D118" i="98" s="1"/>
  <c r="D116" i="98"/>
  <c r="D115" i="98"/>
  <c r="C114" i="98"/>
  <c r="D114" i="98" s="1"/>
  <c r="D113" i="98"/>
  <c r="C103" i="98"/>
  <c r="D103" i="98" s="1"/>
  <c r="C102" i="98"/>
  <c r="D102" i="98" s="1"/>
  <c r="D101" i="98"/>
  <c r="D100" i="98"/>
  <c r="C99" i="98"/>
  <c r="D99" i="98" s="1"/>
  <c r="D98" i="98"/>
  <c r="C86" i="98"/>
  <c r="D86" i="98" s="1"/>
  <c r="C85" i="98"/>
  <c r="D85" i="98" s="1"/>
  <c r="D84" i="98"/>
  <c r="D83" i="98"/>
  <c r="C82" i="98"/>
  <c r="D82" i="98" s="1"/>
  <c r="D81" i="98"/>
  <c r="C71" i="98"/>
  <c r="D71" i="98" s="1"/>
  <c r="C70" i="98"/>
  <c r="D70" i="98" s="1"/>
  <c r="D67" i="98"/>
  <c r="C66" i="98"/>
  <c r="D66" i="98" s="1"/>
  <c r="D65" i="98"/>
  <c r="C56" i="98"/>
  <c r="D56" i="98" s="1"/>
  <c r="C55" i="98"/>
  <c r="D55" i="98" s="1"/>
  <c r="D54" i="98"/>
  <c r="D53" i="98"/>
  <c r="C52" i="98"/>
  <c r="D52" i="98" s="1"/>
  <c r="D51" i="98"/>
  <c r="C40" i="98"/>
  <c r="D40" i="98" s="1"/>
  <c r="D39" i="98"/>
  <c r="C39" i="98"/>
  <c r="D38" i="98"/>
  <c r="D37" i="98"/>
  <c r="C36" i="98"/>
  <c r="D36" i="98" s="1"/>
  <c r="D35" i="98"/>
  <c r="D25" i="98"/>
  <c r="C25" i="98"/>
  <c r="C24" i="98"/>
  <c r="D24" i="98" s="1"/>
  <c r="D23" i="98"/>
  <c r="D22" i="98"/>
  <c r="C21" i="98"/>
  <c r="D21" i="98" s="1"/>
  <c r="D20" i="98"/>
  <c r="C10" i="98"/>
  <c r="D10" i="98" s="1"/>
  <c r="C9" i="98"/>
  <c r="D9" i="98" s="1"/>
  <c r="D7" i="98"/>
  <c r="C6" i="98"/>
  <c r="D6" i="98" s="1"/>
  <c r="D5" i="98"/>
  <c r="D73" i="98" l="1"/>
  <c r="D76" i="98" s="1"/>
  <c r="D58" i="98"/>
  <c r="D60" i="98" s="1"/>
  <c r="D121" i="98"/>
  <c r="D124" i="98" s="1"/>
  <c r="C2" i="99"/>
  <c r="D182" i="98"/>
  <c r="D185" i="98" s="1"/>
  <c r="D88" i="98"/>
  <c r="D91" i="98" s="1"/>
  <c r="D93" i="98" s="1"/>
  <c r="D105" i="98"/>
  <c r="D108" i="98" s="1"/>
  <c r="D167" i="98"/>
  <c r="D170" i="98" s="1"/>
  <c r="D12" i="98"/>
  <c r="D15" i="98" s="1"/>
  <c r="D27" i="98"/>
  <c r="D30" i="98" s="1"/>
  <c r="D136" i="98"/>
  <c r="D138" i="98" s="1"/>
  <c r="D151" i="98"/>
  <c r="D154" i="98" s="1"/>
  <c r="D42" i="98"/>
  <c r="C42" i="97"/>
  <c r="C41" i="97"/>
  <c r="C40" i="97"/>
  <c r="C21" i="97"/>
  <c r="C15" i="97"/>
  <c r="D180" i="96"/>
  <c r="D183" i="96" s="1"/>
  <c r="D175" i="96"/>
  <c r="D173" i="96"/>
  <c r="D165" i="96"/>
  <c r="D160" i="96"/>
  <c r="D149" i="96"/>
  <c r="D107" i="96"/>
  <c r="C43" i="97" l="1"/>
  <c r="C2" i="97"/>
  <c r="C163" i="96"/>
  <c r="D163" i="96" s="1"/>
  <c r="C162" i="96" l="1"/>
  <c r="D162" i="96" s="1"/>
  <c r="C161" i="96"/>
  <c r="D161" i="96" s="1"/>
  <c r="C159" i="96"/>
  <c r="D159" i="96" s="1"/>
  <c r="D158" i="96"/>
  <c r="C146" i="96"/>
  <c r="D146" i="96" s="1"/>
  <c r="D145" i="96"/>
  <c r="D144" i="96"/>
  <c r="C143" i="96"/>
  <c r="D143" i="96" s="1"/>
  <c r="D142" i="96"/>
  <c r="D132" i="96"/>
  <c r="C131" i="96"/>
  <c r="D131" i="96" s="1"/>
  <c r="D130" i="96"/>
  <c r="D129" i="96"/>
  <c r="C128" i="96"/>
  <c r="D128" i="96" s="1"/>
  <c r="D127" i="96"/>
  <c r="C116" i="96"/>
  <c r="D116" i="96" s="1"/>
  <c r="D115" i="96"/>
  <c r="D114" i="96"/>
  <c r="C113" i="96"/>
  <c r="D113" i="96" s="1"/>
  <c r="D112" i="96"/>
  <c r="C102" i="96"/>
  <c r="D102" i="96" s="1"/>
  <c r="C101" i="96"/>
  <c r="D101" i="96" s="1"/>
  <c r="D100" i="96"/>
  <c r="D99" i="96"/>
  <c r="C98" i="96"/>
  <c r="D98" i="96" s="1"/>
  <c r="D97" i="96"/>
  <c r="C85" i="96"/>
  <c r="D85" i="96" s="1"/>
  <c r="C84" i="96"/>
  <c r="D84" i="96" s="1"/>
  <c r="D83" i="96"/>
  <c r="D82" i="96"/>
  <c r="C81" i="96"/>
  <c r="D81" i="96" s="1"/>
  <c r="D80" i="96"/>
  <c r="C70" i="96"/>
  <c r="D70" i="96" s="1"/>
  <c r="C69" i="96"/>
  <c r="D69" i="96" s="1"/>
  <c r="D67" i="96"/>
  <c r="C66" i="96"/>
  <c r="D66" i="96" s="1"/>
  <c r="D65" i="96"/>
  <c r="C56" i="96"/>
  <c r="D56" i="96" s="1"/>
  <c r="C55" i="96"/>
  <c r="D55" i="96" s="1"/>
  <c r="D54" i="96"/>
  <c r="D53" i="96"/>
  <c r="C52" i="96"/>
  <c r="D52" i="96" s="1"/>
  <c r="D51" i="96"/>
  <c r="C40" i="96"/>
  <c r="D40" i="96" s="1"/>
  <c r="C39" i="96"/>
  <c r="D39" i="96" s="1"/>
  <c r="D38" i="96"/>
  <c r="D37" i="96"/>
  <c r="C36" i="96"/>
  <c r="D36" i="96" s="1"/>
  <c r="D35" i="96"/>
  <c r="C25" i="96"/>
  <c r="D25" i="96" s="1"/>
  <c r="C24" i="96"/>
  <c r="D24" i="96" s="1"/>
  <c r="D23" i="96"/>
  <c r="D22" i="96"/>
  <c r="C21" i="96"/>
  <c r="D21" i="96" s="1"/>
  <c r="D20" i="96"/>
  <c r="C10" i="96"/>
  <c r="D10" i="96" s="1"/>
  <c r="C9" i="96"/>
  <c r="D9" i="96" s="1"/>
  <c r="D7" i="96"/>
  <c r="C6" i="96"/>
  <c r="D6" i="96" s="1"/>
  <c r="D5" i="96"/>
  <c r="D58" i="96" l="1"/>
  <c r="D60" i="96" s="1"/>
  <c r="D42" i="96"/>
  <c r="D45" i="96" s="1"/>
  <c r="D27" i="96"/>
  <c r="D30" i="96" s="1"/>
  <c r="D134" i="96"/>
  <c r="D136" i="96" s="1"/>
  <c r="D168" i="96"/>
  <c r="D87" i="96"/>
  <c r="D119" i="96"/>
  <c r="D122" i="96" s="1"/>
  <c r="D152" i="96"/>
  <c r="D72" i="96"/>
  <c r="D75" i="96" s="1"/>
  <c r="D12" i="96"/>
  <c r="D15" i="96" s="1"/>
  <c r="D104" i="96"/>
  <c r="D166" i="94"/>
  <c r="D174" i="94"/>
  <c r="D171" i="94"/>
  <c r="D168" i="94"/>
  <c r="C168" i="94"/>
  <c r="D167" i="94"/>
  <c r="C167" i="94"/>
  <c r="C166" i="94"/>
  <c r="D85" i="94"/>
  <c r="D68" i="94"/>
  <c r="D90" i="96" l="1"/>
  <c r="D92" i="96" s="1"/>
  <c r="D169" i="94"/>
  <c r="C169" i="94"/>
  <c r="D153" i="94"/>
  <c r="D155" i="94" s="1"/>
  <c r="C138" i="94"/>
  <c r="D138" i="94" s="1"/>
  <c r="C135" i="94"/>
  <c r="D135" i="94" s="1"/>
  <c r="B135" i="94"/>
  <c r="D165" i="94"/>
  <c r="D164" i="94"/>
  <c r="C165" i="94"/>
  <c r="D150" i="94"/>
  <c r="C150" i="94"/>
  <c r="C88" i="94" l="1"/>
  <c r="D88" i="94" s="1"/>
  <c r="B88" i="94"/>
  <c r="C42" i="95"/>
  <c r="C41" i="95"/>
  <c r="C40" i="95"/>
  <c r="C43" i="95" s="1"/>
  <c r="C31" i="95"/>
  <c r="C29" i="95"/>
  <c r="C26" i="95"/>
  <c r="C25" i="95"/>
  <c r="C21" i="95"/>
  <c r="C15" i="95"/>
  <c r="C153" i="94"/>
  <c r="D152" i="94"/>
  <c r="D151" i="94"/>
  <c r="D149" i="94"/>
  <c r="D158" i="94" s="1"/>
  <c r="D139" i="94"/>
  <c r="D137" i="94"/>
  <c r="D136" i="94"/>
  <c r="C134" i="94"/>
  <c r="D134" i="94" s="1"/>
  <c r="D133" i="94"/>
  <c r="D141" i="94" s="1"/>
  <c r="C122" i="94"/>
  <c r="D122" i="94" s="1"/>
  <c r="D125" i="94" s="1"/>
  <c r="D121" i="94"/>
  <c r="D120" i="94"/>
  <c r="C119" i="94"/>
  <c r="D119" i="94" s="1"/>
  <c r="D118" i="94"/>
  <c r="D108" i="94"/>
  <c r="D105" i="94"/>
  <c r="D104" i="94"/>
  <c r="D102" i="94"/>
  <c r="D84" i="94"/>
  <c r="C87" i="94"/>
  <c r="D87" i="94" s="1"/>
  <c r="D72" i="94"/>
  <c r="C71" i="94"/>
  <c r="D71" i="94" s="1"/>
  <c r="C57" i="94"/>
  <c r="D57" i="94" s="1"/>
  <c r="C56" i="94"/>
  <c r="D56" i="94" s="1"/>
  <c r="D55" i="94"/>
  <c r="D54" i="94"/>
  <c r="C53" i="94"/>
  <c r="D53" i="94" s="1"/>
  <c r="D52" i="94"/>
  <c r="D39" i="94"/>
  <c r="D38" i="94"/>
  <c r="C40" i="94"/>
  <c r="D40" i="94" s="1"/>
  <c r="D24" i="94"/>
  <c r="D23" i="94"/>
  <c r="C26" i="94"/>
  <c r="D26" i="94" s="1"/>
  <c r="D11" i="94"/>
  <c r="D7" i="94"/>
  <c r="C9" i="94"/>
  <c r="D9" i="94" s="1"/>
  <c r="C2" i="95" l="1"/>
  <c r="D58" i="94"/>
  <c r="D61" i="94" s="1"/>
  <c r="C103" i="94"/>
  <c r="D103" i="94" s="1"/>
  <c r="C107" i="94"/>
  <c r="D107" i="94" s="1"/>
  <c r="D128" i="94"/>
  <c r="C86" i="94"/>
  <c r="D86" i="94" s="1"/>
  <c r="C83" i="94"/>
  <c r="D83" i="94" s="1"/>
  <c r="D143" i="94"/>
  <c r="C10" i="94"/>
  <c r="D10" i="94" s="1"/>
  <c r="D36" i="94"/>
  <c r="C6" i="94"/>
  <c r="D6" i="94" s="1"/>
  <c r="C22" i="94"/>
  <c r="D22" i="94" s="1"/>
  <c r="C41" i="94"/>
  <c r="D41" i="94" s="1"/>
  <c r="D66" i="94"/>
  <c r="C106" i="94"/>
  <c r="D106" i="94" s="1"/>
  <c r="C25" i="94"/>
  <c r="D25" i="94" s="1"/>
  <c r="D5" i="94"/>
  <c r="D21" i="94"/>
  <c r="C37" i="94"/>
  <c r="D37" i="94" s="1"/>
  <c r="C70" i="94"/>
  <c r="D70" i="94" s="1"/>
  <c r="C67" i="94"/>
  <c r="D67" i="94" s="1"/>
  <c r="D82" i="94"/>
  <c r="C151" i="92"/>
  <c r="D109" i="94" l="1"/>
  <c r="D113" i="94" s="1"/>
  <c r="C89" i="94"/>
  <c r="D89" i="94" s="1"/>
  <c r="D91" i="94"/>
  <c r="D95" i="94" s="1"/>
  <c r="D97" i="94" s="1"/>
  <c r="D42" i="94"/>
  <c r="D46" i="94" s="1"/>
  <c r="D73" i="94"/>
  <c r="D77" i="94" s="1"/>
  <c r="D27" i="94"/>
  <c r="D31" i="94" s="1"/>
  <c r="D12" i="94"/>
  <c r="D16" i="94" s="1"/>
  <c r="D156" i="92"/>
  <c r="D153" i="92"/>
  <c r="D150" i="92"/>
  <c r="D149" i="92"/>
  <c r="D147" i="92"/>
  <c r="D69" i="92"/>
  <c r="B54" i="92" l="1"/>
  <c r="C42" i="93" l="1"/>
  <c r="C41" i="93"/>
  <c r="C40" i="93"/>
  <c r="C43" i="93" s="1"/>
  <c r="C31" i="93"/>
  <c r="C29" i="93"/>
  <c r="C26" i="93"/>
  <c r="C25" i="93"/>
  <c r="C21" i="93"/>
  <c r="C15" i="93"/>
  <c r="C2" i="93" s="1"/>
  <c r="C118" i="92" l="1"/>
  <c r="B118" i="92"/>
  <c r="D137" i="92"/>
  <c r="D136" i="92"/>
  <c r="D135" i="92"/>
  <c r="C134" i="92"/>
  <c r="D134" i="92" s="1"/>
  <c r="D133" i="92"/>
  <c r="C122" i="92"/>
  <c r="D122" i="92" s="1"/>
  <c r="D121" i="92"/>
  <c r="D120" i="92"/>
  <c r="C119" i="92"/>
  <c r="D119" i="92" s="1"/>
  <c r="D117" i="92"/>
  <c r="D107" i="92"/>
  <c r="D104" i="92"/>
  <c r="D103" i="92"/>
  <c r="C101" i="92"/>
  <c r="C105" i="92" s="1"/>
  <c r="D85" i="92"/>
  <c r="C83" i="92"/>
  <c r="C84" i="92" s="1"/>
  <c r="D84" i="92" s="1"/>
  <c r="D73" i="92"/>
  <c r="D70" i="92"/>
  <c r="C67" i="92"/>
  <c r="C72" i="92" s="1"/>
  <c r="D72" i="92" s="1"/>
  <c r="D56" i="92"/>
  <c r="D55" i="92"/>
  <c r="D39" i="92"/>
  <c r="D38" i="92"/>
  <c r="C36" i="92"/>
  <c r="D24" i="92"/>
  <c r="D23" i="92"/>
  <c r="C21" i="92"/>
  <c r="D21" i="92" s="1"/>
  <c r="D11" i="92"/>
  <c r="D7" i="92"/>
  <c r="C5" i="92"/>
  <c r="D52" i="92" l="1"/>
  <c r="C54" i="92"/>
  <c r="D54" i="92" s="1"/>
  <c r="D118" i="92"/>
  <c r="D125" i="92" s="1"/>
  <c r="D128" i="92" s="1"/>
  <c r="C22" i="92"/>
  <c r="D22" i="92" s="1"/>
  <c r="D101" i="92"/>
  <c r="C102" i="92"/>
  <c r="D102" i="92" s="1"/>
  <c r="D83" i="92"/>
  <c r="C87" i="92"/>
  <c r="C88" i="92"/>
  <c r="D88" i="92" s="1"/>
  <c r="C53" i="92"/>
  <c r="D53" i="92" s="1"/>
  <c r="D105" i="92"/>
  <c r="D139" i="92"/>
  <c r="D141" i="92" s="1"/>
  <c r="C71" i="92"/>
  <c r="D36" i="92"/>
  <c r="D5" i="92"/>
  <c r="C9" i="92"/>
  <c r="D9" i="92" s="1"/>
  <c r="C26" i="92"/>
  <c r="D26" i="92" s="1"/>
  <c r="C37" i="92"/>
  <c r="D37" i="92" s="1"/>
  <c r="C40" i="92"/>
  <c r="C58" i="92"/>
  <c r="D58" i="92" s="1"/>
  <c r="C68" i="92"/>
  <c r="D68" i="92" s="1"/>
  <c r="C6" i="92"/>
  <c r="D6" i="92" s="1"/>
  <c r="C106" i="92"/>
  <c r="D106" i="92" s="1"/>
  <c r="C41" i="92"/>
  <c r="D41" i="92" s="1"/>
  <c r="D67" i="92"/>
  <c r="C10" i="92"/>
  <c r="D10" i="92" s="1"/>
  <c r="C25" i="92"/>
  <c r="C57" i="92"/>
  <c r="D207" i="90"/>
  <c r="D205" i="90"/>
  <c r="D201" i="90"/>
  <c r="D200" i="90"/>
  <c r="D199" i="90"/>
  <c r="C198" i="90"/>
  <c r="D198" i="90" s="1"/>
  <c r="D108" i="92" l="1"/>
  <c r="D12" i="92"/>
  <c r="D16" i="92" s="1"/>
  <c r="D87" i="92"/>
  <c r="D112" i="92"/>
  <c r="D25" i="92"/>
  <c r="D27" i="92" s="1"/>
  <c r="D40" i="92"/>
  <c r="D42" i="92" s="1"/>
  <c r="D71" i="92"/>
  <c r="D74" i="92" s="1"/>
  <c r="D78" i="92" s="1"/>
  <c r="D57" i="92"/>
  <c r="D59" i="92" s="1"/>
  <c r="D197" i="90"/>
  <c r="D183" i="90"/>
  <c r="D182" i="90"/>
  <c r="C181" i="90"/>
  <c r="D181" i="90" s="1"/>
  <c r="D90" i="92" l="1"/>
  <c r="D94" i="92" s="1"/>
  <c r="D96" i="92" s="1"/>
  <c r="D46" i="92"/>
  <c r="D62" i="92"/>
  <c r="D31" i="92"/>
  <c r="D203" i="90"/>
  <c r="C184" i="90"/>
  <c r="D184" i="90" s="1"/>
  <c r="D180" i="90"/>
  <c r="C40" i="91"/>
  <c r="C42" i="91"/>
  <c r="C41" i="91"/>
  <c r="C31" i="91"/>
  <c r="C29" i="91"/>
  <c r="C26" i="91"/>
  <c r="C25" i="91"/>
  <c r="C21" i="91"/>
  <c r="C15" i="91"/>
  <c r="C2" i="91" s="1"/>
  <c r="D187" i="90" l="1"/>
  <c r="D190" i="90" s="1"/>
  <c r="D192" i="90" s="1"/>
  <c r="C43" i="91"/>
  <c r="D15" i="90" l="1"/>
  <c r="C171" i="90" l="1"/>
  <c r="C169" i="90"/>
  <c r="D168" i="90"/>
  <c r="C166" i="90"/>
  <c r="D166" i="90" s="1"/>
  <c r="D165" i="90"/>
  <c r="D155" i="90"/>
  <c r="D154" i="90"/>
  <c r="D153" i="90"/>
  <c r="D140" i="90"/>
  <c r="D139" i="90"/>
  <c r="C137" i="90"/>
  <c r="D137" i="90" s="1"/>
  <c r="D128" i="90"/>
  <c r="D127" i="90"/>
  <c r="D126" i="90"/>
  <c r="C124" i="90"/>
  <c r="C125" i="90" s="1"/>
  <c r="D125" i="90" s="1"/>
  <c r="D114" i="90"/>
  <c r="D110" i="90"/>
  <c r="D109" i="90"/>
  <c r="C107" i="90"/>
  <c r="C113" i="90" s="1"/>
  <c r="D113" i="90" s="1"/>
  <c r="D90" i="90"/>
  <c r="C88" i="90"/>
  <c r="C92" i="90" s="1"/>
  <c r="D78" i="90"/>
  <c r="D74" i="90"/>
  <c r="D73" i="90"/>
  <c r="C71" i="90"/>
  <c r="C77" i="90" s="1"/>
  <c r="D77" i="90" s="1"/>
  <c r="D59" i="90"/>
  <c r="D58" i="90"/>
  <c r="C56" i="90"/>
  <c r="C60" i="90" s="1"/>
  <c r="D42" i="90"/>
  <c r="D41" i="90"/>
  <c r="C38" i="90"/>
  <c r="C45" i="90" s="1"/>
  <c r="D45" i="90" s="1"/>
  <c r="D25" i="90"/>
  <c r="D24" i="90"/>
  <c r="C22" i="90"/>
  <c r="C23" i="90" s="1"/>
  <c r="D23" i="90" s="1"/>
  <c r="D12" i="90"/>
  <c r="D8" i="90"/>
  <c r="C5" i="90"/>
  <c r="C7" i="90" s="1"/>
  <c r="D7" i="90" s="1"/>
  <c r="D60" i="90" l="1"/>
  <c r="C61" i="90"/>
  <c r="D61" i="90" s="1"/>
  <c r="D92" i="90"/>
  <c r="C93" i="90"/>
  <c r="D93" i="90" s="1"/>
  <c r="D158" i="90"/>
  <c r="D160" i="90" s="1"/>
  <c r="D169" i="90"/>
  <c r="D170" i="90"/>
  <c r="C170" i="90"/>
  <c r="D124" i="90"/>
  <c r="D129" i="90" s="1"/>
  <c r="C10" i="90"/>
  <c r="D10" i="90" s="1"/>
  <c r="D38" i="90"/>
  <c r="C138" i="90"/>
  <c r="D138" i="90" s="1"/>
  <c r="C26" i="90"/>
  <c r="D22" i="90"/>
  <c r="C28" i="90"/>
  <c r="D28" i="90" s="1"/>
  <c r="D5" i="90"/>
  <c r="C89" i="90"/>
  <c r="D89" i="90" s="1"/>
  <c r="C141" i="90"/>
  <c r="D141" i="90" s="1"/>
  <c r="C57" i="90"/>
  <c r="D57" i="90" s="1"/>
  <c r="C6" i="90"/>
  <c r="D6" i="90" s="1"/>
  <c r="C39" i="90"/>
  <c r="D39" i="90" s="1"/>
  <c r="C43" i="90"/>
  <c r="C62" i="90"/>
  <c r="D62" i="90" s="1"/>
  <c r="D71" i="90"/>
  <c r="C94" i="90"/>
  <c r="D94" i="90" s="1"/>
  <c r="D107" i="90"/>
  <c r="C72" i="90"/>
  <c r="D72" i="90" s="1"/>
  <c r="C108" i="90"/>
  <c r="D108" i="90" s="1"/>
  <c r="C111" i="90"/>
  <c r="C11" i="90"/>
  <c r="D11" i="90" s="1"/>
  <c r="C40" i="90"/>
  <c r="D40" i="90" s="1"/>
  <c r="D56" i="90"/>
  <c r="C75" i="90"/>
  <c r="D88" i="90"/>
  <c r="B154" i="88"/>
  <c r="B155" i="88"/>
  <c r="B156" i="88"/>
  <c r="D96" i="90" l="1"/>
  <c r="D100" i="90" s="1"/>
  <c r="D102" i="90" s="1"/>
  <c r="D173" i="90"/>
  <c r="D175" i="90" s="1"/>
  <c r="D145" i="90"/>
  <c r="D148" i="90" s="1"/>
  <c r="D111" i="90"/>
  <c r="C112" i="90"/>
  <c r="D112" i="90" s="1"/>
  <c r="D115" i="90" s="1"/>
  <c r="D119" i="90" s="1"/>
  <c r="D75" i="90"/>
  <c r="C76" i="90"/>
  <c r="D76" i="90" s="1"/>
  <c r="D63" i="90"/>
  <c r="D66" i="90" s="1"/>
  <c r="D26" i="90"/>
  <c r="C27" i="90"/>
  <c r="D27" i="90" s="1"/>
  <c r="D13" i="90"/>
  <c r="D17" i="90" s="1"/>
  <c r="D43" i="90"/>
  <c r="C44" i="90"/>
  <c r="D44" i="90" s="1"/>
  <c r="D132" i="90"/>
  <c r="C21" i="89"/>
  <c r="C42" i="89"/>
  <c r="C41" i="89"/>
  <c r="C43" i="89" s="1"/>
  <c r="C40" i="89"/>
  <c r="C31" i="89"/>
  <c r="C29" i="89"/>
  <c r="C26" i="89"/>
  <c r="C25" i="89"/>
  <c r="C15" i="89"/>
  <c r="D177" i="88"/>
  <c r="D29" i="90" l="1"/>
  <c r="D33" i="90" s="1"/>
  <c r="D79" i="90"/>
  <c r="D83" i="90" s="1"/>
  <c r="D46" i="90"/>
  <c r="D50" i="90" s="1"/>
  <c r="C2" i="89"/>
  <c r="D132" i="88"/>
  <c r="D129" i="88"/>
  <c r="D173" i="88" l="1"/>
  <c r="D156" i="88"/>
  <c r="C128" i="88"/>
  <c r="D128" i="88" s="1"/>
  <c r="B125" i="88"/>
  <c r="D113" i="88"/>
  <c r="D96" i="88"/>
  <c r="D79" i="88"/>
  <c r="D63" i="88"/>
  <c r="D46" i="88"/>
  <c r="D29" i="88" l="1"/>
  <c r="D12" i="88"/>
  <c r="D76" i="88"/>
  <c r="D75" i="88"/>
  <c r="B74" i="88"/>
  <c r="C168" i="88" l="1"/>
  <c r="D168" i="88" s="1"/>
  <c r="D155" i="88"/>
  <c r="B24" i="88" l="1"/>
  <c r="A58" i="88" l="1"/>
  <c r="C172" i="88"/>
  <c r="C171" i="88"/>
  <c r="D171" i="88" s="1"/>
  <c r="D170" i="88"/>
  <c r="D169" i="88"/>
  <c r="C167" i="88"/>
  <c r="D167" i="88" s="1"/>
  <c r="D166" i="88"/>
  <c r="D154" i="88"/>
  <c r="D141" i="88"/>
  <c r="D140" i="88"/>
  <c r="C137" i="88"/>
  <c r="C142" i="88" s="1"/>
  <c r="D142" i="88" s="1"/>
  <c r="D127" i="88"/>
  <c r="D126" i="88"/>
  <c r="C123" i="88"/>
  <c r="C124" i="88" s="1"/>
  <c r="D124" i="88" s="1"/>
  <c r="D110" i="88"/>
  <c r="D109" i="88"/>
  <c r="C106" i="88"/>
  <c r="C112" i="88" s="1"/>
  <c r="D112" i="88" s="1"/>
  <c r="D92" i="88"/>
  <c r="C89" i="88"/>
  <c r="C95" i="88" s="1"/>
  <c r="D95" i="88" s="1"/>
  <c r="C72" i="88"/>
  <c r="D72" i="88" s="1"/>
  <c r="D60" i="88"/>
  <c r="D59" i="88"/>
  <c r="C56" i="88"/>
  <c r="D56" i="88" s="1"/>
  <c r="D43" i="88"/>
  <c r="D42" i="88"/>
  <c r="C39" i="88"/>
  <c r="D39" i="88" s="1"/>
  <c r="D26" i="88"/>
  <c r="D25" i="88"/>
  <c r="C22" i="88"/>
  <c r="D8" i="88"/>
  <c r="C5" i="88"/>
  <c r="C6" i="88" s="1"/>
  <c r="D6" i="88" s="1"/>
  <c r="D159" i="88" l="1"/>
  <c r="C41" i="88"/>
  <c r="D41" i="88" s="1"/>
  <c r="D22" i="88"/>
  <c r="C24" i="88"/>
  <c r="D24" i="88" s="1"/>
  <c r="C10" i="88"/>
  <c r="D10" i="88" s="1"/>
  <c r="D175" i="88"/>
  <c r="C139" i="88"/>
  <c r="D139" i="88" s="1"/>
  <c r="C108" i="88"/>
  <c r="D108" i="88" s="1"/>
  <c r="D106" i="88"/>
  <c r="D5" i="88"/>
  <c r="C58" i="88"/>
  <c r="D58" i="88" s="1"/>
  <c r="C91" i="88"/>
  <c r="D91" i="88" s="1"/>
  <c r="C125" i="88"/>
  <c r="D125" i="88" s="1"/>
  <c r="C11" i="88"/>
  <c r="D11" i="88" s="1"/>
  <c r="D123" i="88"/>
  <c r="C7" i="88"/>
  <c r="D7" i="88" s="1"/>
  <c r="C23" i="88"/>
  <c r="D23" i="88" s="1"/>
  <c r="C28" i="88"/>
  <c r="D28" i="88" s="1"/>
  <c r="C40" i="88"/>
  <c r="D40" i="88" s="1"/>
  <c r="C45" i="88"/>
  <c r="D45" i="88" s="1"/>
  <c r="C57" i="88"/>
  <c r="D57" i="88" s="1"/>
  <c r="C62" i="88"/>
  <c r="D62" i="88" s="1"/>
  <c r="C73" i="88"/>
  <c r="D73" i="88" s="1"/>
  <c r="C78" i="88"/>
  <c r="D78" i="88" s="1"/>
  <c r="C90" i="88"/>
  <c r="D90" i="88" s="1"/>
  <c r="D137" i="88"/>
  <c r="C74" i="88"/>
  <c r="D74" i="88" s="1"/>
  <c r="C138" i="88"/>
  <c r="D138" i="88" s="1"/>
  <c r="C94" i="88"/>
  <c r="D94" i="88" s="1"/>
  <c r="C111" i="88"/>
  <c r="D111" i="88" s="1"/>
  <c r="C27" i="88"/>
  <c r="D27" i="88" s="1"/>
  <c r="C44" i="88"/>
  <c r="D44" i="88" s="1"/>
  <c r="C61" i="88"/>
  <c r="D61" i="88" s="1"/>
  <c r="C77" i="88"/>
  <c r="D77" i="88" s="1"/>
  <c r="D89" i="88"/>
  <c r="C107" i="88"/>
  <c r="D107" i="88" s="1"/>
  <c r="C29" i="87"/>
  <c r="C27" i="87"/>
  <c r="C24" i="87"/>
  <c r="C23" i="87"/>
  <c r="D146" i="88" l="1"/>
  <c r="D149" i="88" s="1"/>
  <c r="D30" i="88"/>
  <c r="D34" i="88" s="1"/>
  <c r="D97" i="88"/>
  <c r="D101" i="88" s="1"/>
  <c r="D13" i="88"/>
  <c r="D17" i="88" s="1"/>
  <c r="D47" i="88"/>
  <c r="D51" i="88" s="1"/>
  <c r="D114" i="88"/>
  <c r="D118" i="88" s="1"/>
  <c r="D80" i="88"/>
  <c r="D84" i="88" s="1"/>
  <c r="D64" i="88"/>
  <c r="D67" i="88" s="1"/>
  <c r="D165" i="85"/>
  <c r="D133" i="85"/>
  <c r="C101" i="85"/>
  <c r="C163" i="85" l="1"/>
  <c r="C67" i="85"/>
  <c r="C21" i="85"/>
  <c r="C5" i="85"/>
  <c r="C14" i="87" l="1"/>
  <c r="D170" i="85"/>
  <c r="D166" i="85"/>
  <c r="C167" i="85"/>
  <c r="C166" i="85"/>
  <c r="D164" i="85"/>
  <c r="D163" i="85"/>
  <c r="C69" i="85"/>
  <c r="D69" i="85" s="1"/>
  <c r="C40" i="87" l="1"/>
  <c r="C39" i="87"/>
  <c r="C38" i="87"/>
  <c r="C41" i="87" l="1"/>
  <c r="D198" i="85"/>
  <c r="D190" i="85"/>
  <c r="B190" i="85"/>
  <c r="D184" i="85" l="1"/>
  <c r="D176" i="85"/>
  <c r="B176" i="85"/>
  <c r="D162" i="85" l="1"/>
  <c r="D147" i="85"/>
  <c r="D134" i="85"/>
  <c r="C130" i="85"/>
  <c r="C132" i="85" s="1"/>
  <c r="D132" i="85" s="1"/>
  <c r="D121" i="85"/>
  <c r="D120" i="85"/>
  <c r="D119" i="85"/>
  <c r="C117" i="85"/>
  <c r="D117" i="85" s="1"/>
  <c r="D104" i="85"/>
  <c r="D103" i="85"/>
  <c r="D101" i="85"/>
  <c r="D87" i="85"/>
  <c r="D92" i="85" s="1"/>
  <c r="D96" i="85" s="1"/>
  <c r="C84" i="85"/>
  <c r="D84" i="85" s="1"/>
  <c r="C68" i="85"/>
  <c r="D68" i="85" s="1"/>
  <c r="D67" i="85"/>
  <c r="D55" i="85"/>
  <c r="D54" i="85"/>
  <c r="C52" i="85"/>
  <c r="C56" i="85" s="1"/>
  <c r="D56" i="85" s="1"/>
  <c r="D40" i="85"/>
  <c r="D39" i="85"/>
  <c r="C37" i="85"/>
  <c r="C41" i="85" s="1"/>
  <c r="D41" i="85" s="1"/>
  <c r="C26" i="85"/>
  <c r="D26" i="85" s="1"/>
  <c r="D24" i="85"/>
  <c r="D23" i="85"/>
  <c r="C25" i="85"/>
  <c r="D25" i="85" s="1"/>
  <c r="C10" i="85"/>
  <c r="D10" i="85" s="1"/>
  <c r="D7" i="85"/>
  <c r="C6" i="85"/>
  <c r="D6" i="85" s="1"/>
  <c r="C102" i="85" l="1"/>
  <c r="D102" i="85" s="1"/>
  <c r="D52" i="85"/>
  <c r="D37" i="85"/>
  <c r="D21" i="85"/>
  <c r="C57" i="85"/>
  <c r="D57" i="85" s="1"/>
  <c r="C106" i="85"/>
  <c r="D106" i="85" s="1"/>
  <c r="C42" i="85"/>
  <c r="D42" i="85" s="1"/>
  <c r="C53" i="85"/>
  <c r="D53" i="85" s="1"/>
  <c r="C22" i="85"/>
  <c r="D22" i="85" s="1"/>
  <c r="C38" i="85"/>
  <c r="D38" i="85" s="1"/>
  <c r="D44" i="85" s="1"/>
  <c r="D47" i="85" s="1"/>
  <c r="D5" i="85"/>
  <c r="C90" i="85"/>
  <c r="D90" i="85" s="1"/>
  <c r="C73" i="85"/>
  <c r="D73" i="85" s="1"/>
  <c r="C118" i="85"/>
  <c r="D118" i="85" s="1"/>
  <c r="C85" i="85"/>
  <c r="D85" i="85" s="1"/>
  <c r="D122" i="85"/>
  <c r="D125" i="85" s="1"/>
  <c r="C9" i="85"/>
  <c r="D9" i="85" s="1"/>
  <c r="D12" i="85" s="1"/>
  <c r="D16" i="85" s="1"/>
  <c r="D130" i="85"/>
  <c r="D148" i="85"/>
  <c r="D155" i="85" s="1"/>
  <c r="C131" i="85"/>
  <c r="D131" i="85" s="1"/>
  <c r="C135" i="85"/>
  <c r="D135" i="85" s="1"/>
  <c r="C72" i="85"/>
  <c r="D72" i="85" s="1"/>
  <c r="C89" i="85"/>
  <c r="D89" i="85" s="1"/>
  <c r="C105" i="85"/>
  <c r="D105" i="85" s="1"/>
  <c r="D152" i="82"/>
  <c r="D75" i="85" l="1"/>
  <c r="D108" i="85"/>
  <c r="D112" i="85" s="1"/>
  <c r="D28" i="85"/>
  <c r="D32" i="85" s="1"/>
  <c r="D79" i="85"/>
  <c r="D59" i="85"/>
  <c r="D139" i="85"/>
  <c r="D142" i="85" s="1"/>
  <c r="D34" i="83"/>
  <c r="C15" i="83"/>
  <c r="D179" i="82"/>
  <c r="D131" i="82"/>
  <c r="D130" i="82"/>
  <c r="C127" i="82"/>
  <c r="C114" i="82"/>
  <c r="C98" i="82"/>
  <c r="C67" i="82"/>
  <c r="C52" i="82"/>
  <c r="C21" i="82"/>
  <c r="D16" i="82"/>
  <c r="C5" i="82"/>
  <c r="D62" i="85" l="1"/>
  <c r="D160" i="82"/>
  <c r="C83" i="82"/>
  <c r="C37" i="82"/>
  <c r="D171" i="82" l="1"/>
  <c r="C159" i="82" l="1"/>
  <c r="D159" i="82" s="1"/>
  <c r="C129" i="82" l="1"/>
  <c r="D129" i="82" s="1"/>
  <c r="C41" i="83"/>
  <c r="C40" i="83"/>
  <c r="C39" i="83"/>
  <c r="C42" i="83" l="1"/>
  <c r="D144" i="82"/>
  <c r="D100" i="82"/>
  <c r="D69" i="82"/>
  <c r="D23" i="82"/>
  <c r="C158" i="82"/>
  <c r="D158" i="82" s="1"/>
  <c r="D157" i="82"/>
  <c r="C132" i="82"/>
  <c r="D132" i="82" s="1"/>
  <c r="C128" i="82"/>
  <c r="D128" i="82" s="1"/>
  <c r="D127" i="82"/>
  <c r="D118" i="82"/>
  <c r="D117" i="82"/>
  <c r="D116" i="82"/>
  <c r="C115" i="82"/>
  <c r="D115" i="82" s="1"/>
  <c r="D114" i="82"/>
  <c r="C103" i="82"/>
  <c r="D103" i="82" s="1"/>
  <c r="C102" i="82"/>
  <c r="D102" i="82" s="1"/>
  <c r="D101" i="82"/>
  <c r="C99" i="82"/>
  <c r="D99" i="82" s="1"/>
  <c r="D98" i="82"/>
  <c r="C88" i="82"/>
  <c r="D88" i="82" s="1"/>
  <c r="C87" i="82"/>
  <c r="D87" i="82" s="1"/>
  <c r="D86" i="82"/>
  <c r="D85" i="82"/>
  <c r="C84" i="82"/>
  <c r="D84" i="82" s="1"/>
  <c r="D83" i="82"/>
  <c r="C72" i="82"/>
  <c r="D72" i="82" s="1"/>
  <c r="C71" i="82"/>
  <c r="D71" i="82" s="1"/>
  <c r="D70" i="82"/>
  <c r="C68" i="82"/>
  <c r="D68" i="82" s="1"/>
  <c r="D67" i="82"/>
  <c r="C57" i="82"/>
  <c r="D57" i="82" s="1"/>
  <c r="C56" i="82"/>
  <c r="D56" i="82" s="1"/>
  <c r="D55" i="82"/>
  <c r="D54" i="82"/>
  <c r="C53" i="82"/>
  <c r="D53" i="82" s="1"/>
  <c r="D52" i="82"/>
  <c r="C42" i="82"/>
  <c r="D42" i="82" s="1"/>
  <c r="C41" i="82"/>
  <c r="D41" i="82" s="1"/>
  <c r="D40" i="82"/>
  <c r="D39" i="82"/>
  <c r="C38" i="82"/>
  <c r="D38" i="82" s="1"/>
  <c r="D37" i="82"/>
  <c r="C26" i="82"/>
  <c r="D26" i="82" s="1"/>
  <c r="C25" i="82"/>
  <c r="D25" i="82" s="1"/>
  <c r="D24" i="82"/>
  <c r="C22" i="82"/>
  <c r="D22" i="82" s="1"/>
  <c r="D21" i="82"/>
  <c r="C10" i="82"/>
  <c r="D10" i="82" s="1"/>
  <c r="C9" i="82"/>
  <c r="D9" i="82" s="1"/>
  <c r="D7" i="82"/>
  <c r="C6" i="82"/>
  <c r="D6" i="82" s="1"/>
  <c r="D5" i="82"/>
  <c r="D136" i="82" l="1"/>
  <c r="D12" i="82"/>
  <c r="D105" i="82"/>
  <c r="D109" i="82" s="1"/>
  <c r="D28" i="82"/>
  <c r="D32" i="82" s="1"/>
  <c r="D166" i="82"/>
  <c r="D90" i="82"/>
  <c r="D93" i="82" s="1"/>
  <c r="D119" i="82"/>
  <c r="D122" i="82" s="1"/>
  <c r="D139" i="82"/>
  <c r="D44" i="82"/>
  <c r="D47" i="82" s="1"/>
  <c r="D74" i="82"/>
  <c r="D78" i="82" s="1"/>
  <c r="B61" i="82"/>
  <c r="D61" i="82" s="1"/>
  <c r="D59" i="82"/>
  <c r="D145" i="82"/>
  <c r="D215" i="81"/>
  <c r="D208" i="81"/>
  <c r="C208" i="81"/>
  <c r="D207" i="81"/>
  <c r="D62" i="82" l="1"/>
  <c r="C203" i="81"/>
  <c r="C201" i="81"/>
  <c r="C202" i="81"/>
  <c r="C200" i="81"/>
  <c r="C176" i="81"/>
  <c r="D156" i="81"/>
  <c r="C155" i="81"/>
  <c r="D155" i="81" s="1"/>
  <c r="D154" i="81"/>
  <c r="D141" i="81"/>
  <c r="D142" i="81" s="1"/>
  <c r="D162" i="81" l="1"/>
  <c r="D149" i="81"/>
  <c r="C98" i="81"/>
  <c r="D98" i="81" s="1"/>
  <c r="C21" i="81"/>
  <c r="D21" i="81" s="1"/>
  <c r="C26" i="81" l="1"/>
  <c r="D26" i="81" s="1"/>
  <c r="C10" i="81"/>
  <c r="D10" i="81" s="1"/>
  <c r="C130" i="81"/>
  <c r="D130" i="81" s="1"/>
  <c r="D129" i="81"/>
  <c r="D128" i="81"/>
  <c r="C127" i="81"/>
  <c r="D127" i="81" s="1"/>
  <c r="D126" i="81"/>
  <c r="D117" i="81"/>
  <c r="D116" i="81"/>
  <c r="D115" i="81"/>
  <c r="C114" i="81"/>
  <c r="D114" i="81" s="1"/>
  <c r="D113" i="81"/>
  <c r="C103" i="81"/>
  <c r="D103" i="81" s="1"/>
  <c r="C102" i="81"/>
  <c r="D102" i="81" s="1"/>
  <c r="D101" i="81"/>
  <c r="C99" i="81"/>
  <c r="D97" i="81"/>
  <c r="C87" i="81"/>
  <c r="D87" i="81" s="1"/>
  <c r="C86" i="81"/>
  <c r="D86" i="81" s="1"/>
  <c r="D85" i="81"/>
  <c r="D84" i="81"/>
  <c r="C83" i="81"/>
  <c r="D83" i="81" s="1"/>
  <c r="D82" i="81"/>
  <c r="C71" i="81"/>
  <c r="D71" i="81" s="1"/>
  <c r="C70" i="81"/>
  <c r="D70" i="81" s="1"/>
  <c r="D69" i="81"/>
  <c r="C67" i="81"/>
  <c r="D67" i="81" s="1"/>
  <c r="D66" i="81"/>
  <c r="C56" i="81"/>
  <c r="D56" i="81" s="1"/>
  <c r="C55" i="81"/>
  <c r="D55" i="81" s="1"/>
  <c r="D54" i="81"/>
  <c r="D53" i="81"/>
  <c r="C52" i="81"/>
  <c r="D52" i="81" s="1"/>
  <c r="D51" i="81"/>
  <c r="C41" i="81"/>
  <c r="D41" i="81" s="1"/>
  <c r="C40" i="81"/>
  <c r="D40" i="81" s="1"/>
  <c r="D39" i="81"/>
  <c r="D38" i="81"/>
  <c r="C37" i="81"/>
  <c r="D37" i="81" s="1"/>
  <c r="D36" i="81"/>
  <c r="C25" i="81"/>
  <c r="D25" i="81" s="1"/>
  <c r="D24" i="81"/>
  <c r="C22" i="81"/>
  <c r="D22" i="81" s="1"/>
  <c r="D20" i="81"/>
  <c r="C9" i="81"/>
  <c r="D9" i="81" s="1"/>
  <c r="D7" i="81"/>
  <c r="C6" i="81"/>
  <c r="D6" i="81" s="1"/>
  <c r="D5" i="81"/>
  <c r="D12" i="81" l="1"/>
  <c r="D105" i="81"/>
  <c r="D108" i="81" s="1"/>
  <c r="D43" i="81"/>
  <c r="D46" i="81" s="1"/>
  <c r="D58" i="81"/>
  <c r="D73" i="81"/>
  <c r="D77" i="81" s="1"/>
  <c r="D28" i="81"/>
  <c r="D31" i="81" s="1"/>
  <c r="D118" i="81"/>
  <c r="D121" i="81" s="1"/>
  <c r="D15" i="81"/>
  <c r="B60" i="81"/>
  <c r="D60" i="81" s="1"/>
  <c r="D133" i="81"/>
  <c r="D136" i="81" s="1"/>
  <c r="D89" i="81"/>
  <c r="D92" i="81" s="1"/>
  <c r="D102" i="80"/>
  <c r="C103" i="80"/>
  <c r="D103" i="80"/>
  <c r="D104" i="80"/>
  <c r="D105" i="80"/>
  <c r="D106" i="80"/>
  <c r="D59" i="80"/>
  <c r="C60" i="80"/>
  <c r="D60" i="80"/>
  <c r="D61" i="80"/>
  <c r="D62" i="80"/>
  <c r="C63" i="80"/>
  <c r="D63" i="80" s="1"/>
  <c r="C64" i="80"/>
  <c r="D64" i="80"/>
  <c r="D61" i="81" l="1"/>
  <c r="D107" i="80"/>
  <c r="D110" i="80" s="1"/>
  <c r="D65" i="80"/>
  <c r="C165" i="80"/>
  <c r="C166" i="80" s="1"/>
  <c r="C164" i="80"/>
  <c r="C163" i="80"/>
  <c r="B149" i="80"/>
  <c r="C149" i="80"/>
  <c r="D149" i="80"/>
  <c r="B150" i="80"/>
  <c r="D150" i="80"/>
  <c r="B151" i="80"/>
  <c r="B152" i="80"/>
  <c r="D152" i="80"/>
  <c r="B153" i="80"/>
  <c r="D153" i="80"/>
  <c r="B154" i="80"/>
  <c r="D154" i="80"/>
  <c r="B155" i="80"/>
  <c r="D155" i="80"/>
  <c r="B156" i="80"/>
  <c r="D156" i="80"/>
  <c r="B157" i="80"/>
  <c r="D157" i="80"/>
  <c r="B158" i="80"/>
  <c r="D158" i="80"/>
  <c r="B159" i="80"/>
  <c r="D159" i="80"/>
  <c r="C136" i="80" l="1"/>
  <c r="C146" i="80" s="1"/>
  <c r="C119" i="80"/>
  <c r="D119" i="80" s="1"/>
  <c r="D118" i="80"/>
  <c r="D117" i="80"/>
  <c r="C116" i="80"/>
  <c r="D116" i="80" s="1"/>
  <c r="D115" i="80"/>
  <c r="C93" i="80"/>
  <c r="D93" i="80" s="1"/>
  <c r="C92" i="80"/>
  <c r="D92" i="80" s="1"/>
  <c r="D91" i="80"/>
  <c r="D90" i="80"/>
  <c r="C89" i="80"/>
  <c r="D89" i="80" s="1"/>
  <c r="D88" i="80"/>
  <c r="C79" i="80"/>
  <c r="D79" i="80" s="1"/>
  <c r="C78" i="80"/>
  <c r="D78" i="80" s="1"/>
  <c r="D77" i="80"/>
  <c r="D76" i="80"/>
  <c r="C75" i="80"/>
  <c r="D75" i="80" s="1"/>
  <c r="D74" i="80"/>
  <c r="C50" i="80"/>
  <c r="D50" i="80" s="1"/>
  <c r="C49" i="80"/>
  <c r="D49" i="80" s="1"/>
  <c r="D48" i="80"/>
  <c r="D47" i="80"/>
  <c r="C46" i="80"/>
  <c r="D46" i="80" s="1"/>
  <c r="D45" i="80"/>
  <c r="C36" i="80"/>
  <c r="D36" i="80" s="1"/>
  <c r="C35" i="80"/>
  <c r="D35" i="80" s="1"/>
  <c r="D34" i="80"/>
  <c r="D33" i="80"/>
  <c r="C32" i="80"/>
  <c r="D32" i="80" s="1"/>
  <c r="D31" i="80"/>
  <c r="C22" i="80"/>
  <c r="D22" i="80" s="1"/>
  <c r="D21" i="80"/>
  <c r="C19" i="80"/>
  <c r="D19" i="80" s="1"/>
  <c r="D18" i="80"/>
  <c r="D9" i="80"/>
  <c r="C8" i="80"/>
  <c r="D8" i="80" s="1"/>
  <c r="D7" i="80"/>
  <c r="C6" i="80"/>
  <c r="D6" i="80" s="1"/>
  <c r="D5" i="80"/>
  <c r="D80" i="80" l="1"/>
  <c r="D83" i="80" s="1"/>
  <c r="D122" i="80"/>
  <c r="D125" i="80" s="1"/>
  <c r="B53" i="80"/>
  <c r="D53" i="80" s="1"/>
  <c r="D51" i="80"/>
  <c r="D54" i="80" s="1"/>
  <c r="D23" i="80"/>
  <c r="D26" i="80" s="1"/>
  <c r="D10" i="80"/>
  <c r="D13" i="80" s="1"/>
  <c r="D69" i="80"/>
  <c r="D94" i="80"/>
  <c r="D97" i="80" s="1"/>
  <c r="D37" i="80"/>
  <c r="D40" i="80" s="1"/>
  <c r="C106" i="79" l="1"/>
  <c r="D106" i="79" s="1"/>
  <c r="D102" i="79"/>
  <c r="C60" i="79"/>
  <c r="D60" i="79" s="1"/>
  <c r="C136" i="79"/>
  <c r="C146" i="79" s="1"/>
  <c r="C119" i="79"/>
  <c r="D119" i="79" s="1"/>
  <c r="D118" i="79"/>
  <c r="D117" i="79"/>
  <c r="C116" i="79"/>
  <c r="D116" i="79" s="1"/>
  <c r="D115" i="79"/>
  <c r="D105" i="79"/>
  <c r="D104" i="79"/>
  <c r="C103" i="79"/>
  <c r="D103" i="79" s="1"/>
  <c r="C93" i="79"/>
  <c r="D93" i="79" s="1"/>
  <c r="C92" i="79"/>
  <c r="D92" i="79" s="1"/>
  <c r="D91" i="79"/>
  <c r="D90" i="79"/>
  <c r="C89" i="79"/>
  <c r="D89" i="79" s="1"/>
  <c r="D88" i="79"/>
  <c r="C79" i="79"/>
  <c r="D79" i="79" s="1"/>
  <c r="C78" i="79"/>
  <c r="D78" i="79" s="1"/>
  <c r="D77" i="79"/>
  <c r="D76" i="79"/>
  <c r="C75" i="79"/>
  <c r="D75" i="79" s="1"/>
  <c r="D74" i="79"/>
  <c r="C64" i="79"/>
  <c r="D64" i="79" s="1"/>
  <c r="C63" i="79"/>
  <c r="D63" i="79" s="1"/>
  <c r="D62" i="79"/>
  <c r="D61" i="79"/>
  <c r="C59" i="79"/>
  <c r="D59" i="79" s="1"/>
  <c r="D58" i="79"/>
  <c r="C50" i="79"/>
  <c r="D50" i="79" s="1"/>
  <c r="C49" i="79"/>
  <c r="D49" i="79" s="1"/>
  <c r="D48" i="79"/>
  <c r="D47" i="79"/>
  <c r="C46" i="79"/>
  <c r="D46" i="79" s="1"/>
  <c r="D45" i="79"/>
  <c r="C36" i="79"/>
  <c r="D36" i="79" s="1"/>
  <c r="C35" i="79"/>
  <c r="D35" i="79" s="1"/>
  <c r="D34" i="79"/>
  <c r="D33" i="79"/>
  <c r="C32" i="79"/>
  <c r="D32" i="79" s="1"/>
  <c r="D31" i="79"/>
  <c r="C22" i="79"/>
  <c r="D22" i="79" s="1"/>
  <c r="D21" i="79"/>
  <c r="C19" i="79"/>
  <c r="D19" i="79" s="1"/>
  <c r="D18" i="79"/>
  <c r="D9" i="79"/>
  <c r="C8" i="79"/>
  <c r="D8" i="79" s="1"/>
  <c r="D7" i="79"/>
  <c r="C6" i="79"/>
  <c r="D6" i="79" s="1"/>
  <c r="D5" i="79"/>
  <c r="D23" i="79" l="1"/>
  <c r="D26" i="79" s="1"/>
  <c r="D10" i="79"/>
  <c r="D13" i="79" s="1"/>
  <c r="D94" i="79"/>
  <c r="D97" i="79" s="1"/>
  <c r="D80" i="79"/>
  <c r="D83" i="79" s="1"/>
  <c r="D65" i="79"/>
  <c r="D69" i="79" s="1"/>
  <c r="D37" i="79"/>
  <c r="D40" i="79" s="1"/>
  <c r="D107" i="79"/>
  <c r="D110" i="79" s="1"/>
  <c r="D122" i="79"/>
  <c r="D125" i="79" s="1"/>
  <c r="D51" i="79"/>
  <c r="B52" i="79"/>
  <c r="D52" i="79" s="1"/>
  <c r="D53" i="79" l="1"/>
  <c r="D111" i="77"/>
  <c r="D115" i="77"/>
  <c r="C128" i="77"/>
  <c r="C112" i="77"/>
  <c r="D112" i="77" s="1"/>
  <c r="C100" i="77"/>
  <c r="C84" i="77"/>
  <c r="C70" i="77"/>
  <c r="C56" i="77"/>
  <c r="C40" i="77"/>
  <c r="D41" i="77"/>
  <c r="C25" i="77"/>
  <c r="C10" i="77"/>
  <c r="C143" i="77" l="1"/>
  <c r="D128" i="77" l="1"/>
  <c r="D124" i="77"/>
  <c r="D123" i="77"/>
  <c r="D110" i="77"/>
  <c r="D100" i="77"/>
  <c r="D97" i="77"/>
  <c r="D96" i="77"/>
  <c r="D84" i="77"/>
  <c r="D81" i="77"/>
  <c r="D80" i="77"/>
  <c r="D70" i="77"/>
  <c r="D67" i="77"/>
  <c r="D66" i="77"/>
  <c r="D56" i="77" l="1"/>
  <c r="D53" i="77"/>
  <c r="D52" i="77"/>
  <c r="D40" i="77"/>
  <c r="D37" i="77"/>
  <c r="D36" i="77"/>
  <c r="D25" i="77"/>
  <c r="D23" i="77"/>
  <c r="D9" i="77"/>
  <c r="D7" i="77"/>
  <c r="D10" i="77"/>
  <c r="D34" i="77" l="1"/>
  <c r="C35" i="77"/>
  <c r="D35" i="77" s="1"/>
  <c r="C38" i="77"/>
  <c r="D38" i="77" s="1"/>
  <c r="C39" i="77"/>
  <c r="D39" i="77" s="1"/>
  <c r="D20" i="77"/>
  <c r="C21" i="77"/>
  <c r="D21" i="77" s="1"/>
  <c r="C24" i="77"/>
  <c r="D24" i="77" s="1"/>
  <c r="D42" i="77" l="1"/>
  <c r="D45" i="77"/>
  <c r="D26" i="77"/>
  <c r="D29" i="77" s="1"/>
  <c r="C125" i="77"/>
  <c r="D125" i="77" s="1"/>
  <c r="C122" i="77"/>
  <c r="D122" i="77" s="1"/>
  <c r="D121" i="77"/>
  <c r="C109" i="77"/>
  <c r="D109" i="77" s="1"/>
  <c r="D108" i="77"/>
  <c r="D113" i="77" s="1"/>
  <c r="D116" i="77" s="1"/>
  <c r="C99" i="77"/>
  <c r="D99" i="77" s="1"/>
  <c r="C98" i="77"/>
  <c r="D98" i="77" s="1"/>
  <c r="C95" i="77"/>
  <c r="D95" i="77" s="1"/>
  <c r="D94" i="77"/>
  <c r="C83" i="77"/>
  <c r="D83" i="77" s="1"/>
  <c r="C82" i="77"/>
  <c r="D82" i="77" s="1"/>
  <c r="C79" i="77"/>
  <c r="D79" i="77" s="1"/>
  <c r="D78" i="77"/>
  <c r="C69" i="77"/>
  <c r="D69" i="77" s="1"/>
  <c r="C68" i="77"/>
  <c r="D68" i="77" s="1"/>
  <c r="C65" i="77"/>
  <c r="D65" i="77" s="1"/>
  <c r="D64" i="77"/>
  <c r="C55" i="77"/>
  <c r="D55" i="77" s="1"/>
  <c r="C54" i="77"/>
  <c r="D54" i="77" s="1"/>
  <c r="C51" i="77"/>
  <c r="D51" i="77" s="1"/>
  <c r="D50" i="77"/>
  <c r="C8" i="77"/>
  <c r="D8" i="77" s="1"/>
  <c r="C6" i="77"/>
  <c r="D6" i="77" s="1"/>
  <c r="D5" i="77"/>
  <c r="D12" i="77" s="1"/>
  <c r="D15" i="77" s="1"/>
  <c r="D86" i="77" l="1"/>
  <c r="D89" i="77" s="1"/>
  <c r="D101" i="77"/>
  <c r="D103" i="77" s="1"/>
  <c r="D129" i="77"/>
  <c r="D132" i="77" s="1"/>
  <c r="D71" i="77"/>
  <c r="D73" i="77" s="1"/>
  <c r="D57" i="77"/>
  <c r="B58" i="77"/>
  <c r="D58" i="77" s="1"/>
  <c r="D44" i="75"/>
  <c r="D85" i="75"/>
  <c r="D59" i="77" l="1"/>
  <c r="C34" i="76"/>
  <c r="C33" i="76"/>
  <c r="C32" i="76"/>
  <c r="D14" i="76"/>
  <c r="C14" i="76"/>
  <c r="E124" i="75"/>
  <c r="D103" i="75"/>
  <c r="E103" i="75" s="1"/>
  <c r="D75" i="75"/>
  <c r="E75" i="75" s="1"/>
  <c r="D62" i="75"/>
  <c r="E62" i="75" s="1"/>
  <c r="D33" i="75"/>
  <c r="E33" i="75" s="1"/>
  <c r="E21" i="75"/>
  <c r="D6" i="75"/>
  <c r="E6" i="75" s="1"/>
  <c r="F130" i="75" l="1"/>
  <c r="E111" i="75"/>
  <c r="D113" i="75"/>
  <c r="E113" i="75" s="1"/>
  <c r="D88" i="75"/>
  <c r="E88" i="75" s="1"/>
  <c r="D89" i="75"/>
  <c r="E89" i="75" s="1"/>
  <c r="D30" i="75"/>
  <c r="E30" i="75" s="1"/>
  <c r="D71" i="75"/>
  <c r="E71" i="75" s="1"/>
  <c r="D102" i="75"/>
  <c r="E102" i="75" s="1"/>
  <c r="E84" i="75"/>
  <c r="D112" i="75"/>
  <c r="E112" i="75" s="1"/>
  <c r="E85" i="75"/>
  <c r="E29" i="75"/>
  <c r="D58" i="75"/>
  <c r="E58" i="75" s="1"/>
  <c r="D125" i="75"/>
  <c r="E125" i="75" s="1"/>
  <c r="C35" i="76"/>
  <c r="D47" i="75"/>
  <c r="E47" i="75" s="1"/>
  <c r="D8" i="75"/>
  <c r="E8" i="75" s="1"/>
  <c r="E43" i="75"/>
  <c r="D61" i="75"/>
  <c r="E61" i="75" s="1"/>
  <c r="D74" i="75"/>
  <c r="E74" i="75" s="1"/>
  <c r="E98" i="75"/>
  <c r="E44" i="75"/>
  <c r="D48" i="75"/>
  <c r="E48" i="75" s="1"/>
  <c r="E57" i="75"/>
  <c r="E70" i="75"/>
  <c r="D99" i="75"/>
  <c r="E99" i="75" s="1"/>
  <c r="E5" i="75"/>
  <c r="E11" i="75" s="1"/>
  <c r="D128" i="75"/>
  <c r="E128" i="75" s="1"/>
  <c r="C14" i="74"/>
  <c r="E131" i="75" l="1"/>
  <c r="E134" i="75" s="1"/>
  <c r="E104" i="75"/>
  <c r="E106" i="75" s="1"/>
  <c r="E116" i="75"/>
  <c r="E119" i="75" s="1"/>
  <c r="E90" i="75"/>
  <c r="D91" i="75"/>
  <c r="E91" i="75" s="1"/>
  <c r="E77" i="75"/>
  <c r="E79" i="75" s="1"/>
  <c r="C64" i="75"/>
  <c r="E64" i="75" s="1"/>
  <c r="E50" i="75"/>
  <c r="E52" i="75" s="1"/>
  <c r="E63" i="75"/>
  <c r="E35" i="75"/>
  <c r="E38" i="75" s="1"/>
  <c r="E14" i="75"/>
  <c r="D115" i="73"/>
  <c r="E115" i="73"/>
  <c r="E120" i="73" s="1"/>
  <c r="E122" i="73" s="1"/>
  <c r="D116" i="73"/>
  <c r="E116" i="73"/>
  <c r="E93" i="75" l="1"/>
  <c r="E65" i="75"/>
  <c r="C34" i="74"/>
  <c r="C33" i="74"/>
  <c r="C32" i="74"/>
  <c r="D14" i="74"/>
  <c r="D127" i="73"/>
  <c r="D128" i="73" s="1"/>
  <c r="E128" i="73" s="1"/>
  <c r="D102" i="73"/>
  <c r="D107" i="73" s="1"/>
  <c r="E107" i="73" s="1"/>
  <c r="D88" i="73"/>
  <c r="D89" i="73" s="1"/>
  <c r="E89" i="73" s="1"/>
  <c r="D74" i="73"/>
  <c r="D76" i="73" s="1"/>
  <c r="E76" i="73" s="1"/>
  <c r="D60" i="73"/>
  <c r="D62" i="73" s="1"/>
  <c r="E62" i="73" s="1"/>
  <c r="E52" i="73"/>
  <c r="D45" i="73"/>
  <c r="D46" i="73" s="1"/>
  <c r="E46" i="73" s="1"/>
  <c r="D30" i="73"/>
  <c r="E30" i="73" s="1"/>
  <c r="E22" i="73"/>
  <c r="D5" i="73"/>
  <c r="E5" i="73" s="1"/>
  <c r="C35" i="74" l="1"/>
  <c r="D93" i="73"/>
  <c r="E93" i="73" s="1"/>
  <c r="D92" i="73"/>
  <c r="E92" i="73" s="1"/>
  <c r="D131" i="73"/>
  <c r="E131" i="73" s="1"/>
  <c r="D132" i="73"/>
  <c r="E132" i="73" s="1"/>
  <c r="D34" i="73"/>
  <c r="E34" i="73" s="1"/>
  <c r="D31" i="73"/>
  <c r="E31" i="73" s="1"/>
  <c r="E102" i="73"/>
  <c r="D6" i="73"/>
  <c r="E6" i="73" s="1"/>
  <c r="D35" i="73"/>
  <c r="E35" i="73" s="1"/>
  <c r="D103" i="73"/>
  <c r="E103" i="73" s="1"/>
  <c r="D8" i="73"/>
  <c r="E8" i="73" s="1"/>
  <c r="E88" i="73"/>
  <c r="D104" i="73"/>
  <c r="E104" i="73" s="1"/>
  <c r="D49" i="73"/>
  <c r="E49" i="73" s="1"/>
  <c r="D50" i="73"/>
  <c r="E50" i="73" s="1"/>
  <c r="E11" i="73"/>
  <c r="D13" i="73"/>
  <c r="E13" i="73" s="1"/>
  <c r="D65" i="73"/>
  <c r="E65" i="73" s="1"/>
  <c r="D79" i="73"/>
  <c r="E79" i="73" s="1"/>
  <c r="D51" i="73"/>
  <c r="E51" i="73" s="1"/>
  <c r="E60" i="73"/>
  <c r="E67" i="73" s="1"/>
  <c r="E74" i="73"/>
  <c r="E45" i="73"/>
  <c r="D61" i="73"/>
  <c r="E61" i="73" s="1"/>
  <c r="D75" i="73"/>
  <c r="E75" i="73" s="1"/>
  <c r="E127" i="73"/>
  <c r="D30" i="71"/>
  <c r="F132" i="73" l="1"/>
  <c r="E135" i="73"/>
  <c r="E94" i="73"/>
  <c r="E97" i="73" s="1"/>
  <c r="E37" i="73"/>
  <c r="E40" i="73" s="1"/>
  <c r="E138" i="73"/>
  <c r="E108" i="73"/>
  <c r="E110" i="73" s="1"/>
  <c r="E53" i="73"/>
  <c r="E55" i="73" s="1"/>
  <c r="C95" i="73"/>
  <c r="D95" i="73" s="1"/>
  <c r="E95" i="73" s="1"/>
  <c r="E15" i="73"/>
  <c r="E81" i="73"/>
  <c r="E83" i="73" s="1"/>
  <c r="C68" i="73"/>
  <c r="E68" i="73" s="1"/>
  <c r="C34" i="72"/>
  <c r="C33" i="72"/>
  <c r="C32" i="72"/>
  <c r="D14" i="72"/>
  <c r="C14" i="72"/>
  <c r="D126" i="71"/>
  <c r="D114" i="71"/>
  <c r="D115" i="71" s="1"/>
  <c r="D101" i="71"/>
  <c r="D86" i="71"/>
  <c r="D72" i="71"/>
  <c r="D58" i="71"/>
  <c r="D44" i="71"/>
  <c r="D5" i="71"/>
  <c r="E69" i="73" l="1"/>
  <c r="C35" i="72"/>
  <c r="D103" i="71" l="1"/>
  <c r="E103" i="71" s="1"/>
  <c r="D74" i="71"/>
  <c r="E74" i="71" s="1"/>
  <c r="D60" i="71"/>
  <c r="E60" i="71" s="1"/>
  <c r="D130" i="71" l="1"/>
  <c r="E130" i="71" s="1"/>
  <c r="D127" i="71"/>
  <c r="E127" i="71" s="1"/>
  <c r="E126" i="71"/>
  <c r="E115" i="71"/>
  <c r="E114" i="71"/>
  <c r="D106" i="71"/>
  <c r="E106" i="71" s="1"/>
  <c r="D102" i="71"/>
  <c r="E102" i="71" s="1"/>
  <c r="E101" i="71"/>
  <c r="D90" i="71"/>
  <c r="E90" i="71" s="1"/>
  <c r="D87" i="71"/>
  <c r="E87" i="71" s="1"/>
  <c r="E86" i="71"/>
  <c r="D77" i="71"/>
  <c r="E77" i="71" s="1"/>
  <c r="D73" i="71"/>
  <c r="E73" i="71" s="1"/>
  <c r="E72" i="71"/>
  <c r="D63" i="71"/>
  <c r="E63" i="71" s="1"/>
  <c r="D59" i="71"/>
  <c r="E59" i="71" s="1"/>
  <c r="E58" i="71"/>
  <c r="E50" i="71"/>
  <c r="D49" i="71"/>
  <c r="E49" i="71" s="1"/>
  <c r="D48" i="71"/>
  <c r="E48" i="71" s="1"/>
  <c r="D45" i="71"/>
  <c r="E45" i="71" s="1"/>
  <c r="E44" i="71"/>
  <c r="D34" i="71"/>
  <c r="E34" i="71" s="1"/>
  <c r="D31" i="71"/>
  <c r="E30" i="71"/>
  <c r="E22" i="71"/>
  <c r="E10" i="71"/>
  <c r="D8" i="71"/>
  <c r="E8" i="71" s="1"/>
  <c r="D6" i="71"/>
  <c r="E6" i="71" s="1"/>
  <c r="E5" i="71"/>
  <c r="E107" i="71" l="1"/>
  <c r="E91" i="71"/>
  <c r="E11" i="71"/>
  <c r="E31" i="71"/>
  <c r="E36" i="71" s="1"/>
  <c r="E65" i="71"/>
  <c r="C66" i="71"/>
  <c r="E66" i="71" s="1"/>
  <c r="E51" i="71"/>
  <c r="E53" i="71" s="1"/>
  <c r="E131" i="71"/>
  <c r="E134" i="71" s="1"/>
  <c r="E79" i="71"/>
  <c r="E81" i="71" s="1"/>
  <c r="E109" i="71"/>
  <c r="D13" i="71"/>
  <c r="E13" i="71" s="1"/>
  <c r="C92" i="71"/>
  <c r="D92" i="71" s="1"/>
  <c r="E92" i="71" s="1"/>
  <c r="E96" i="71" s="1"/>
  <c r="E119" i="71"/>
  <c r="E121" i="71" s="1"/>
  <c r="C37" i="71" l="1"/>
  <c r="E37" i="71" s="1"/>
  <c r="E15" i="71"/>
  <c r="E39" i="71"/>
  <c r="E94" i="71"/>
  <c r="E67" i="71"/>
  <c r="E21" i="69"/>
  <c r="D113" i="69" l="1"/>
  <c r="C34" i="70" l="1"/>
  <c r="C33" i="70"/>
  <c r="C32" i="70"/>
  <c r="C35" i="70" s="1"/>
  <c r="D14" i="70"/>
  <c r="C14" i="70"/>
  <c r="D123" i="69"/>
  <c r="E123" i="69" s="1"/>
  <c r="D114" i="69"/>
  <c r="E114" i="69" s="1"/>
  <c r="D102" i="69"/>
  <c r="E102" i="69" s="1"/>
  <c r="D99" i="69"/>
  <c r="E99" i="69" s="1"/>
  <c r="E98" i="69"/>
  <c r="D88" i="69"/>
  <c r="E88" i="69" s="1"/>
  <c r="E71" i="69"/>
  <c r="D62" i="69"/>
  <c r="E62" i="69" s="1"/>
  <c r="E49" i="69"/>
  <c r="D47" i="69"/>
  <c r="E47" i="69" s="1"/>
  <c r="E10" i="69"/>
  <c r="E5" i="69"/>
  <c r="E11" i="69" l="1"/>
  <c r="E103" i="69"/>
  <c r="E105" i="69" s="1"/>
  <c r="D30" i="69"/>
  <c r="E30" i="69" s="1"/>
  <c r="D34" i="69"/>
  <c r="E34" i="69" s="1"/>
  <c r="D8" i="69"/>
  <c r="E8" i="69" s="1"/>
  <c r="D72" i="69"/>
  <c r="E72" i="69" s="1"/>
  <c r="D75" i="69"/>
  <c r="E75" i="69" s="1"/>
  <c r="D126" i="69"/>
  <c r="E126" i="69" s="1"/>
  <c r="D6" i="69"/>
  <c r="E6" i="69" s="1"/>
  <c r="D13" i="69"/>
  <c r="E13" i="69" s="1"/>
  <c r="D48" i="69"/>
  <c r="E48" i="69" s="1"/>
  <c r="E43" i="69"/>
  <c r="D33" i="69"/>
  <c r="E33" i="69" s="1"/>
  <c r="D44" i="69"/>
  <c r="E58" i="69"/>
  <c r="E84" i="69"/>
  <c r="E110" i="69"/>
  <c r="E29" i="69"/>
  <c r="D59" i="69"/>
  <c r="E59" i="69" s="1"/>
  <c r="D85" i="69"/>
  <c r="E85" i="69" s="1"/>
  <c r="D111" i="69"/>
  <c r="E111" i="69" s="1"/>
  <c r="E122" i="69"/>
  <c r="D14" i="68"/>
  <c r="E35" i="69" l="1"/>
  <c r="E38" i="69" s="1"/>
  <c r="E77" i="69"/>
  <c r="E79" i="69" s="1"/>
  <c r="E115" i="69"/>
  <c r="E117" i="69" s="1"/>
  <c r="E127" i="69"/>
  <c r="E130" i="69" s="1"/>
  <c r="C90" i="69"/>
  <c r="D90" i="69" s="1"/>
  <c r="E90" i="69" s="1"/>
  <c r="E89" i="69"/>
  <c r="C65" i="69"/>
  <c r="E65" i="69" s="1"/>
  <c r="E64" i="69"/>
  <c r="E14" i="69"/>
  <c r="E44" i="69"/>
  <c r="E50" i="69" s="1"/>
  <c r="E53" i="69" s="1"/>
  <c r="D127" i="67"/>
  <c r="D131" i="67" s="1"/>
  <c r="E131" i="67" s="1"/>
  <c r="D115" i="67"/>
  <c r="D116" i="67" s="1"/>
  <c r="E116" i="67" s="1"/>
  <c r="D89" i="67"/>
  <c r="E89" i="67" s="1"/>
  <c r="D76" i="67"/>
  <c r="D77" i="67" s="1"/>
  <c r="E77" i="67" s="1"/>
  <c r="D63" i="67"/>
  <c r="D67" i="67" s="1"/>
  <c r="E67" i="67" s="1"/>
  <c r="D47" i="67"/>
  <c r="D33" i="67"/>
  <c r="D18" i="67"/>
  <c r="D22" i="67" s="1"/>
  <c r="E22" i="67" s="1"/>
  <c r="D5" i="67"/>
  <c r="D8" i="67" s="1"/>
  <c r="E8" i="67" s="1"/>
  <c r="C34" i="68"/>
  <c r="C33" i="68"/>
  <c r="C32" i="68"/>
  <c r="C14" i="68"/>
  <c r="D107" i="67"/>
  <c r="E107" i="67" s="1"/>
  <c r="E53" i="67"/>
  <c r="E23" i="67"/>
  <c r="E10" i="67"/>
  <c r="E47" i="67" l="1"/>
  <c r="D52" i="67"/>
  <c r="E52" i="67" s="1"/>
  <c r="D35" i="67"/>
  <c r="E35" i="67" s="1"/>
  <c r="D34" i="67"/>
  <c r="E34" i="67" s="1"/>
  <c r="E127" i="67"/>
  <c r="E93" i="69"/>
  <c r="E66" i="69"/>
  <c r="D128" i="67"/>
  <c r="E128" i="67" s="1"/>
  <c r="E115" i="67"/>
  <c r="D119" i="67"/>
  <c r="E119" i="67" s="1"/>
  <c r="D25" i="67"/>
  <c r="E25" i="67" s="1"/>
  <c r="D19" i="67"/>
  <c r="E19" i="67" s="1"/>
  <c r="D51" i="67"/>
  <c r="E51" i="67" s="1"/>
  <c r="D90" i="67"/>
  <c r="E90" i="67" s="1"/>
  <c r="C95" i="67" s="1"/>
  <c r="D93" i="67"/>
  <c r="E93" i="67" s="1"/>
  <c r="D38" i="67"/>
  <c r="E38" i="67" s="1"/>
  <c r="E18" i="67"/>
  <c r="D48" i="67"/>
  <c r="D80" i="67"/>
  <c r="E80" i="67" s="1"/>
  <c r="D6" i="67"/>
  <c r="E6" i="67" s="1"/>
  <c r="C35" i="68"/>
  <c r="E63" i="67"/>
  <c r="E103" i="67"/>
  <c r="E33" i="67"/>
  <c r="E40" i="67" s="1"/>
  <c r="D64" i="67"/>
  <c r="E64" i="67" s="1"/>
  <c r="E76" i="67"/>
  <c r="E82" i="67" s="1"/>
  <c r="E84" i="67" s="1"/>
  <c r="D104" i="67"/>
  <c r="E104" i="67" s="1"/>
  <c r="E5" i="67"/>
  <c r="C14" i="64"/>
  <c r="E132" i="67" l="1"/>
  <c r="E135" i="67" s="1"/>
  <c r="E69" i="67"/>
  <c r="E94" i="67"/>
  <c r="E120" i="67"/>
  <c r="E122" i="67" s="1"/>
  <c r="E108" i="67"/>
  <c r="E110" i="67" s="1"/>
  <c r="E26" i="67"/>
  <c r="E29" i="67" s="1"/>
  <c r="E48" i="67"/>
  <c r="D54" i="67"/>
  <c r="E54" i="67" s="1"/>
  <c r="D95" i="67"/>
  <c r="E95" i="67" s="1"/>
  <c r="E98" i="67" s="1"/>
  <c r="E11" i="67"/>
  <c r="E42" i="67"/>
  <c r="D13" i="67"/>
  <c r="E13" i="67" s="1"/>
  <c r="C70" i="67"/>
  <c r="E70" i="67" s="1"/>
  <c r="E71" i="67" l="1"/>
  <c r="E55" i="67"/>
  <c r="E58" i="67" s="1"/>
  <c r="E14" i="67"/>
  <c r="E141" i="65"/>
  <c r="D141" i="65"/>
  <c r="E138" i="65"/>
  <c r="D138" i="65"/>
  <c r="E137" i="65"/>
  <c r="E142" i="65" l="1"/>
  <c r="E145" i="65" s="1"/>
  <c r="D94" i="65"/>
  <c r="D80" i="65"/>
  <c r="D49" i="65"/>
  <c r="D35" i="65"/>
  <c r="D20" i="65"/>
  <c r="D99" i="65" l="1"/>
  <c r="E99" i="65" s="1"/>
  <c r="E94" i="65"/>
  <c r="D100" i="65"/>
  <c r="E100" i="65" s="1"/>
  <c r="D110" i="65"/>
  <c r="D115" i="65" s="1"/>
  <c r="E115" i="65" s="1"/>
  <c r="D5" i="65" l="1"/>
  <c r="D11" i="65" s="1"/>
  <c r="E11" i="65" s="1"/>
  <c r="D14" i="64" l="1"/>
  <c r="E71" i="65" l="1"/>
  <c r="D64" i="65"/>
  <c r="D70" i="65" s="1"/>
  <c r="E70" i="65" s="1"/>
  <c r="E129" i="66" l="1"/>
  <c r="E132" i="66" l="1"/>
  <c r="E112" i="66"/>
  <c r="E100" i="66"/>
  <c r="E105" i="66" s="1"/>
  <c r="E107" i="66" s="1"/>
  <c r="E86" i="66"/>
  <c r="E72" i="66"/>
  <c r="E79" i="66" s="1"/>
  <c r="E81" i="66" s="1"/>
  <c r="E58" i="66"/>
  <c r="E44" i="66"/>
  <c r="E51" i="66" s="1"/>
  <c r="E53" i="66" s="1"/>
  <c r="E31" i="66"/>
  <c r="E18" i="66"/>
  <c r="E25" i="66"/>
  <c r="E27" i="66" s="1"/>
  <c r="E5" i="66"/>
  <c r="E117" i="66" l="1"/>
  <c r="E120" i="66" s="1"/>
  <c r="E93" i="66"/>
  <c r="E95" i="66" s="1"/>
  <c r="E11" i="66"/>
  <c r="E14" i="66" s="1"/>
  <c r="E37" i="66"/>
  <c r="E39" i="66" s="1"/>
  <c r="E64" i="66"/>
  <c r="E67" i="66" s="1"/>
  <c r="E124" i="65" l="1"/>
  <c r="D114" i="65"/>
  <c r="E114" i="65" s="1"/>
  <c r="D111" i="65"/>
  <c r="E111" i="65" s="1"/>
  <c r="E110" i="65"/>
  <c r="D95" i="65"/>
  <c r="E95" i="65" s="1"/>
  <c r="D68" i="65"/>
  <c r="E68" i="65" s="1"/>
  <c r="D65" i="65"/>
  <c r="E65" i="65" s="1"/>
  <c r="E55" i="65"/>
  <c r="D50" i="65"/>
  <c r="E50" i="65" s="1"/>
  <c r="D39" i="65"/>
  <c r="E39" i="65" s="1"/>
  <c r="D36" i="65"/>
  <c r="E36" i="65" s="1"/>
  <c r="E35" i="65"/>
  <c r="E25" i="65"/>
  <c r="D24" i="65"/>
  <c r="E24" i="65" s="1"/>
  <c r="E10" i="65"/>
  <c r="D8" i="65"/>
  <c r="E8" i="65" s="1"/>
  <c r="D6" i="65"/>
  <c r="E6" i="65" s="1"/>
  <c r="C102" i="65" l="1"/>
  <c r="D102" i="65" s="1"/>
  <c r="E102" i="65" s="1"/>
  <c r="E116" i="65"/>
  <c r="E119" i="65" s="1"/>
  <c r="D98" i="65"/>
  <c r="E98" i="65" s="1"/>
  <c r="E101" i="65" s="1"/>
  <c r="D84" i="65"/>
  <c r="E84" i="65" s="1"/>
  <c r="E80" i="65"/>
  <c r="E41" i="65"/>
  <c r="E44" i="65" s="1"/>
  <c r="E20" i="65"/>
  <c r="E5" i="65"/>
  <c r="E12" i="65" s="1"/>
  <c r="D21" i="65"/>
  <c r="E21" i="65" s="1"/>
  <c r="D81" i="65"/>
  <c r="E81" i="65" s="1"/>
  <c r="D125" i="65"/>
  <c r="E125" i="65" s="1"/>
  <c r="E129" i="65" s="1"/>
  <c r="D53" i="65"/>
  <c r="E53" i="65" s="1"/>
  <c r="E64" i="65"/>
  <c r="E72" i="65" s="1"/>
  <c r="E49" i="65"/>
  <c r="C32" i="64"/>
  <c r="E105" i="65" l="1"/>
  <c r="E56" i="65"/>
  <c r="E59" i="65" s="1"/>
  <c r="E86" i="65"/>
  <c r="E132" i="65"/>
  <c r="E89" i="65"/>
  <c r="E27" i="65"/>
  <c r="E31" i="65" s="1"/>
  <c r="D15" i="65"/>
  <c r="E15" i="65" s="1"/>
  <c r="E16" i="65" s="1"/>
  <c r="C73" i="65"/>
  <c r="E73" i="65" s="1"/>
  <c r="C34" i="64"/>
  <c r="C33" i="64"/>
  <c r="C35" i="64" l="1"/>
  <c r="E75" i="65"/>
  <c r="D117" i="63"/>
  <c r="D118" i="63" s="1"/>
  <c r="E118" i="63" s="1"/>
  <c r="D104" i="63"/>
  <c r="D108" i="63" s="1"/>
  <c r="E108" i="63" s="1"/>
  <c r="D89" i="63"/>
  <c r="D90" i="63" s="1"/>
  <c r="E90" i="63" s="1"/>
  <c r="D75" i="63"/>
  <c r="D61" i="63"/>
  <c r="D65" i="63" s="1"/>
  <c r="E65" i="63" s="1"/>
  <c r="D47" i="63"/>
  <c r="D51" i="63" s="1"/>
  <c r="E51" i="63" s="1"/>
  <c r="D33" i="63"/>
  <c r="D37" i="63" s="1"/>
  <c r="E37" i="63" s="1"/>
  <c r="D18" i="63"/>
  <c r="D22" i="63" s="1"/>
  <c r="E22" i="63" s="1"/>
  <c r="D5" i="63"/>
  <c r="D8" i="63" s="1"/>
  <c r="E8" i="63" s="1"/>
  <c r="D79" i="63"/>
  <c r="E79" i="63" s="1"/>
  <c r="D76" i="63"/>
  <c r="E76" i="63" s="1"/>
  <c r="E75" i="63"/>
  <c r="E53" i="63"/>
  <c r="D48" i="63"/>
  <c r="E48" i="63" s="1"/>
  <c r="E47" i="63"/>
  <c r="E23" i="63"/>
  <c r="E10" i="63"/>
  <c r="D119" i="63" l="1"/>
  <c r="E119" i="63" s="1"/>
  <c r="E117" i="63"/>
  <c r="E104" i="63"/>
  <c r="D105" i="63"/>
  <c r="E105" i="63" s="1"/>
  <c r="E89" i="63"/>
  <c r="D93" i="63"/>
  <c r="E93" i="63" s="1"/>
  <c r="E61" i="63"/>
  <c r="D62" i="63"/>
  <c r="E62" i="63" s="1"/>
  <c r="E33" i="63"/>
  <c r="D34" i="63"/>
  <c r="E34" i="63" s="1"/>
  <c r="E5" i="63"/>
  <c r="D6" i="63"/>
  <c r="E6" i="63" s="1"/>
  <c r="E54" i="63"/>
  <c r="E56" i="63" s="1"/>
  <c r="E81" i="63"/>
  <c r="E84" i="63" s="1"/>
  <c r="E18" i="63"/>
  <c r="D19" i="63"/>
  <c r="E19" i="63" s="1"/>
  <c r="E109" i="63" l="1"/>
  <c r="E112" i="63" s="1"/>
  <c r="E39" i="63"/>
  <c r="E42" i="63" s="1"/>
  <c r="E122" i="63"/>
  <c r="E125" i="63" s="1"/>
  <c r="E11" i="63"/>
  <c r="C68" i="63"/>
  <c r="E68" i="63" s="1"/>
  <c r="E67" i="63"/>
  <c r="E70" i="63" s="1"/>
  <c r="E96" i="63"/>
  <c r="E99" i="63" s="1"/>
  <c r="D13" i="63"/>
  <c r="E13" i="63" s="1"/>
  <c r="E25" i="63"/>
  <c r="E29" i="63" s="1"/>
  <c r="E14" i="63" l="1"/>
  <c r="C13" i="62"/>
  <c r="D100" i="61" l="1"/>
  <c r="D86" i="61"/>
  <c r="D18" i="61"/>
  <c r="D5" i="61"/>
  <c r="C33" i="62" l="1"/>
  <c r="C32" i="62"/>
  <c r="C31" i="62"/>
  <c r="D112" i="61"/>
  <c r="C34" i="62" l="1"/>
  <c r="E124" i="61"/>
  <c r="D125" i="61" l="1"/>
  <c r="E125" i="61" s="1"/>
  <c r="E100" i="61"/>
  <c r="E99" i="61"/>
  <c r="E123" i="61"/>
  <c r="E122" i="61"/>
  <c r="E86" i="61"/>
  <c r="D89" i="61"/>
  <c r="E89" i="61" s="1"/>
  <c r="D76" i="61"/>
  <c r="E76" i="61" s="1"/>
  <c r="D73" i="61"/>
  <c r="E73" i="61" s="1"/>
  <c r="E72" i="61"/>
  <c r="E78" i="61" s="1"/>
  <c r="E80" i="61" s="1"/>
  <c r="E112" i="61"/>
  <c r="E59" i="61"/>
  <c r="E51" i="61"/>
  <c r="D49" i="61"/>
  <c r="E49" i="61" s="1"/>
  <c r="E33" i="61"/>
  <c r="E23" i="61"/>
  <c r="E10" i="61"/>
  <c r="D6" i="61"/>
  <c r="E6" i="61" s="1"/>
  <c r="E104" i="61" l="1"/>
  <c r="D19" i="61"/>
  <c r="E19" i="61" s="1"/>
  <c r="D22" i="61"/>
  <c r="E22" i="61" s="1"/>
  <c r="D60" i="61"/>
  <c r="E60" i="61" s="1"/>
  <c r="C66" i="61" s="1"/>
  <c r="E66" i="61" s="1"/>
  <c r="D63" i="61"/>
  <c r="E63" i="61" s="1"/>
  <c r="E131" i="61"/>
  <c r="E129" i="61"/>
  <c r="E45" i="61"/>
  <c r="E111" i="61"/>
  <c r="D34" i="61"/>
  <c r="E34" i="61" s="1"/>
  <c r="D8" i="61"/>
  <c r="E8" i="61" s="1"/>
  <c r="D46" i="61"/>
  <c r="E46" i="61" s="1"/>
  <c r="D37" i="61"/>
  <c r="E37" i="61" s="1"/>
  <c r="E5" i="61"/>
  <c r="D103" i="61"/>
  <c r="E103" i="61" s="1"/>
  <c r="E106" i="61" s="1"/>
  <c r="E85" i="61"/>
  <c r="E92" i="61" s="1"/>
  <c r="E94" i="61" s="1"/>
  <c r="E18" i="61"/>
  <c r="E137" i="59"/>
  <c r="E138" i="59"/>
  <c r="D17" i="59"/>
  <c r="E17" i="59"/>
  <c r="D18" i="59"/>
  <c r="E18" i="59"/>
  <c r="E23" i="59"/>
  <c r="E25" i="59" l="1"/>
  <c r="E143" i="59"/>
  <c r="E38" i="61"/>
  <c r="E40" i="61" s="1"/>
  <c r="E115" i="61"/>
  <c r="E117" i="61" s="1"/>
  <c r="E52" i="61"/>
  <c r="E54" i="61" s="1"/>
  <c r="E65" i="61"/>
  <c r="E67" i="61" s="1"/>
  <c r="E25" i="61"/>
  <c r="E29" i="61" s="1"/>
  <c r="E11" i="61"/>
  <c r="D13" i="61"/>
  <c r="E13" i="61" s="1"/>
  <c r="E145" i="59"/>
  <c r="C15" i="60"/>
  <c r="C37" i="60"/>
  <c r="C36" i="60"/>
  <c r="C35" i="60"/>
  <c r="D63" i="59"/>
  <c r="E14" i="61" l="1"/>
  <c r="C38" i="60"/>
  <c r="E80" i="59"/>
  <c r="E28" i="59"/>
  <c r="E108" i="59" l="1"/>
  <c r="E79" i="59"/>
  <c r="E34" i="59"/>
  <c r="E151" i="59" l="1"/>
  <c r="D150" i="59"/>
  <c r="D154" i="59" s="1"/>
  <c r="E154" i="59" s="1"/>
  <c r="E123" i="59"/>
  <c r="D122" i="59"/>
  <c r="D126" i="59" s="1"/>
  <c r="E126" i="59" s="1"/>
  <c r="D111" i="59"/>
  <c r="E111" i="59" s="1"/>
  <c r="D94" i="59"/>
  <c r="D95" i="59" s="1"/>
  <c r="E95" i="59" s="1"/>
  <c r="E78" i="59"/>
  <c r="D77" i="59"/>
  <c r="E77" i="59" s="1"/>
  <c r="D67" i="59"/>
  <c r="E67" i="59" s="1"/>
  <c r="E55" i="59"/>
  <c r="D48" i="59"/>
  <c r="E48" i="59" s="1"/>
  <c r="D32" i="59"/>
  <c r="D33" i="59" s="1"/>
  <c r="E33" i="59" s="1"/>
  <c r="E9" i="59"/>
  <c r="D3" i="59"/>
  <c r="D4" i="59" s="1"/>
  <c r="E4" i="59" s="1"/>
  <c r="D6" i="59" l="1"/>
  <c r="E6" i="59" s="1"/>
  <c r="D37" i="59"/>
  <c r="E37" i="59" s="1"/>
  <c r="E106" i="59"/>
  <c r="D49" i="59"/>
  <c r="E49" i="59" s="1"/>
  <c r="E56" i="59" s="1"/>
  <c r="E58" i="59" s="1"/>
  <c r="D83" i="59"/>
  <c r="E83" i="59" s="1"/>
  <c r="D107" i="59"/>
  <c r="E107" i="59" s="1"/>
  <c r="E150" i="59"/>
  <c r="D52" i="59"/>
  <c r="E52" i="59" s="1"/>
  <c r="E94" i="59"/>
  <c r="E99" i="59" s="1"/>
  <c r="E101" i="59" s="1"/>
  <c r="E63" i="59"/>
  <c r="E122" i="59"/>
  <c r="E3" i="59"/>
  <c r="D12" i="59" s="1"/>
  <c r="E32" i="59"/>
  <c r="D64" i="59"/>
  <c r="E64" i="59" s="1"/>
  <c r="E58" i="57"/>
  <c r="E62" i="57" s="1"/>
  <c r="E65" i="57" s="1"/>
  <c r="E159" i="59" l="1"/>
  <c r="E156" i="59"/>
  <c r="E87" i="59"/>
  <c r="E89" i="59" s="1"/>
  <c r="C71" i="59"/>
  <c r="E71" i="59" s="1"/>
  <c r="E115" i="59"/>
  <c r="E117" i="59" s="1"/>
  <c r="E40" i="59"/>
  <c r="E43" i="59" s="1"/>
  <c r="E10" i="59"/>
  <c r="E13" i="59" s="1"/>
  <c r="E132" i="59"/>
  <c r="E130" i="59"/>
  <c r="E70" i="59"/>
  <c r="E5" i="57"/>
  <c r="D6" i="57"/>
  <c r="E6" i="57" s="1"/>
  <c r="E11" i="57" s="1"/>
  <c r="E14" i="57" s="1"/>
  <c r="E72" i="59" l="1"/>
  <c r="C43" i="58"/>
  <c r="C42" i="58"/>
  <c r="C41" i="58"/>
  <c r="C18" i="58"/>
  <c r="C44" i="58" l="1"/>
  <c r="E47" i="57"/>
  <c r="D46" i="57"/>
  <c r="E46" i="57" s="1"/>
  <c r="D38" i="57"/>
  <c r="D33" i="57"/>
  <c r="D37" i="57" s="1"/>
  <c r="E37" i="57" s="1"/>
  <c r="D49" i="57" l="1"/>
  <c r="E49" i="57" s="1"/>
  <c r="E52" i="57"/>
  <c r="E54" i="57" s="1"/>
  <c r="E33" i="57"/>
  <c r="E40" i="57" s="1"/>
  <c r="E42" i="57" s="1"/>
  <c r="D19" i="57"/>
  <c r="E19" i="57" s="1"/>
  <c r="E53" i="56"/>
  <c r="E23" i="56"/>
  <c r="E9" i="56"/>
  <c r="D20" i="57" l="1"/>
  <c r="E20" i="57" s="1"/>
  <c r="D22" i="57"/>
  <c r="E22" i="57" s="1"/>
  <c r="E26" i="57" l="1"/>
  <c r="E28" i="57" s="1"/>
  <c r="E118" i="56"/>
  <c r="E76" i="56"/>
  <c r="D18" i="56"/>
  <c r="E18" i="56" s="1"/>
  <c r="E153" i="56" l="1"/>
  <c r="D152" i="56"/>
  <c r="E152" i="56" s="1"/>
  <c r="E138" i="56"/>
  <c r="E147" i="56" s="1"/>
  <c r="D117" i="56"/>
  <c r="D121" i="56" s="1"/>
  <c r="E121" i="56" s="1"/>
  <c r="D102" i="56"/>
  <c r="D90" i="56"/>
  <c r="D75" i="56"/>
  <c r="D79" i="56" s="1"/>
  <c r="E79" i="56" s="1"/>
  <c r="D61" i="56"/>
  <c r="D46" i="56"/>
  <c r="D32" i="56"/>
  <c r="D21" i="56"/>
  <c r="E21" i="56" s="1"/>
  <c r="E17" i="56"/>
  <c r="D3" i="56"/>
  <c r="E24" i="56" l="1"/>
  <c r="E28" i="56" s="1"/>
  <c r="D106" i="56"/>
  <c r="E106" i="56" s="1"/>
  <c r="D103" i="56"/>
  <c r="E103" i="56" s="1"/>
  <c r="D65" i="56"/>
  <c r="E65" i="56" s="1"/>
  <c r="D62" i="56"/>
  <c r="E62" i="56" s="1"/>
  <c r="E90" i="56"/>
  <c r="D91" i="56"/>
  <c r="E91" i="56" s="1"/>
  <c r="E32" i="56"/>
  <c r="D33" i="56"/>
  <c r="E33" i="56" s="1"/>
  <c r="E46" i="56"/>
  <c r="D47" i="56"/>
  <c r="E47" i="56" s="1"/>
  <c r="D6" i="56"/>
  <c r="E6" i="56" s="1"/>
  <c r="D4" i="56"/>
  <c r="E4" i="56" s="1"/>
  <c r="D50" i="56"/>
  <c r="E50" i="56" s="1"/>
  <c r="D156" i="56"/>
  <c r="E156" i="56" s="1"/>
  <c r="E158" i="56" s="1"/>
  <c r="E161" i="56" s="1"/>
  <c r="E117" i="56"/>
  <c r="D36" i="56"/>
  <c r="E36" i="56" s="1"/>
  <c r="E75" i="56"/>
  <c r="E102" i="56"/>
  <c r="E61" i="56"/>
  <c r="E3" i="56"/>
  <c r="E145" i="56"/>
  <c r="E222" i="55"/>
  <c r="D221" i="55"/>
  <c r="D225" i="55" s="1"/>
  <c r="E225" i="55" s="1"/>
  <c r="E221" i="55" l="1"/>
  <c r="E227" i="55" s="1"/>
  <c r="E230" i="55" s="1"/>
  <c r="E125" i="56"/>
  <c r="E127" i="56"/>
  <c r="C69" i="56"/>
  <c r="E109" i="56"/>
  <c r="E112" i="56" s="1"/>
  <c r="E54" i="56"/>
  <c r="E56" i="56" s="1"/>
  <c r="E10" i="56"/>
  <c r="E13" i="56" s="1"/>
  <c r="E95" i="56"/>
  <c r="E97" i="56" s="1"/>
  <c r="E83" i="56"/>
  <c r="E85" i="56" s="1"/>
  <c r="E68" i="56"/>
  <c r="E70" i="56" s="1"/>
  <c r="E39" i="56"/>
  <c r="E41" i="56" s="1"/>
  <c r="D12" i="56"/>
  <c r="E216" i="55"/>
  <c r="E207" i="55"/>
  <c r="E214" i="55" s="1"/>
  <c r="D62" i="55" l="1"/>
  <c r="C18" i="54" l="1"/>
  <c r="E188" i="55"/>
  <c r="D187" i="55"/>
  <c r="E187" i="55" s="1"/>
  <c r="D159" i="55"/>
  <c r="D132" i="55"/>
  <c r="D106" i="55"/>
  <c r="D91" i="55"/>
  <c r="E53" i="55"/>
  <c r="E23" i="55"/>
  <c r="E9" i="55"/>
  <c r="D3" i="55"/>
  <c r="D173" i="55" l="1"/>
  <c r="D164" i="55"/>
  <c r="D145" i="55"/>
  <c r="E145" i="55" s="1"/>
  <c r="D136" i="55"/>
  <c r="E136" i="55" s="1"/>
  <c r="D120" i="55"/>
  <c r="E120" i="55" s="1"/>
  <c r="E124" i="55" s="1"/>
  <c r="E127" i="55" s="1"/>
  <c r="D110" i="55"/>
  <c r="E110" i="55" s="1"/>
  <c r="D75" i="55"/>
  <c r="D80" i="55" s="1"/>
  <c r="E80" i="55" s="1"/>
  <c r="E62" i="55"/>
  <c r="E67" i="55" s="1"/>
  <c r="E70" i="55" s="1"/>
  <c r="D47" i="55"/>
  <c r="E47" i="55" s="1"/>
  <c r="E33" i="55"/>
  <c r="D32" i="55"/>
  <c r="E32" i="55" s="1"/>
  <c r="D21" i="55"/>
  <c r="E21" i="55" s="1"/>
  <c r="E3" i="55"/>
  <c r="E91" i="55"/>
  <c r="E97" i="55" s="1"/>
  <c r="E100" i="55" s="1"/>
  <c r="E17" i="55"/>
  <c r="D51" i="55" l="1"/>
  <c r="E51" i="55" s="1"/>
  <c r="E54" i="55" s="1"/>
  <c r="E56" i="55" s="1"/>
  <c r="D12" i="55"/>
  <c r="D192" i="55"/>
  <c r="E192" i="55" s="1"/>
  <c r="D148" i="55"/>
  <c r="E148" i="55" s="1"/>
  <c r="E173" i="55"/>
  <c r="E179" i="55" s="1"/>
  <c r="E182" i="55" s="1"/>
  <c r="D149" i="55"/>
  <c r="E149" i="55" s="1"/>
  <c r="E159" i="55"/>
  <c r="D163" i="55"/>
  <c r="E163" i="55" s="1"/>
  <c r="E132" i="55"/>
  <c r="D135" i="55"/>
  <c r="E135" i="55" s="1"/>
  <c r="E106" i="55"/>
  <c r="E113" i="55" s="1"/>
  <c r="E115" i="55" s="1"/>
  <c r="D76" i="55"/>
  <c r="E76" i="55" s="1"/>
  <c r="E75" i="55"/>
  <c r="D37" i="55"/>
  <c r="E37" i="55" s="1"/>
  <c r="E40" i="55" s="1"/>
  <c r="D22" i="55"/>
  <c r="E22" i="55" s="1"/>
  <c r="E24" i="55" s="1"/>
  <c r="E28" i="55" s="1"/>
  <c r="D6" i="55"/>
  <c r="E6" i="55" s="1"/>
  <c r="E10" i="55" s="1"/>
  <c r="E13" i="55" s="1"/>
  <c r="E137" i="55" l="1"/>
  <c r="E151" i="55"/>
  <c r="E154" i="55" s="1"/>
  <c r="E196" i="55"/>
  <c r="E194" i="55"/>
  <c r="C84" i="55"/>
  <c r="E83" i="55"/>
  <c r="E85" i="55" s="1"/>
  <c r="E166" i="55"/>
  <c r="E168" i="55" s="1"/>
  <c r="E140" i="55"/>
  <c r="E42" i="55"/>
  <c r="E148" i="53" l="1"/>
  <c r="E133" i="53" l="1"/>
  <c r="E104" i="53"/>
  <c r="E88" i="53"/>
  <c r="E56" i="53"/>
  <c r="E65" i="53" l="1"/>
  <c r="D204" i="53"/>
  <c r="E204" i="53" s="1"/>
  <c r="D203" i="53"/>
  <c r="E203" i="53" s="1"/>
  <c r="D189" i="53"/>
  <c r="E189" i="53" s="1"/>
  <c r="D188" i="53"/>
  <c r="E188" i="53" s="1"/>
  <c r="D160" i="53"/>
  <c r="E160" i="53" s="1"/>
  <c r="D159" i="53"/>
  <c r="E159" i="53" s="1"/>
  <c r="D146" i="53"/>
  <c r="E146" i="53" s="1"/>
  <c r="D145" i="53"/>
  <c r="E145" i="53" s="1"/>
  <c r="D118" i="53"/>
  <c r="E118" i="53" s="1"/>
  <c r="E98" i="53"/>
  <c r="D101" i="53"/>
  <c r="E101" i="53" s="1"/>
  <c r="E80" i="53"/>
  <c r="D38" i="53"/>
  <c r="E38" i="53" s="1"/>
  <c r="D7" i="53"/>
  <c r="E7" i="53" s="1"/>
  <c r="C43" i="54"/>
  <c r="C42" i="54"/>
  <c r="C41" i="54"/>
  <c r="E200" i="53"/>
  <c r="E199" i="53"/>
  <c r="E186" i="53"/>
  <c r="E185" i="53"/>
  <c r="D175" i="53"/>
  <c r="E175" i="53" s="1"/>
  <c r="D174" i="53"/>
  <c r="E174" i="53" s="1"/>
  <c r="E171" i="53"/>
  <c r="E170" i="53"/>
  <c r="E157" i="53"/>
  <c r="E156" i="53"/>
  <c r="E142" i="53"/>
  <c r="E141" i="53"/>
  <c r="E129" i="53"/>
  <c r="E128" i="53"/>
  <c r="D117" i="53"/>
  <c r="E117" i="53" s="1"/>
  <c r="E114" i="53"/>
  <c r="E113" i="53"/>
  <c r="E97" i="53"/>
  <c r="E96" i="53"/>
  <c r="D84" i="53"/>
  <c r="E84" i="53" s="1"/>
  <c r="E81" i="53"/>
  <c r="E66" i="53"/>
  <c r="D53" i="53"/>
  <c r="E53" i="53" s="1"/>
  <c r="D52" i="53"/>
  <c r="E52" i="53" s="1"/>
  <c r="E49" i="53"/>
  <c r="E48" i="53"/>
  <c r="D37" i="53"/>
  <c r="E37" i="53" s="1"/>
  <c r="E34" i="53"/>
  <c r="E33" i="53"/>
  <c r="D24" i="53"/>
  <c r="E24" i="53" s="1"/>
  <c r="D23" i="53"/>
  <c r="E23" i="53" s="1"/>
  <c r="E20" i="53"/>
  <c r="E19" i="53"/>
  <c r="E8" i="53"/>
  <c r="D6" i="53"/>
  <c r="E6" i="53" s="1"/>
  <c r="E4" i="53"/>
  <c r="E3" i="53"/>
  <c r="E177" i="53" l="1"/>
  <c r="E180" i="53" s="1"/>
  <c r="E103" i="53"/>
  <c r="C44" i="54"/>
  <c r="E205" i="53"/>
  <c r="E207" i="53" s="1"/>
  <c r="E107" i="53"/>
  <c r="F80" i="53"/>
  <c r="E120" i="53"/>
  <c r="E121" i="53" s="1"/>
  <c r="E123" i="53" s="1"/>
  <c r="E71" i="53"/>
  <c r="E75" i="53" s="1"/>
  <c r="E191" i="53"/>
  <c r="E194" i="53" s="1"/>
  <c r="E162" i="53"/>
  <c r="E165" i="53" s="1"/>
  <c r="E87" i="53"/>
  <c r="E90" i="53" s="1"/>
  <c r="E10" i="53"/>
  <c r="E55" i="53"/>
  <c r="E59" i="53" s="1"/>
  <c r="E26" i="53"/>
  <c r="E40" i="53"/>
  <c r="E132" i="53"/>
  <c r="E136" i="53" s="1"/>
  <c r="E147" i="53"/>
  <c r="E151" i="53" s="1"/>
  <c r="E12" i="52"/>
  <c r="E7" i="52"/>
  <c r="E11" i="53" l="1"/>
  <c r="E15" i="53" s="1"/>
  <c r="E27" i="53"/>
  <c r="E29" i="53" s="1"/>
  <c r="E41" i="53"/>
  <c r="E43" i="53" s="1"/>
  <c r="C18" i="50"/>
  <c r="E204" i="51" l="1"/>
  <c r="D199" i="51"/>
  <c r="E199" i="51" s="1"/>
  <c r="E197" i="51"/>
  <c r="E202" i="51" s="1"/>
  <c r="E187" i="51"/>
  <c r="E186" i="51"/>
  <c r="E190" i="51" l="1"/>
  <c r="D49" i="51" l="1"/>
  <c r="E49" i="51" s="1"/>
  <c r="D22" i="51"/>
  <c r="E22" i="51" s="1"/>
  <c r="E169" i="51" l="1"/>
  <c r="D160" i="51"/>
  <c r="E160" i="51" s="1"/>
  <c r="D132" i="51"/>
  <c r="E132" i="51" s="1"/>
  <c r="D77" i="51"/>
  <c r="E77" i="51" s="1"/>
  <c r="E45" i="51"/>
  <c r="D170" i="51" l="1"/>
  <c r="E170" i="51" s="1"/>
  <c r="E168" i="51"/>
  <c r="D159" i="51"/>
  <c r="E159" i="51" s="1"/>
  <c r="E156" i="51"/>
  <c r="E155" i="51"/>
  <c r="D144" i="51"/>
  <c r="E144" i="51" s="1"/>
  <c r="E143" i="51"/>
  <c r="E142" i="51"/>
  <c r="D131" i="51"/>
  <c r="E131" i="51" s="1"/>
  <c r="E129" i="51"/>
  <c r="E128" i="51"/>
  <c r="E117" i="51"/>
  <c r="E116" i="51"/>
  <c r="D106" i="51"/>
  <c r="E106" i="51" s="1"/>
  <c r="E104" i="51"/>
  <c r="E103" i="51"/>
  <c r="D91" i="51"/>
  <c r="E91" i="51" s="1"/>
  <c r="E89" i="51"/>
  <c r="E88" i="51"/>
  <c r="D76" i="51"/>
  <c r="E76" i="51" s="1"/>
  <c r="E74" i="51"/>
  <c r="E73" i="51"/>
  <c r="E61" i="51"/>
  <c r="E60" i="51"/>
  <c r="E66" i="51" s="1"/>
  <c r="E68" i="51" s="1"/>
  <c r="E51" i="51"/>
  <c r="E50" i="51"/>
  <c r="D48" i="51"/>
  <c r="E48" i="51" s="1"/>
  <c r="E46" i="51"/>
  <c r="E52" i="51" s="1"/>
  <c r="E54" i="51" s="1"/>
  <c r="D35" i="51"/>
  <c r="E35" i="51" s="1"/>
  <c r="E33" i="51"/>
  <c r="E32" i="51"/>
  <c r="E24" i="51"/>
  <c r="D21" i="51"/>
  <c r="E21" i="51" s="1"/>
  <c r="E19" i="51"/>
  <c r="E18" i="51"/>
  <c r="E9" i="51"/>
  <c r="E8" i="51"/>
  <c r="D7" i="51"/>
  <c r="E7" i="51" s="1"/>
  <c r="E5" i="51"/>
  <c r="E4" i="51"/>
  <c r="C45" i="50"/>
  <c r="C44" i="50"/>
  <c r="C43" i="50"/>
  <c r="C46" i="50" l="1"/>
  <c r="E173" i="51"/>
  <c r="E176" i="51" s="1"/>
  <c r="E134" i="51"/>
  <c r="E137" i="51" s="1"/>
  <c r="E161" i="51"/>
  <c r="E163" i="51" s="1"/>
  <c r="E82" i="51"/>
  <c r="E80" i="51"/>
  <c r="E25" i="51"/>
  <c r="E27" i="51" s="1"/>
  <c r="E147" i="51"/>
  <c r="E150" i="51" s="1"/>
  <c r="E120" i="51"/>
  <c r="E123" i="51" s="1"/>
  <c r="E38" i="51"/>
  <c r="E40" i="51" s="1"/>
  <c r="E109" i="51"/>
  <c r="E111" i="51" s="1"/>
  <c r="E10" i="51"/>
  <c r="E13" i="51" s="1"/>
  <c r="E94" i="51"/>
  <c r="E97" i="51" s="1"/>
  <c r="C17" i="48"/>
  <c r="E114" i="49" l="1"/>
  <c r="E118" i="49" s="1"/>
  <c r="E121" i="49" s="1"/>
  <c r="E115" i="49"/>
  <c r="E167" i="49"/>
  <c r="E169" i="49" s="1"/>
  <c r="E172" i="49" s="1"/>
  <c r="D167" i="49"/>
  <c r="E165" i="49"/>
  <c r="D141" i="49" l="1"/>
  <c r="E141" i="49" s="1"/>
  <c r="E140" i="49"/>
  <c r="E139" i="49"/>
  <c r="E144" i="49" s="1"/>
  <c r="E147" i="49" s="1"/>
  <c r="E46" i="49"/>
  <c r="D156" i="49"/>
  <c r="E156" i="49" s="1"/>
  <c r="E153" i="49"/>
  <c r="E152" i="49"/>
  <c r="D129" i="49"/>
  <c r="E129" i="49" s="1"/>
  <c r="E127" i="49"/>
  <c r="E126" i="49"/>
  <c r="D104" i="49"/>
  <c r="E104" i="49" s="1"/>
  <c r="E102" i="49"/>
  <c r="E101" i="49"/>
  <c r="D89" i="49"/>
  <c r="E89" i="49" s="1"/>
  <c r="E87" i="49"/>
  <c r="E86" i="49"/>
  <c r="D75" i="49"/>
  <c r="E75" i="49" s="1"/>
  <c r="E73" i="49"/>
  <c r="E72" i="49"/>
  <c r="E60" i="49"/>
  <c r="E59" i="49"/>
  <c r="E65" i="49" s="1"/>
  <c r="E67" i="49" s="1"/>
  <c r="E50" i="49"/>
  <c r="E49" i="49"/>
  <c r="D48" i="49"/>
  <c r="E48" i="49" s="1"/>
  <c r="E45" i="49"/>
  <c r="E44" i="49"/>
  <c r="D34" i="49"/>
  <c r="E34" i="49" s="1"/>
  <c r="E32" i="49"/>
  <c r="E31" i="49"/>
  <c r="E23" i="49"/>
  <c r="D21" i="49"/>
  <c r="E21" i="49" s="1"/>
  <c r="E19" i="49"/>
  <c r="E18" i="49"/>
  <c r="E9" i="49"/>
  <c r="E8" i="49"/>
  <c r="D7" i="49"/>
  <c r="E7" i="49" s="1"/>
  <c r="E5" i="49"/>
  <c r="E4" i="49"/>
  <c r="C41" i="48"/>
  <c r="C40" i="48"/>
  <c r="C39" i="48"/>
  <c r="E92" i="49" l="1"/>
  <c r="E95" i="49" s="1"/>
  <c r="E131" i="49"/>
  <c r="E134" i="49" s="1"/>
  <c r="C42" i="48"/>
  <c r="E158" i="49"/>
  <c r="E160" i="49" s="1"/>
  <c r="E51" i="49"/>
  <c r="E53" i="49" s="1"/>
  <c r="E10" i="49"/>
  <c r="E13" i="49" s="1"/>
  <c r="E24" i="49"/>
  <c r="E26" i="49" s="1"/>
  <c r="E107" i="49"/>
  <c r="E109" i="49" s="1"/>
  <c r="E37" i="49"/>
  <c r="E39" i="49" s="1"/>
  <c r="E80" i="49"/>
  <c r="E78" i="49"/>
  <c r="E146" i="46" l="1"/>
  <c r="E144" i="46"/>
  <c r="E141" i="46"/>
  <c r="C16" i="47" l="1"/>
  <c r="D150" i="46"/>
  <c r="E150" i="46" s="1"/>
  <c r="E149" i="46"/>
  <c r="E129" i="46"/>
  <c r="E61" i="46"/>
  <c r="C39" i="47"/>
  <c r="C38" i="47"/>
  <c r="C41" i="47" s="1"/>
  <c r="D161" i="46"/>
  <c r="E161" i="46" s="1"/>
  <c r="E159" i="46"/>
  <c r="E158" i="46"/>
  <c r="E148" i="46"/>
  <c r="E153" i="46" s="1"/>
  <c r="D131" i="46"/>
  <c r="E131" i="46" s="1"/>
  <c r="E128" i="46"/>
  <c r="E127" i="46"/>
  <c r="E116" i="46"/>
  <c r="E115" i="46"/>
  <c r="E119" i="46" s="1"/>
  <c r="D105" i="46"/>
  <c r="E105" i="46" s="1"/>
  <c r="E103" i="46"/>
  <c r="E102" i="46"/>
  <c r="D90" i="46"/>
  <c r="E90" i="46" s="1"/>
  <c r="E88" i="46"/>
  <c r="E87" i="46"/>
  <c r="D76" i="46"/>
  <c r="E76" i="46" s="1"/>
  <c r="E74" i="46"/>
  <c r="E73" i="46"/>
  <c r="E65" i="46"/>
  <c r="E64" i="46"/>
  <c r="D63" i="46"/>
  <c r="E63" i="46" s="1"/>
  <c r="E60" i="46"/>
  <c r="E59" i="46"/>
  <c r="E50" i="46"/>
  <c r="E49" i="46"/>
  <c r="D48" i="46"/>
  <c r="E48" i="46" s="1"/>
  <c r="E46" i="46"/>
  <c r="E45" i="46"/>
  <c r="D35" i="46"/>
  <c r="E35" i="46" s="1"/>
  <c r="E33" i="46"/>
  <c r="E32" i="46"/>
  <c r="E23" i="46"/>
  <c r="D21" i="46"/>
  <c r="E21" i="46" s="1"/>
  <c r="E19" i="46"/>
  <c r="E18" i="46"/>
  <c r="E9" i="46"/>
  <c r="E8" i="46"/>
  <c r="D7" i="46"/>
  <c r="E7" i="46" s="1"/>
  <c r="E5" i="46"/>
  <c r="E4" i="46"/>
  <c r="E38" i="46" l="1"/>
  <c r="E40" i="46" s="1"/>
  <c r="E133" i="46"/>
  <c r="E66" i="46"/>
  <c r="E68" i="46" s="1"/>
  <c r="E163" i="46"/>
  <c r="E165" i="46" s="1"/>
  <c r="E93" i="46"/>
  <c r="E96" i="46" s="1"/>
  <c r="E51" i="46"/>
  <c r="E53" i="46" s="1"/>
  <c r="E10" i="46"/>
  <c r="E13" i="46" s="1"/>
  <c r="E81" i="46"/>
  <c r="E122" i="46"/>
  <c r="E136" i="46"/>
  <c r="E108" i="46"/>
  <c r="E110" i="46" s="1"/>
  <c r="E79" i="46"/>
  <c r="E24" i="46"/>
  <c r="E27" i="46" s="1"/>
  <c r="D156" i="44"/>
  <c r="E156" i="44" s="1"/>
  <c r="E155" i="44"/>
  <c r="E154" i="44"/>
  <c r="E153" i="44"/>
  <c r="E158" i="44" s="1"/>
  <c r="E141" i="44"/>
  <c r="C35" i="45" l="1"/>
  <c r="C34" i="45"/>
  <c r="C37" i="45" s="1"/>
  <c r="C15" i="45"/>
  <c r="E128" i="44"/>
  <c r="E129" i="44"/>
  <c r="D131" i="44"/>
  <c r="E131" i="44" s="1"/>
  <c r="D76" i="44"/>
  <c r="E76" i="44" s="1"/>
  <c r="E74" i="44"/>
  <c r="E73" i="44"/>
  <c r="E81" i="44" s="1"/>
  <c r="D63" i="41"/>
  <c r="E63" i="41" s="1"/>
  <c r="E60" i="41"/>
  <c r="E66" i="41" s="1"/>
  <c r="E64" i="44"/>
  <c r="E63" i="44"/>
  <c r="D62" i="44"/>
  <c r="E62" i="44" s="1"/>
  <c r="E60" i="44"/>
  <c r="E59" i="44"/>
  <c r="E51" i="41"/>
  <c r="E50" i="41"/>
  <c r="E46" i="41"/>
  <c r="E50" i="44"/>
  <c r="E48" i="44"/>
  <c r="D47" i="44"/>
  <c r="E47" i="44" s="1"/>
  <c r="E45" i="44"/>
  <c r="E44" i="44"/>
  <c r="E127" i="41"/>
  <c r="D130" i="41"/>
  <c r="E130" i="41"/>
  <c r="E131" i="41"/>
  <c r="E132" i="41"/>
  <c r="E133" i="41" l="1"/>
  <c r="E135" i="41" s="1"/>
  <c r="E52" i="41"/>
  <c r="E55" i="41" s="1"/>
  <c r="E133" i="44"/>
  <c r="E136" i="44" s="1"/>
  <c r="E51" i="44"/>
  <c r="E53" i="44" s="1"/>
  <c r="E79" i="44"/>
  <c r="E65" i="44"/>
  <c r="E68" i="44" s="1"/>
  <c r="E103" i="44"/>
  <c r="D105" i="44"/>
  <c r="E105" i="44" s="1"/>
  <c r="E102" i="44"/>
  <c r="E172" i="41"/>
  <c r="D175" i="41"/>
  <c r="E175" i="41"/>
  <c r="E108" i="44" l="1"/>
  <c r="E110" i="44" s="1"/>
  <c r="E178" i="41"/>
  <c r="E114" i="41"/>
  <c r="E119" i="41" s="1"/>
  <c r="E122" i="41" s="1"/>
  <c r="E115" i="44"/>
  <c r="E116" i="44"/>
  <c r="E117" i="44"/>
  <c r="E87" i="44"/>
  <c r="E88" i="44"/>
  <c r="D90" i="44"/>
  <c r="E90" i="44" s="1"/>
  <c r="E92" i="44"/>
  <c r="E157" i="41"/>
  <c r="D160" i="41"/>
  <c r="E160" i="41" s="1"/>
  <c r="E32" i="41"/>
  <c r="E33" i="44"/>
  <c r="D22" i="44"/>
  <c r="E22" i="44" s="1"/>
  <c r="E20" i="44"/>
  <c r="E4" i="44"/>
  <c r="D7" i="44"/>
  <c r="E7" i="44" s="1"/>
  <c r="E9" i="44"/>
  <c r="E5" i="44"/>
  <c r="D35" i="44"/>
  <c r="E35" i="44" s="1"/>
  <c r="E32" i="44"/>
  <c r="E24" i="44"/>
  <c r="E19" i="44"/>
  <c r="E10" i="44"/>
  <c r="E8" i="44"/>
  <c r="E37" i="44" l="1"/>
  <c r="E39" i="44" s="1"/>
  <c r="E93" i="44"/>
  <c r="E96" i="44" s="1"/>
  <c r="E25" i="44"/>
  <c r="E27" i="44" s="1"/>
  <c r="E120" i="44"/>
  <c r="E123" i="44" s="1"/>
  <c r="E163" i="41"/>
  <c r="E166" i="41" s="1"/>
  <c r="E11" i="44"/>
  <c r="E14" i="44" s="1"/>
  <c r="C15" i="42" l="1"/>
  <c r="E22" i="41"/>
  <c r="E4" i="41"/>
  <c r="E9" i="41"/>
  <c r="C35" i="42" l="1"/>
  <c r="C34" i="42"/>
  <c r="C37" i="42" s="1"/>
  <c r="E23" i="41" l="1"/>
  <c r="D34" i="41"/>
  <c r="E34" i="41" s="1"/>
  <c r="E31" i="41"/>
  <c r="E36" i="41" s="1"/>
  <c r="E38" i="41" s="1"/>
  <c r="E17" i="41"/>
  <c r="E8" i="41"/>
  <c r="E10" i="41" s="1"/>
  <c r="E24" i="41" l="1"/>
  <c r="E26" i="41"/>
  <c r="E12" i="41"/>
  <c r="E174" i="39"/>
  <c r="E180" i="39" s="1"/>
  <c r="D177" i="39"/>
  <c r="E177" i="39" s="1"/>
  <c r="E182" i="39" l="1"/>
  <c r="E27" i="39"/>
  <c r="E26" i="39"/>
  <c r="E160" i="39" l="1"/>
  <c r="E159" i="39"/>
  <c r="E73" i="39" l="1"/>
  <c r="E69" i="39"/>
  <c r="D129" i="39" l="1"/>
  <c r="E129" i="39" s="1"/>
  <c r="E128" i="39"/>
  <c r="E123" i="39"/>
  <c r="E127" i="39"/>
  <c r="E126" i="39"/>
  <c r="E125" i="39"/>
  <c r="E87" i="39"/>
  <c r="E130" i="39" l="1"/>
  <c r="A38" i="40"/>
  <c r="C37" i="40"/>
  <c r="C36" i="40"/>
  <c r="C35" i="40"/>
  <c r="C15" i="40"/>
  <c r="E114" i="39"/>
  <c r="E57" i="39"/>
  <c r="E55" i="39"/>
  <c r="E12" i="39"/>
  <c r="E10" i="39"/>
  <c r="D7" i="39"/>
  <c r="E7" i="39" s="1"/>
  <c r="E42" i="39"/>
  <c r="D162" i="39"/>
  <c r="E162" i="39" s="1"/>
  <c r="E136" i="39"/>
  <c r="E135" i="39"/>
  <c r="D111" i="39"/>
  <c r="E111" i="39" s="1"/>
  <c r="E109" i="39"/>
  <c r="E108" i="39" s="1"/>
  <c r="E115" i="39" s="1"/>
  <c r="E117" i="39" s="1"/>
  <c r="D85" i="39"/>
  <c r="E85" i="39" s="1"/>
  <c r="E83" i="39"/>
  <c r="E82" i="39"/>
  <c r="E72" i="39"/>
  <c r="E71" i="39"/>
  <c r="D70" i="39"/>
  <c r="E70" i="39" s="1"/>
  <c r="D68" i="39"/>
  <c r="E68" i="39" s="1"/>
  <c r="E67" i="39"/>
  <c r="E56" i="39"/>
  <c r="E54" i="39"/>
  <c r="D51" i="39"/>
  <c r="D53" i="39" s="1"/>
  <c r="E53" i="39" s="1"/>
  <c r="E50" i="39"/>
  <c r="E41" i="39"/>
  <c r="D40" i="39"/>
  <c r="E40" i="39" s="1"/>
  <c r="E38" i="39"/>
  <c r="E37" i="39"/>
  <c r="D22" i="39"/>
  <c r="E22" i="39" s="1"/>
  <c r="E21" i="39"/>
  <c r="E9" i="39"/>
  <c r="E8" i="39"/>
  <c r="D5" i="39"/>
  <c r="E5" i="39" s="1"/>
  <c r="E4" i="39"/>
  <c r="E142" i="39" l="1"/>
  <c r="C38" i="40"/>
  <c r="E168" i="39"/>
  <c r="E165" i="39"/>
  <c r="E74" i="39"/>
  <c r="E77" i="39" s="1"/>
  <c r="E13" i="39"/>
  <c r="E16" i="39" s="1"/>
  <c r="E88" i="39"/>
  <c r="E90" i="39" s="1"/>
  <c r="E43" i="39"/>
  <c r="E45" i="39" s="1"/>
  <c r="E139" i="39"/>
  <c r="D24" i="39"/>
  <c r="E24" i="39" s="1"/>
  <c r="E28" i="39" s="1"/>
  <c r="E32" i="39" s="1"/>
  <c r="E51" i="39"/>
  <c r="E107" i="37"/>
  <c r="E108" i="37"/>
  <c r="D110" i="37"/>
  <c r="E110" i="37" s="1"/>
  <c r="E49" i="37"/>
  <c r="E35" i="37"/>
  <c r="E36" i="37"/>
  <c r="D38" i="37"/>
  <c r="E38" i="37" s="1"/>
  <c r="E39" i="37"/>
  <c r="E70" i="37"/>
  <c r="E55" i="37"/>
  <c r="E4" i="37"/>
  <c r="E9" i="37"/>
  <c r="E157" i="37"/>
  <c r="E163" i="37" s="1"/>
  <c r="E133" i="37"/>
  <c r="E137" i="37" s="1"/>
  <c r="E140" i="37" s="1"/>
  <c r="E126" i="37"/>
  <c r="E123" i="37"/>
  <c r="A38" i="38"/>
  <c r="C37" i="38"/>
  <c r="C36" i="38"/>
  <c r="C35" i="38"/>
  <c r="C15" i="38"/>
  <c r="D160" i="37"/>
  <c r="E160" i="37" s="1"/>
  <c r="E158" i="37"/>
  <c r="E134" i="37"/>
  <c r="D83" i="37"/>
  <c r="E83" i="37" s="1"/>
  <c r="E81" i="37"/>
  <c r="E86" i="37" s="1"/>
  <c r="E89" i="37" s="1"/>
  <c r="E80" i="37"/>
  <c r="E68" i="37"/>
  <c r="D67" i="37"/>
  <c r="E67" i="37" s="1"/>
  <c r="D65" i="37"/>
  <c r="E65" i="37" s="1"/>
  <c r="E64" i="37"/>
  <c r="E53" i="37"/>
  <c r="D50" i="37"/>
  <c r="D52" i="37" s="1"/>
  <c r="E52" i="37" s="1"/>
  <c r="D20" i="37"/>
  <c r="D22" i="37" s="1"/>
  <c r="E22" i="37" s="1"/>
  <c r="E19" i="37"/>
  <c r="E8" i="37"/>
  <c r="D5" i="37"/>
  <c r="E5" i="37" s="1"/>
  <c r="E71" i="37" l="1"/>
  <c r="E75" i="37" s="1"/>
  <c r="E11" i="37"/>
  <c r="E14" i="37" s="1"/>
  <c r="E113" i="37"/>
  <c r="E117" i="37" s="1"/>
  <c r="E59" i="39"/>
  <c r="E62" i="39" s="1"/>
  <c r="C38" i="38"/>
  <c r="E166" i="37"/>
  <c r="E41" i="37"/>
  <c r="E44" i="37" s="1"/>
  <c r="E50" i="37"/>
  <c r="E56" i="37" s="1"/>
  <c r="E59" i="37" s="1"/>
  <c r="E20" i="37"/>
  <c r="E26" i="37" s="1"/>
  <c r="E30" i="37" s="1"/>
  <c r="B38" i="36"/>
  <c r="D37" i="36"/>
  <c r="D36" i="36"/>
  <c r="D35" i="36"/>
  <c r="C15" i="36"/>
  <c r="D38" i="36" l="1"/>
  <c r="D130" i="33"/>
  <c r="E130" i="33" s="1"/>
  <c r="E157" i="33"/>
  <c r="D155" i="33"/>
  <c r="E155" i="33" s="1"/>
  <c r="E153" i="33"/>
  <c r="E152" i="33"/>
  <c r="E129" i="33"/>
  <c r="E128" i="33"/>
  <c r="E118" i="33"/>
  <c r="E121" i="33" s="1"/>
  <c r="E108" i="33"/>
  <c r="D106" i="33"/>
  <c r="E106" i="33" s="1"/>
  <c r="E104" i="33"/>
  <c r="E103" i="33"/>
  <c r="E81" i="33"/>
  <c r="D79" i="33"/>
  <c r="E79" i="33" s="1"/>
  <c r="E77" i="33"/>
  <c r="E76" i="33"/>
  <c r="E67" i="33"/>
  <c r="E66" i="33"/>
  <c r="E65" i="33"/>
  <c r="D64" i="33"/>
  <c r="E64" i="33" s="1"/>
  <c r="D62" i="33"/>
  <c r="E62" i="33" s="1"/>
  <c r="E61" i="33"/>
  <c r="E53" i="33"/>
  <c r="E52" i="33"/>
  <c r="E51" i="33"/>
  <c r="D48" i="33"/>
  <c r="E48" i="33" s="1"/>
  <c r="E47" i="33"/>
  <c r="E39" i="33"/>
  <c r="E37" i="33"/>
  <c r="D36" i="33"/>
  <c r="E36" i="33" s="1"/>
  <c r="E34" i="33"/>
  <c r="E33" i="33"/>
  <c r="E24" i="33"/>
  <c r="E23" i="33"/>
  <c r="D19" i="33"/>
  <c r="D21" i="33" s="1"/>
  <c r="E21" i="33" s="1"/>
  <c r="E18" i="33"/>
  <c r="E10" i="33"/>
  <c r="E9" i="33"/>
  <c r="E8" i="33"/>
  <c r="D7" i="33"/>
  <c r="E7" i="33" s="1"/>
  <c r="D5" i="33"/>
  <c r="E5" i="33" s="1"/>
  <c r="E4" i="33"/>
  <c r="E68" i="33" l="1"/>
  <c r="E123" i="33"/>
  <c r="E158" i="33"/>
  <c r="E160" i="33" s="1"/>
  <c r="E82" i="33"/>
  <c r="E40" i="33"/>
  <c r="E42" i="33" s="1"/>
  <c r="E19" i="33"/>
  <c r="E25" i="33" s="1"/>
  <c r="E109" i="33"/>
  <c r="E112" i="33" s="1"/>
  <c r="E132" i="33"/>
  <c r="E135" i="33" s="1"/>
  <c r="D50" i="33"/>
  <c r="E50" i="33" s="1"/>
  <c r="E11" i="33"/>
  <c r="E54" i="33"/>
  <c r="B39" i="32"/>
  <c r="D38" i="32"/>
  <c r="D37" i="32"/>
  <c r="D36" i="32"/>
  <c r="D39" i="32" s="1"/>
  <c r="E35" i="31"/>
  <c r="E36" i="31"/>
  <c r="D38" i="31"/>
  <c r="E38" i="31" s="1"/>
  <c r="E39" i="31"/>
  <c r="E41" i="31"/>
  <c r="E42" i="31" l="1"/>
  <c r="E45" i="31" s="1"/>
  <c r="C15" i="32"/>
  <c r="E57" i="31"/>
  <c r="E165" i="31"/>
  <c r="E24" i="31"/>
  <c r="E25" i="31"/>
  <c r="E137" i="31"/>
  <c r="E86" i="31"/>
  <c r="E56" i="31"/>
  <c r="E10" i="31"/>
  <c r="D7" i="31"/>
  <c r="E7" i="31" s="1"/>
  <c r="D163" i="31" l="1"/>
  <c r="E163" i="31" s="1"/>
  <c r="E161" i="31"/>
  <c r="E160" i="31"/>
  <c r="E138" i="31"/>
  <c r="E136" i="31"/>
  <c r="E125" i="31"/>
  <c r="E128" i="31" s="1"/>
  <c r="E131" i="31" s="1"/>
  <c r="E113" i="31"/>
  <c r="D111" i="31"/>
  <c r="E111" i="31" s="1"/>
  <c r="E109" i="31"/>
  <c r="E108" i="31"/>
  <c r="D84" i="31"/>
  <c r="E84" i="31" s="1"/>
  <c r="E82" i="31"/>
  <c r="E81" i="31"/>
  <c r="E72" i="31"/>
  <c r="E71" i="31"/>
  <c r="E70" i="31"/>
  <c r="D69" i="31"/>
  <c r="E69" i="31" s="1"/>
  <c r="D67" i="31"/>
  <c r="E67" i="31" s="1"/>
  <c r="E66" i="31"/>
  <c r="E55" i="31"/>
  <c r="D52" i="31"/>
  <c r="D54" i="31" s="1"/>
  <c r="E54" i="31" s="1"/>
  <c r="E51" i="31"/>
  <c r="D20" i="31"/>
  <c r="E19" i="31"/>
  <c r="E9" i="31"/>
  <c r="E8" i="31"/>
  <c r="D5" i="31"/>
  <c r="E5" i="31" s="1"/>
  <c r="E4" i="31"/>
  <c r="E73" i="31" l="1"/>
  <c r="E76" i="31" s="1"/>
  <c r="E20" i="31"/>
  <c r="D22" i="31"/>
  <c r="E22" i="31" s="1"/>
  <c r="E166" i="31"/>
  <c r="E168" i="31" s="1"/>
  <c r="E87" i="31"/>
  <c r="E89" i="31" s="1"/>
  <c r="E52" i="31"/>
  <c r="E58" i="31" s="1"/>
  <c r="E61" i="31" s="1"/>
  <c r="E140" i="31"/>
  <c r="E143" i="31" s="1"/>
  <c r="E11" i="31"/>
  <c r="E14" i="31" s="1"/>
  <c r="E115" i="31"/>
  <c r="E119" i="31" s="1"/>
  <c r="E129" i="30"/>
  <c r="D156" i="30"/>
  <c r="E156" i="30" s="1"/>
  <c r="C15" i="29"/>
  <c r="E99" i="30"/>
  <c r="E100" i="30"/>
  <c r="D102" i="30"/>
  <c r="E102" i="30"/>
  <c r="E105" i="30"/>
  <c r="E111" i="30"/>
  <c r="E112" i="30"/>
  <c r="D114" i="30"/>
  <c r="E114" i="30"/>
  <c r="E116" i="30"/>
  <c r="E117" i="30"/>
  <c r="E119" i="30" s="1"/>
  <c r="E124" i="30"/>
  <c r="E136" i="30"/>
  <c r="D138" i="30"/>
  <c r="E138" i="30"/>
  <c r="E140" i="30" s="1"/>
  <c r="E142" i="30" s="1"/>
  <c r="E153" i="30"/>
  <c r="E154" i="30"/>
  <c r="E68" i="30"/>
  <c r="E54" i="30"/>
  <c r="E25" i="30"/>
  <c r="E9" i="30"/>
  <c r="E114" i="27"/>
  <c r="E81" i="30"/>
  <c r="D80" i="30"/>
  <c r="E80" i="30" s="1"/>
  <c r="D78" i="30"/>
  <c r="E78" i="30" s="1"/>
  <c r="E77" i="30"/>
  <c r="E67" i="30"/>
  <c r="E66" i="30"/>
  <c r="D65" i="30"/>
  <c r="E65" i="30" s="1"/>
  <c r="D63" i="30"/>
  <c r="E63" i="30" s="1"/>
  <c r="E62" i="30"/>
  <c r="E52" i="30"/>
  <c r="D49" i="30"/>
  <c r="E49" i="30" s="1"/>
  <c r="E48" i="30"/>
  <c r="E39" i="30"/>
  <c r="E38" i="30"/>
  <c r="D37" i="30"/>
  <c r="E37" i="30" s="1"/>
  <c r="E35" i="30"/>
  <c r="E34" i="30"/>
  <c r="D20" i="30"/>
  <c r="E20" i="30" s="1"/>
  <c r="E19" i="30"/>
  <c r="E8" i="30"/>
  <c r="D5" i="30"/>
  <c r="E5" i="30" s="1"/>
  <c r="E4" i="30"/>
  <c r="E26" i="31" l="1"/>
  <c r="E30" i="31" s="1"/>
  <c r="E160" i="30"/>
  <c r="E26" i="30"/>
  <c r="E29" i="30" s="1"/>
  <c r="E69" i="30"/>
  <c r="E71" i="30" s="1"/>
  <c r="E83" i="30"/>
  <c r="E85" i="30" s="1"/>
  <c r="E40" i="30"/>
  <c r="E42" i="30" s="1"/>
  <c r="E11" i="30"/>
  <c r="E14" i="30" s="1"/>
  <c r="E55" i="30"/>
  <c r="E57" i="30" s="1"/>
  <c r="C15" i="28"/>
  <c r="C28" i="28" l="1"/>
  <c r="C26" i="28"/>
  <c r="C24" i="28"/>
  <c r="C23" i="28"/>
  <c r="E100" i="27"/>
  <c r="E101" i="27"/>
  <c r="D103" i="27"/>
  <c r="E103" i="27"/>
  <c r="E105" i="27"/>
  <c r="E64" i="27"/>
  <c r="E54" i="27"/>
  <c r="E35" i="27"/>
  <c r="E24" i="27"/>
  <c r="E18" i="27"/>
  <c r="E4" i="27"/>
  <c r="E106" i="27" l="1"/>
  <c r="D140" i="27"/>
  <c r="E140" i="27" s="1"/>
  <c r="E138" i="27"/>
  <c r="E126" i="27"/>
  <c r="E131" i="27" s="1"/>
  <c r="E118" i="27"/>
  <c r="D116" i="27"/>
  <c r="E116" i="27" s="1"/>
  <c r="E113" i="27"/>
  <c r="E112" i="27"/>
  <c r="E82" i="27"/>
  <c r="D81" i="27"/>
  <c r="E81" i="27" s="1"/>
  <c r="D79" i="27"/>
  <c r="E78" i="27"/>
  <c r="E68" i="27"/>
  <c r="E67" i="27"/>
  <c r="D66" i="27"/>
  <c r="E66" i="27" s="1"/>
  <c r="D63" i="27"/>
  <c r="E62" i="27"/>
  <c r="E53" i="27"/>
  <c r="E52" i="27"/>
  <c r="D51" i="27"/>
  <c r="E51" i="27" s="1"/>
  <c r="D49" i="27"/>
  <c r="E48" i="27"/>
  <c r="E39" i="27"/>
  <c r="E38" i="27"/>
  <c r="D37" i="27"/>
  <c r="E37" i="27" s="1"/>
  <c r="E33" i="27"/>
  <c r="E23" i="27"/>
  <c r="D19" i="27"/>
  <c r="E9" i="27"/>
  <c r="E8" i="27"/>
  <c r="D7" i="27"/>
  <c r="E7" i="27" s="1"/>
  <c r="D5" i="27"/>
  <c r="E5" i="27" s="1"/>
  <c r="E119" i="27" l="1"/>
  <c r="E121" i="27" s="1"/>
  <c r="E142" i="27"/>
  <c r="E144" i="27" s="1"/>
  <c r="D21" i="27"/>
  <c r="E21" i="27" s="1"/>
  <c r="E19" i="27"/>
  <c r="E10" i="27"/>
  <c r="E13" i="27" s="1"/>
  <c r="E63" i="27"/>
  <c r="E70" i="27" s="1"/>
  <c r="E72" i="27" s="1"/>
  <c r="E79" i="27"/>
  <c r="E34" i="27"/>
  <c r="E40" i="27" s="1"/>
  <c r="E42" i="27" s="1"/>
  <c r="E49" i="27"/>
  <c r="E55" i="27" s="1"/>
  <c r="E57" i="27" s="1"/>
  <c r="C73" i="22"/>
  <c r="E25" i="27" l="1"/>
  <c r="E28" i="27" s="1"/>
  <c r="E84" i="27"/>
  <c r="E86" i="27" s="1"/>
  <c r="E146" i="26"/>
  <c r="E150" i="26" s="1"/>
  <c r="E134" i="26"/>
  <c r="E121" i="26"/>
  <c r="E107" i="26"/>
  <c r="E90" i="26"/>
  <c r="E73" i="26"/>
  <c r="E57" i="26"/>
  <c r="E41" i="26"/>
  <c r="E26" i="26"/>
  <c r="E10" i="26"/>
  <c r="E168" i="26"/>
  <c r="D133" i="26"/>
  <c r="E133" i="26" s="1"/>
  <c r="E132" i="26"/>
  <c r="E131" i="26"/>
  <c r="E130" i="26"/>
  <c r="D118" i="26"/>
  <c r="E118" i="26" s="1"/>
  <c r="D104" i="26"/>
  <c r="E104" i="26" s="1"/>
  <c r="D87" i="26"/>
  <c r="E87" i="26" s="1"/>
  <c r="E157" i="26"/>
  <c r="D70" i="26"/>
  <c r="E70" i="26" s="1"/>
  <c r="D54" i="26"/>
  <c r="E54" i="26" s="1"/>
  <c r="D38" i="26"/>
  <c r="E38" i="26" s="1"/>
  <c r="D23" i="26"/>
  <c r="E23" i="26" s="1"/>
  <c r="D119" i="26"/>
  <c r="E119" i="26" s="1"/>
  <c r="E116" i="26"/>
  <c r="E115" i="26"/>
  <c r="D105" i="26"/>
  <c r="E105" i="26" s="1"/>
  <c r="E102" i="26"/>
  <c r="E101" i="26"/>
  <c r="E89" i="26"/>
  <c r="D88" i="26"/>
  <c r="E88" i="26" s="1"/>
  <c r="D85" i="26"/>
  <c r="E84" i="26"/>
  <c r="D158" i="26"/>
  <c r="E158" i="26" s="1"/>
  <c r="E156" i="26"/>
  <c r="E72" i="26"/>
  <c r="D71" i="26"/>
  <c r="E71" i="26" s="1"/>
  <c r="D68" i="26"/>
  <c r="E67" i="26"/>
  <c r="E56" i="26"/>
  <c r="D55" i="26"/>
  <c r="E55" i="26" s="1"/>
  <c r="D52" i="26"/>
  <c r="E51" i="26"/>
  <c r="E40" i="26"/>
  <c r="D39" i="26"/>
  <c r="E39" i="26" s="1"/>
  <c r="E35" i="26"/>
  <c r="E170" i="26"/>
  <c r="E169" i="26"/>
  <c r="C52" i="26" s="1"/>
  <c r="D21" i="26"/>
  <c r="D24" i="26" s="1"/>
  <c r="E24" i="26" s="1"/>
  <c r="E20" i="26"/>
  <c r="E9" i="26"/>
  <c r="D7" i="26"/>
  <c r="E7" i="26" s="1"/>
  <c r="D5" i="26"/>
  <c r="E4" i="26"/>
  <c r="C54" i="22"/>
  <c r="C53" i="22"/>
  <c r="C52" i="22"/>
  <c r="C51" i="22"/>
  <c r="C50" i="22"/>
  <c r="C49" i="22"/>
  <c r="C48" i="22"/>
  <c r="C47" i="22"/>
  <c r="E163" i="26" l="1"/>
  <c r="E123" i="26"/>
  <c r="E125" i="26" s="1"/>
  <c r="E137" i="26"/>
  <c r="E109" i="26"/>
  <c r="E161" i="26"/>
  <c r="E52" i="26"/>
  <c r="E59" i="26" s="1"/>
  <c r="E62" i="26" s="1"/>
  <c r="C68" i="26"/>
  <c r="E68" i="26" s="1"/>
  <c r="E75" i="26" s="1"/>
  <c r="E78" i="26" s="1"/>
  <c r="C85" i="26"/>
  <c r="E85" i="26" s="1"/>
  <c r="E92" i="26" s="1"/>
  <c r="E94" i="26" s="1"/>
  <c r="C5" i="26"/>
  <c r="E5" i="26" s="1"/>
  <c r="E12" i="26" s="1"/>
  <c r="E15" i="26" s="1"/>
  <c r="C21" i="26"/>
  <c r="E21" i="26" s="1"/>
  <c r="E28" i="26" s="1"/>
  <c r="C36" i="26"/>
  <c r="E36" i="26" s="1"/>
  <c r="E43" i="26" s="1"/>
  <c r="E45" i="26" s="1"/>
  <c r="E30" i="26" l="1"/>
  <c r="G126" i="24"/>
  <c r="G113" i="24"/>
  <c r="G101" i="24"/>
  <c r="G83" i="24"/>
  <c r="G69" i="24"/>
  <c r="G55" i="24"/>
  <c r="G38" i="24"/>
  <c r="G24" i="24"/>
  <c r="G9" i="24"/>
  <c r="G8" i="24"/>
  <c r="E49" i="20" l="1"/>
  <c r="D54" i="20"/>
  <c r="E54" i="20" s="1"/>
  <c r="E55" i="20"/>
  <c r="E56" i="20"/>
  <c r="E64" i="20"/>
  <c r="D65" i="20"/>
  <c r="C15" i="22"/>
  <c r="G136" i="24"/>
  <c r="G135" i="24"/>
  <c r="G134" i="24"/>
  <c r="G123" i="24"/>
  <c r="G124" i="24"/>
  <c r="F125" i="24"/>
  <c r="G125" i="24" s="1"/>
  <c r="G130" i="24" l="1"/>
  <c r="G110" i="24"/>
  <c r="G111" i="24"/>
  <c r="G112" i="24"/>
  <c r="F114" i="24"/>
  <c r="G114" i="24" s="1"/>
  <c r="G115" i="24"/>
  <c r="G98" i="24"/>
  <c r="G99" i="24"/>
  <c r="F102" i="24"/>
  <c r="G102" i="24" s="1"/>
  <c r="G80" i="24"/>
  <c r="F81" i="24"/>
  <c r="G81" i="24" s="1"/>
  <c r="F84" i="24"/>
  <c r="G84" i="24" s="1"/>
  <c r="G85" i="24"/>
  <c r="G66" i="24"/>
  <c r="F67" i="24"/>
  <c r="G67" i="24" s="1"/>
  <c r="F70" i="24"/>
  <c r="G70" i="24" s="1"/>
  <c r="G71" i="24"/>
  <c r="G52" i="24"/>
  <c r="F53" i="24"/>
  <c r="G53" i="24"/>
  <c r="F56" i="24"/>
  <c r="G56" i="24" s="1"/>
  <c r="G57" i="24"/>
  <c r="G35" i="24"/>
  <c r="G36" i="24"/>
  <c r="F39" i="24"/>
  <c r="G39" i="24"/>
  <c r="G40" i="24"/>
  <c r="G21" i="24"/>
  <c r="F22" i="24"/>
  <c r="F25" i="24" s="1"/>
  <c r="G25" i="24" s="1"/>
  <c r="G22" i="24"/>
  <c r="G6" i="24"/>
  <c r="G7" i="24"/>
  <c r="F10" i="24"/>
  <c r="G10" i="24" s="1"/>
  <c r="G12" i="24"/>
  <c r="G117" i="24" l="1"/>
  <c r="G62" i="24"/>
  <c r="G119" i="24"/>
  <c r="G87" i="24"/>
  <c r="G90" i="24" s="1"/>
  <c r="G106" i="24"/>
  <c r="G73" i="24"/>
  <c r="G76" i="24" s="1"/>
  <c r="G59" i="24"/>
  <c r="G42" i="24"/>
  <c r="G45" i="24" s="1"/>
  <c r="G28" i="24"/>
  <c r="G31" i="24" s="1"/>
  <c r="G14" i="24"/>
  <c r="G17" i="24" s="1"/>
  <c r="D104" i="20" l="1"/>
  <c r="E104" i="20" s="1"/>
  <c r="E101" i="20"/>
  <c r="D132" i="20"/>
  <c r="E132" i="20" s="1"/>
  <c r="E129" i="20"/>
  <c r="E128" i="20"/>
  <c r="E108" i="20" l="1"/>
  <c r="E35" i="20"/>
  <c r="E4" i="20"/>
  <c r="D5" i="20"/>
  <c r="E6" i="20"/>
  <c r="E7" i="20"/>
  <c r="D8" i="20"/>
  <c r="E8" i="20" s="1"/>
  <c r="E10" i="20"/>
  <c r="E148" i="20"/>
  <c r="E11" i="20"/>
  <c r="E36" i="20" l="1"/>
  <c r="C65" i="20" l="1"/>
  <c r="E65" i="20" s="1"/>
  <c r="C50" i="20"/>
  <c r="E50" i="20" s="1"/>
  <c r="E57" i="20" s="1"/>
  <c r="E60" i="20" s="1"/>
  <c r="C5" i="20"/>
  <c r="E5" i="20" s="1"/>
  <c r="E12" i="20" s="1"/>
  <c r="E15" i="20" s="1"/>
  <c r="E145" i="20"/>
  <c r="E142" i="20"/>
  <c r="E141" i="20"/>
  <c r="E119" i="20"/>
  <c r="E118" i="20"/>
  <c r="D117" i="20"/>
  <c r="E117" i="20" s="1"/>
  <c r="D113" i="20"/>
  <c r="E83" i="20"/>
  <c r="D82" i="20"/>
  <c r="E82" i="20" s="1"/>
  <c r="D79" i="20"/>
  <c r="E78" i="20"/>
  <c r="E69" i="20"/>
  <c r="D68" i="20"/>
  <c r="E68" i="20" s="1"/>
  <c r="E37" i="20"/>
  <c r="D20" i="20"/>
  <c r="D24" i="20" s="1"/>
  <c r="E24" i="20" s="1"/>
  <c r="E19" i="20"/>
  <c r="E70" i="20" l="1"/>
  <c r="E74" i="20" s="1"/>
  <c r="E112" i="20"/>
  <c r="E136" i="20"/>
  <c r="C20" i="20"/>
  <c r="E20" i="20" s="1"/>
  <c r="C79" i="20"/>
  <c r="E79" i="20" s="1"/>
  <c r="D144" i="20"/>
  <c r="E144" i="20" s="1"/>
  <c r="C113" i="20"/>
  <c r="E113" i="20" s="1"/>
  <c r="E140" i="20"/>
  <c r="E181" i="19"/>
  <c r="E180" i="19"/>
  <c r="E179" i="19"/>
  <c r="D179" i="19"/>
  <c r="D178" i="19"/>
  <c r="E178" i="19" s="1"/>
  <c r="E177" i="19"/>
  <c r="D175" i="19"/>
  <c r="E175" i="19" s="1"/>
  <c r="D173" i="19"/>
  <c r="E173" i="19" s="1"/>
  <c r="D172" i="19"/>
  <c r="C172" i="19"/>
  <c r="E171" i="19"/>
  <c r="L45" i="19"/>
  <c r="K55" i="19"/>
  <c r="K54" i="19"/>
  <c r="K53" i="19"/>
  <c r="J53" i="19"/>
  <c r="J52" i="19"/>
  <c r="K52" i="19" s="1"/>
  <c r="K51" i="19"/>
  <c r="J49" i="19"/>
  <c r="K49" i="19" s="1"/>
  <c r="J47" i="19"/>
  <c r="K47" i="19" s="1"/>
  <c r="J46" i="19"/>
  <c r="I46" i="19"/>
  <c r="K45" i="19"/>
  <c r="F21" i="19"/>
  <c r="F22" i="19"/>
  <c r="K46" i="19" l="1"/>
  <c r="K56" i="19" s="1"/>
  <c r="K61" i="19" s="1"/>
  <c r="E172" i="19"/>
  <c r="E182" i="19" s="1"/>
  <c r="E187" i="19" s="1"/>
  <c r="E189" i="19" s="1"/>
  <c r="E84" i="20"/>
  <c r="E87" i="20" s="1"/>
  <c r="E120" i="20"/>
  <c r="E124" i="20" s="1"/>
  <c r="E27" i="20"/>
  <c r="E30" i="20" s="1"/>
  <c r="F24" i="19"/>
  <c r="P5" i="19"/>
  <c r="K11" i="19"/>
  <c r="K9" i="19"/>
  <c r="D68" i="19"/>
  <c r="E68" i="19" s="1"/>
  <c r="K7" i="19" s="1"/>
  <c r="E28" i="19"/>
  <c r="R12" i="19" l="1"/>
  <c r="D24" i="19" l="1"/>
  <c r="E24" i="19" s="1"/>
  <c r="K5" i="19" s="1"/>
  <c r="R5" i="19" l="1"/>
  <c r="R4" i="19"/>
  <c r="P5" i="18"/>
  <c r="D96" i="19"/>
  <c r="D98" i="19" s="1"/>
  <c r="E98" i="19" s="1"/>
  <c r="L9" i="19"/>
  <c r="L12" i="19"/>
  <c r="E151" i="19"/>
  <c r="L11" i="19" s="1"/>
  <c r="E136" i="19"/>
  <c r="E117" i="19"/>
  <c r="E52" i="19"/>
  <c r="E14" i="19"/>
  <c r="D10" i="19"/>
  <c r="E10" i="19" s="1"/>
  <c r="E9" i="19"/>
  <c r="L4" i="19" s="1"/>
  <c r="D12" i="19"/>
  <c r="E12" i="19" s="1"/>
  <c r="D11" i="19"/>
  <c r="E11" i="19" s="1"/>
  <c r="E155" i="19"/>
  <c r="O11" i="19" s="1"/>
  <c r="E147" i="19"/>
  <c r="J11" i="19" s="1"/>
  <c r="D146" i="19"/>
  <c r="D153" i="19" s="1"/>
  <c r="E153" i="19" s="1"/>
  <c r="D134" i="19"/>
  <c r="E134" i="19" s="1"/>
  <c r="D133" i="19"/>
  <c r="E133" i="19" s="1"/>
  <c r="E132" i="19"/>
  <c r="K12" i="19" s="1"/>
  <c r="D130" i="19"/>
  <c r="E130" i="19" s="1"/>
  <c r="E127" i="19"/>
  <c r="J12" i="19" s="1"/>
  <c r="E126" i="19"/>
  <c r="I12" i="19" s="1"/>
  <c r="E116" i="19"/>
  <c r="O9" i="19" s="1"/>
  <c r="D115" i="19"/>
  <c r="E115" i="19" s="1"/>
  <c r="D114" i="19"/>
  <c r="E114" i="19" s="1"/>
  <c r="D108" i="19"/>
  <c r="E88" i="19"/>
  <c r="O8" i="19" s="1"/>
  <c r="D87" i="19"/>
  <c r="E87" i="19" s="1"/>
  <c r="D86" i="19"/>
  <c r="E86" i="19" s="1"/>
  <c r="D85" i="19"/>
  <c r="D80" i="19"/>
  <c r="D83" i="19" s="1"/>
  <c r="E79" i="19"/>
  <c r="I8" i="19" s="1"/>
  <c r="E71" i="19"/>
  <c r="O7" i="19" s="1"/>
  <c r="D70" i="19"/>
  <c r="E70" i="19" s="1"/>
  <c r="D69" i="19"/>
  <c r="E69" i="19" s="1"/>
  <c r="E64" i="19"/>
  <c r="D63" i="19"/>
  <c r="E51" i="19"/>
  <c r="O6" i="19" s="1"/>
  <c r="D50" i="19"/>
  <c r="E50" i="19" s="1"/>
  <c r="D49" i="19"/>
  <c r="E49" i="19" s="1"/>
  <c r="D48" i="19"/>
  <c r="E48" i="19" s="1"/>
  <c r="K6" i="19" s="1"/>
  <c r="D46" i="19"/>
  <c r="E46" i="19" s="1"/>
  <c r="D44" i="19"/>
  <c r="E32" i="19"/>
  <c r="E31" i="19"/>
  <c r="O5" i="19" s="1"/>
  <c r="D30" i="19"/>
  <c r="E30" i="19" s="1"/>
  <c r="D29" i="19"/>
  <c r="E29" i="19" s="1"/>
  <c r="D26" i="19"/>
  <c r="E26" i="19" s="1"/>
  <c r="J36" i="19"/>
  <c r="K36" i="19" s="1"/>
  <c r="K35" i="19"/>
  <c r="J34" i="19"/>
  <c r="K34" i="19" s="1"/>
  <c r="K23" i="19"/>
  <c r="D23" i="19"/>
  <c r="J33" i="19"/>
  <c r="K33" i="19" s="1"/>
  <c r="K22" i="19"/>
  <c r="C43" i="19" s="1"/>
  <c r="E43" i="19" s="1"/>
  <c r="J6" i="19" s="1"/>
  <c r="J32" i="19"/>
  <c r="K32" i="19" s="1"/>
  <c r="K21" i="19"/>
  <c r="J31" i="19"/>
  <c r="K31" i="19" s="1"/>
  <c r="J30" i="19"/>
  <c r="K30" i="19" s="1"/>
  <c r="E13" i="19"/>
  <c r="O4" i="19" s="1"/>
  <c r="O12" i="19"/>
  <c r="M12" i="19"/>
  <c r="R11" i="19"/>
  <c r="M11" i="19"/>
  <c r="R10" i="19"/>
  <c r="N10" i="19"/>
  <c r="M10" i="19"/>
  <c r="L10" i="19"/>
  <c r="I10" i="19"/>
  <c r="R9" i="19"/>
  <c r="M9" i="19"/>
  <c r="S8" i="19"/>
  <c r="R8" i="19"/>
  <c r="M8" i="19"/>
  <c r="L8" i="19"/>
  <c r="D8" i="19"/>
  <c r="E8" i="19" s="1"/>
  <c r="S7" i="19"/>
  <c r="R7" i="19"/>
  <c r="M7" i="19"/>
  <c r="L7" i="19"/>
  <c r="S6" i="19"/>
  <c r="R6" i="19"/>
  <c r="M6" i="19"/>
  <c r="L6" i="19"/>
  <c r="M5" i="19"/>
  <c r="L5" i="19"/>
  <c r="D5" i="19"/>
  <c r="S4" i="19"/>
  <c r="M4" i="19"/>
  <c r="E85" i="19" l="1"/>
  <c r="K8" i="19" s="1"/>
  <c r="C107" i="19"/>
  <c r="E107" i="19" s="1"/>
  <c r="I9" i="19" s="1"/>
  <c r="R13" i="19"/>
  <c r="C108" i="19"/>
  <c r="E108" i="19"/>
  <c r="E4" i="19"/>
  <c r="I4" i="19" s="1"/>
  <c r="E62" i="19"/>
  <c r="I7" i="19" s="1"/>
  <c r="E22" i="19"/>
  <c r="I5" i="19" s="1"/>
  <c r="C63" i="19"/>
  <c r="E63" i="19" s="1"/>
  <c r="J7" i="19" s="1"/>
  <c r="C80" i="19"/>
  <c r="E80" i="19" s="1"/>
  <c r="J8" i="19" s="1"/>
  <c r="E42" i="19"/>
  <c r="I6" i="19" s="1"/>
  <c r="C23" i="19"/>
  <c r="E23" i="19" s="1"/>
  <c r="C5" i="19"/>
  <c r="E5" i="19" s="1"/>
  <c r="N6" i="19"/>
  <c r="N9" i="19"/>
  <c r="N11" i="19"/>
  <c r="S13" i="19"/>
  <c r="N7" i="19"/>
  <c r="N8" i="19"/>
  <c r="K24" i="19"/>
  <c r="J37" i="19"/>
  <c r="K37" i="19" s="1"/>
  <c r="N4" i="19"/>
  <c r="E137" i="19"/>
  <c r="E142" i="19" s="1"/>
  <c r="P10" i="19"/>
  <c r="Q10" i="19" s="1"/>
  <c r="E103" i="19"/>
  <c r="N5" i="19"/>
  <c r="N12" i="19"/>
  <c r="D6" i="19"/>
  <c r="K4" i="19" s="1"/>
  <c r="E146" i="19"/>
  <c r="I11" i="19" s="1"/>
  <c r="D154" i="19"/>
  <c r="E154" i="19" s="1"/>
  <c r="H5" i="18"/>
  <c r="T10" i="19" l="1"/>
  <c r="E72" i="19"/>
  <c r="E118" i="19"/>
  <c r="E122" i="19" s="1"/>
  <c r="J9" i="19"/>
  <c r="Q9" i="19" s="1"/>
  <c r="T9" i="19" s="1"/>
  <c r="Q6" i="19"/>
  <c r="T6" i="19" s="1"/>
  <c r="Q8" i="19"/>
  <c r="T8" i="19" s="1"/>
  <c r="E33" i="19"/>
  <c r="E38" i="19" s="1"/>
  <c r="J5" i="19"/>
  <c r="Q5" i="19" s="1"/>
  <c r="T5" i="19" s="1"/>
  <c r="Q7" i="19"/>
  <c r="T7" i="19" s="1"/>
  <c r="Q12" i="19"/>
  <c r="T12" i="19" s="1"/>
  <c r="E53" i="19"/>
  <c r="E58" i="19" s="1"/>
  <c r="J4" i="19"/>
  <c r="Q4" i="19" s="1"/>
  <c r="T4" i="19" s="1"/>
  <c r="E15" i="19"/>
  <c r="E18" i="19" s="1"/>
  <c r="E89" i="19"/>
  <c r="E92" i="19" s="1"/>
  <c r="E156" i="19"/>
  <c r="E158" i="19" s="1"/>
  <c r="Q11" i="19"/>
  <c r="T11" i="19" s="1"/>
  <c r="T13" i="19" l="1"/>
  <c r="S8" i="18"/>
  <c r="S7" i="18"/>
  <c r="S6" i="18" l="1"/>
  <c r="S4" i="18"/>
  <c r="S13" i="18" s="1"/>
  <c r="R12" i="18"/>
  <c r="R11" i="18"/>
  <c r="R10" i="18"/>
  <c r="R9" i="18"/>
  <c r="R8" i="18"/>
  <c r="R7" i="18"/>
  <c r="R6" i="18"/>
  <c r="R5" i="18"/>
  <c r="R4" i="18"/>
  <c r="R13" i="18" s="1"/>
  <c r="M10" i="18"/>
  <c r="M12" i="18"/>
  <c r="L12" i="18"/>
  <c r="M11" i="18"/>
  <c r="M9" i="18"/>
  <c r="M8" i="18"/>
  <c r="L8" i="18"/>
  <c r="M7" i="18"/>
  <c r="M6" i="18"/>
  <c r="M5" i="18"/>
  <c r="M4" i="18"/>
  <c r="E106" i="18"/>
  <c r="L9" i="18" s="1"/>
  <c r="C58" i="18" l="1"/>
  <c r="D43" i="18"/>
  <c r="E43" i="18" s="1"/>
  <c r="K6" i="18" s="1"/>
  <c r="C6" i="18"/>
  <c r="F141" i="18"/>
  <c r="K27" i="18"/>
  <c r="K28" i="18"/>
  <c r="K29" i="18"/>
  <c r="K26" i="18"/>
  <c r="K22" i="18"/>
  <c r="E124" i="18" l="1"/>
  <c r="D123" i="18"/>
  <c r="E123" i="18" s="1"/>
  <c r="K12" i="18" s="1"/>
  <c r="D101" i="17" l="1"/>
  <c r="D100" i="17"/>
  <c r="I101" i="17"/>
  <c r="J101" i="17" s="1"/>
  <c r="I100" i="17"/>
  <c r="J100" i="17" s="1"/>
  <c r="J99" i="17"/>
  <c r="J97" i="17"/>
  <c r="J96" i="17"/>
  <c r="J103" i="17" l="1"/>
  <c r="J105" i="17" s="1"/>
  <c r="E31" i="18" l="1"/>
  <c r="E64" i="18" l="1"/>
  <c r="E145" i="18"/>
  <c r="L11" i="18" s="1"/>
  <c r="D108" i="18"/>
  <c r="E108" i="18" s="1"/>
  <c r="D102" i="18"/>
  <c r="D109" i="18"/>
  <c r="E109" i="18" s="1"/>
  <c r="O12" i="18"/>
  <c r="E110" i="18"/>
  <c r="L10" i="18"/>
  <c r="L7" i="18"/>
  <c r="N11" i="18" l="1"/>
  <c r="N9" i="18"/>
  <c r="D140" i="18"/>
  <c r="E149" i="18"/>
  <c r="O11" i="18" s="1"/>
  <c r="E141" i="18"/>
  <c r="J11" i="18" s="1"/>
  <c r="D128" i="18"/>
  <c r="E128" i="18" s="1"/>
  <c r="D127" i="18"/>
  <c r="E127" i="18" s="1"/>
  <c r="D81" i="18"/>
  <c r="E81" i="18" s="1"/>
  <c r="K8" i="18" s="1"/>
  <c r="D82" i="18"/>
  <c r="E82" i="18" s="1"/>
  <c r="D83" i="18"/>
  <c r="E83" i="18" s="1"/>
  <c r="N8" i="18" s="1"/>
  <c r="E84" i="18"/>
  <c r="O8" i="18" s="1"/>
  <c r="D76" i="18"/>
  <c r="E76" i="18" s="1"/>
  <c r="D48" i="18"/>
  <c r="E48" i="18" s="1"/>
  <c r="D47" i="18"/>
  <c r="E47" i="18" s="1"/>
  <c r="D45" i="18"/>
  <c r="E45" i="18" s="1"/>
  <c r="D25" i="18"/>
  <c r="E25" i="18" s="1"/>
  <c r="D22" i="18"/>
  <c r="E22" i="18" s="1"/>
  <c r="J5" i="18" s="1"/>
  <c r="E9" i="18"/>
  <c r="L4" i="18" s="1"/>
  <c r="D8" i="18"/>
  <c r="E8" i="18" s="1"/>
  <c r="D5" i="18"/>
  <c r="E126" i="18"/>
  <c r="E120" i="18"/>
  <c r="J12" i="18" s="1"/>
  <c r="O9" i="18"/>
  <c r="E102" i="18"/>
  <c r="J9" i="18" s="1"/>
  <c r="E101" i="18"/>
  <c r="I9" i="18" s="1"/>
  <c r="D92" i="18"/>
  <c r="D94" i="18" s="1"/>
  <c r="E94" i="18" s="1"/>
  <c r="P10" i="18" s="1"/>
  <c r="E75" i="18"/>
  <c r="I8" i="18" s="1"/>
  <c r="E67" i="18"/>
  <c r="O7" i="18" s="1"/>
  <c r="D66" i="18"/>
  <c r="E66" i="18" s="1"/>
  <c r="D65" i="18"/>
  <c r="E65" i="18" s="1"/>
  <c r="E60" i="18"/>
  <c r="K7" i="18" s="1"/>
  <c r="D59" i="18"/>
  <c r="E59" i="18" s="1"/>
  <c r="J7" i="18" s="1"/>
  <c r="E50" i="18"/>
  <c r="O6" i="18" s="1"/>
  <c r="D49" i="18"/>
  <c r="E49" i="18" s="1"/>
  <c r="E42" i="18"/>
  <c r="J6" i="18" s="1"/>
  <c r="E30" i="18"/>
  <c r="O5" i="18" s="1"/>
  <c r="R24" i="18"/>
  <c r="S24" i="18" s="1"/>
  <c r="D29" i="18"/>
  <c r="E29" i="18" s="1"/>
  <c r="S23" i="18"/>
  <c r="D28" i="18"/>
  <c r="E28" i="18" s="1"/>
  <c r="R22" i="18"/>
  <c r="S22" i="18" s="1"/>
  <c r="R21" i="18"/>
  <c r="S21" i="18" s="1"/>
  <c r="K21" i="18"/>
  <c r="R20" i="18"/>
  <c r="S20" i="18" s="1"/>
  <c r="K20" i="18"/>
  <c r="R19" i="18"/>
  <c r="S19" i="18" s="1"/>
  <c r="R18" i="18"/>
  <c r="S18" i="18" s="1"/>
  <c r="I10" i="18"/>
  <c r="Q10" i="18" s="1"/>
  <c r="T10" i="18" s="1"/>
  <c r="E13" i="18"/>
  <c r="O4" i="18" s="1"/>
  <c r="D11" i="18"/>
  <c r="E11" i="18" s="1"/>
  <c r="E10" i="18"/>
  <c r="L6" i="18"/>
  <c r="L5" i="18"/>
  <c r="N12" i="18" l="1"/>
  <c r="N7" i="18"/>
  <c r="J8" i="18"/>
  <c r="N5" i="18"/>
  <c r="E5" i="18"/>
  <c r="J4" i="18" s="1"/>
  <c r="D6" i="18"/>
  <c r="E6" i="18" s="1"/>
  <c r="K4" i="18" s="1"/>
  <c r="N6" i="18"/>
  <c r="D79" i="18"/>
  <c r="Q8" i="18"/>
  <c r="T8" i="18" s="1"/>
  <c r="E140" i="18"/>
  <c r="D148" i="18"/>
  <c r="E148" i="18" s="1"/>
  <c r="D147" i="18"/>
  <c r="E147" i="18" s="1"/>
  <c r="R25" i="18"/>
  <c r="S25" i="18" s="1"/>
  <c r="E58" i="18"/>
  <c r="I7" i="18" s="1"/>
  <c r="E119" i="18"/>
  <c r="I12" i="18" s="1"/>
  <c r="E41" i="18"/>
  <c r="I6" i="18" s="1"/>
  <c r="D12" i="18"/>
  <c r="E12" i="18" s="1"/>
  <c r="N4" i="18" s="1"/>
  <c r="E4" i="18"/>
  <c r="I4" i="18" s="1"/>
  <c r="E21" i="18"/>
  <c r="I5" i="18" s="1"/>
  <c r="Q5" i="18" s="1"/>
  <c r="T5" i="18" s="1"/>
  <c r="E85" i="18"/>
  <c r="E88" i="18" s="1"/>
  <c r="Q9" i="18"/>
  <c r="T9" i="18" s="1"/>
  <c r="K23" i="18"/>
  <c r="E111" i="18"/>
  <c r="E115" i="18" s="1"/>
  <c r="E97" i="18"/>
  <c r="F21" i="17"/>
  <c r="D113" i="17"/>
  <c r="D80" i="17"/>
  <c r="D51" i="17"/>
  <c r="D37" i="17"/>
  <c r="D22" i="17"/>
  <c r="D7" i="17"/>
  <c r="I11" i="18" l="1"/>
  <c r="Q11" i="18" s="1"/>
  <c r="T11" i="18" s="1"/>
  <c r="Q12" i="18"/>
  <c r="T12" i="18" s="1"/>
  <c r="E150" i="18"/>
  <c r="E152" i="18" s="1"/>
  <c r="E68" i="18"/>
  <c r="E71" i="18" s="1"/>
  <c r="E130" i="18"/>
  <c r="E136" i="18" s="1"/>
  <c r="E51" i="18"/>
  <c r="E54" i="18" s="1"/>
  <c r="E14" i="18"/>
  <c r="E17" i="18" s="1"/>
  <c r="Q6" i="18"/>
  <c r="T6" i="18" s="1"/>
  <c r="Q4" i="18"/>
  <c r="T4" i="18" s="1"/>
  <c r="T13" i="18" s="1"/>
  <c r="T15" i="18" s="1"/>
  <c r="E32" i="18"/>
  <c r="E37" i="18" s="1"/>
  <c r="Q7" i="18"/>
  <c r="T7" i="18" s="1"/>
  <c r="E39" i="17"/>
  <c r="O5" i="17" s="1"/>
  <c r="D38" i="17"/>
  <c r="D36" i="17"/>
  <c r="F46" i="17"/>
  <c r="D47" i="17"/>
  <c r="E47" i="17" s="1"/>
  <c r="K6" i="17" s="1"/>
  <c r="F47" i="17"/>
  <c r="R14" i="18" l="1"/>
  <c r="L9" i="17"/>
  <c r="L7" i="17"/>
  <c r="L6" i="17"/>
  <c r="L5" i="17"/>
  <c r="L4" i="17"/>
  <c r="R6" i="17"/>
  <c r="R3" i="17"/>
  <c r="O11" i="17"/>
  <c r="K4" i="17"/>
  <c r="K3" i="17"/>
  <c r="R24" i="17"/>
  <c r="Q23" i="17"/>
  <c r="R23" i="17" s="1"/>
  <c r="R22" i="17"/>
  <c r="Q21" i="17"/>
  <c r="R21" i="17" s="1"/>
  <c r="K21" i="17"/>
  <c r="Q20" i="17"/>
  <c r="R20" i="17" s="1"/>
  <c r="K20" i="17"/>
  <c r="Q19" i="17"/>
  <c r="R19" i="17" s="1"/>
  <c r="K19" i="17"/>
  <c r="Q18" i="17"/>
  <c r="R18" i="17" s="1"/>
  <c r="Q17" i="17"/>
  <c r="R17" i="17" s="1"/>
  <c r="E78" i="17"/>
  <c r="L8" i="17" s="1"/>
  <c r="D79" i="17"/>
  <c r="E79" i="17" s="1"/>
  <c r="E63" i="17"/>
  <c r="K8" i="17" l="1"/>
  <c r="K22" i="17"/>
  <c r="E33" i="17" l="1"/>
  <c r="K5" i="17" s="1"/>
  <c r="E36" i="17"/>
  <c r="J5" i="17" s="1"/>
  <c r="E34" i="17"/>
  <c r="F32" i="17"/>
  <c r="E6" i="17"/>
  <c r="L3" i="17" s="1"/>
  <c r="F109" i="17" l="1"/>
  <c r="F110" i="17"/>
  <c r="E113" i="17"/>
  <c r="D112" i="17"/>
  <c r="E112" i="17" s="1"/>
  <c r="E111" i="17"/>
  <c r="K11" i="17" s="1"/>
  <c r="E110" i="17"/>
  <c r="J11" i="17" s="1"/>
  <c r="E109" i="17"/>
  <c r="I11" i="17" s="1"/>
  <c r="E99" i="17"/>
  <c r="K9" i="17" s="1"/>
  <c r="D89" i="17"/>
  <c r="D91" i="17" s="1"/>
  <c r="N11" i="17" l="1"/>
  <c r="E115" i="17"/>
  <c r="E117" i="17" s="1"/>
  <c r="E101" i="17" l="1"/>
  <c r="E100" i="17"/>
  <c r="E97" i="17"/>
  <c r="J9" i="17" s="1"/>
  <c r="E96" i="17"/>
  <c r="I9" i="17" s="1"/>
  <c r="E91" i="17"/>
  <c r="N10" i="17" s="1"/>
  <c r="D81" i="17"/>
  <c r="E81" i="17" s="1"/>
  <c r="E80" i="17"/>
  <c r="E77" i="17"/>
  <c r="J8" i="17" s="1"/>
  <c r="E76" i="17"/>
  <c r="I8" i="17" s="1"/>
  <c r="E68" i="17"/>
  <c r="O7" i="17" s="1"/>
  <c r="D67" i="17"/>
  <c r="E67" i="17" s="1"/>
  <c r="D66" i="17"/>
  <c r="E66" i="17" s="1"/>
  <c r="E65" i="17"/>
  <c r="J7" i="17" s="1"/>
  <c r="D64" i="17"/>
  <c r="K7" i="17" s="1"/>
  <c r="E61" i="17"/>
  <c r="E53" i="17"/>
  <c r="O6" i="17" s="1"/>
  <c r="D52" i="17"/>
  <c r="E52" i="17" s="1"/>
  <c r="E51" i="17"/>
  <c r="E48" i="17"/>
  <c r="J6" i="17" s="1"/>
  <c r="E46" i="17"/>
  <c r="E38" i="17"/>
  <c r="E37" i="17"/>
  <c r="E32" i="17"/>
  <c r="I5" i="17" s="1"/>
  <c r="E24" i="17"/>
  <c r="O4" i="17" s="1"/>
  <c r="D23" i="17"/>
  <c r="E23" i="17" s="1"/>
  <c r="E22" i="17"/>
  <c r="E20" i="17"/>
  <c r="E18" i="17"/>
  <c r="I4" i="17" s="1"/>
  <c r="I10" i="17"/>
  <c r="P10" i="17" s="1"/>
  <c r="E10" i="17"/>
  <c r="O3" i="17" s="1"/>
  <c r="Q9" i="17"/>
  <c r="O9" i="17"/>
  <c r="D9" i="17"/>
  <c r="E9" i="17" s="1"/>
  <c r="Q8" i="17"/>
  <c r="O8" i="17"/>
  <c r="D8" i="17"/>
  <c r="E8" i="17" s="1"/>
  <c r="R7" i="17"/>
  <c r="Q7" i="17"/>
  <c r="E7" i="17"/>
  <c r="J3" i="17" s="1"/>
  <c r="Q5" i="17"/>
  <c r="Q4" i="17"/>
  <c r="E4" i="17"/>
  <c r="I3" i="17" s="1"/>
  <c r="Q3" i="17"/>
  <c r="N9" i="17" l="1"/>
  <c r="N4" i="17"/>
  <c r="N5" i="17"/>
  <c r="P5" i="17" s="1"/>
  <c r="S5" i="17" s="1"/>
  <c r="E40" i="17"/>
  <c r="E42" i="17" s="1"/>
  <c r="L14" i="17"/>
  <c r="J4" i="17"/>
  <c r="E25" i="17"/>
  <c r="E28" i="17" s="1"/>
  <c r="N3" i="17"/>
  <c r="P3" i="17" s="1"/>
  <c r="S3" i="17" s="1"/>
  <c r="I7" i="17"/>
  <c r="E69" i="17"/>
  <c r="E72" i="17" s="1"/>
  <c r="N7" i="17"/>
  <c r="N6" i="17"/>
  <c r="R12" i="17"/>
  <c r="E92" i="17"/>
  <c r="P11" i="17" s="1"/>
  <c r="S11" i="17" s="1"/>
  <c r="Q12" i="17"/>
  <c r="P9" i="17"/>
  <c r="S9" i="17" s="1"/>
  <c r="N8" i="17"/>
  <c r="P8" i="17" s="1"/>
  <c r="S8" i="17" s="1"/>
  <c r="E83" i="17"/>
  <c r="E85" i="17" s="1"/>
  <c r="E54" i="17"/>
  <c r="E57" i="17" s="1"/>
  <c r="I6" i="17"/>
  <c r="E11" i="17"/>
  <c r="E14" i="17" s="1"/>
  <c r="S10" i="17"/>
  <c r="E103" i="17"/>
  <c r="D72" i="12"/>
  <c r="E72" i="12" s="1"/>
  <c r="E75" i="12" s="1"/>
  <c r="E77" i="12" s="1"/>
  <c r="E70" i="12"/>
  <c r="E71" i="12"/>
  <c r="D73" i="12"/>
  <c r="E73" i="12"/>
  <c r="E105" i="17" l="1"/>
  <c r="F105" i="17" s="1"/>
  <c r="P4" i="17"/>
  <c r="S4" i="17" s="1"/>
  <c r="L16" i="17"/>
  <c r="P7" i="17"/>
  <c r="S7" i="17" s="1"/>
  <c r="P6" i="17"/>
  <c r="S6" i="17" s="1"/>
  <c r="D58" i="12"/>
  <c r="E58" i="12" s="1"/>
  <c r="K6" i="12" s="1"/>
  <c r="D20" i="12"/>
  <c r="E20" i="12" s="1"/>
  <c r="K3" i="12" s="1"/>
  <c r="S12" i="17" l="1"/>
  <c r="Q13" i="17" s="1"/>
  <c r="P6" i="12"/>
  <c r="M8" i="12"/>
  <c r="E22" i="12"/>
  <c r="E84" i="12"/>
  <c r="D23" i="12"/>
  <c r="E23" i="12"/>
  <c r="N20" i="12" l="1"/>
  <c r="O20" i="12" s="1"/>
  <c r="O19" i="12"/>
  <c r="N18" i="12"/>
  <c r="O18" i="12" s="1"/>
  <c r="N17" i="12"/>
  <c r="O17" i="12" s="1"/>
  <c r="N16" i="12"/>
  <c r="O16" i="12" s="1"/>
  <c r="N15" i="12"/>
  <c r="O15" i="12" s="1"/>
  <c r="N14" i="12"/>
  <c r="O14" i="12" s="1"/>
  <c r="N19" i="11"/>
  <c r="D93" i="12" l="1"/>
  <c r="E93" i="12" s="1"/>
  <c r="D92" i="12"/>
  <c r="E92" i="12" s="1"/>
  <c r="L8" i="12" s="1"/>
  <c r="E91" i="12"/>
  <c r="J8" i="12" s="1"/>
  <c r="E90" i="12"/>
  <c r="D83" i="12"/>
  <c r="E83" i="12" s="1"/>
  <c r="L7" i="12"/>
  <c r="J7" i="12"/>
  <c r="I7" i="12"/>
  <c r="E62" i="12"/>
  <c r="M6" i="12" s="1"/>
  <c r="D61" i="12"/>
  <c r="E61" i="12" s="1"/>
  <c r="D60" i="12"/>
  <c r="E60" i="12" s="1"/>
  <c r="E59" i="12"/>
  <c r="J6" i="12" s="1"/>
  <c r="E57" i="12"/>
  <c r="I6" i="12" s="1"/>
  <c r="E49" i="12"/>
  <c r="M5" i="12" s="1"/>
  <c r="D48" i="12"/>
  <c r="E48" i="12" s="1"/>
  <c r="D47" i="12"/>
  <c r="E47" i="12" s="1"/>
  <c r="E45" i="12"/>
  <c r="J5" i="12" s="1"/>
  <c r="E44" i="12"/>
  <c r="I5" i="12" s="1"/>
  <c r="E37" i="12"/>
  <c r="M4" i="12" s="1"/>
  <c r="D36" i="12"/>
  <c r="E36" i="12" s="1"/>
  <c r="D35" i="12"/>
  <c r="E35" i="12" s="1"/>
  <c r="E34" i="12"/>
  <c r="J4" i="12" s="1"/>
  <c r="E32" i="12"/>
  <c r="I4" i="12" s="1"/>
  <c r="E25" i="12"/>
  <c r="M3" i="12" s="1"/>
  <c r="D24" i="12"/>
  <c r="J18" i="12"/>
  <c r="E21" i="12"/>
  <c r="J3" i="12" s="1"/>
  <c r="J17" i="12"/>
  <c r="J16" i="12"/>
  <c r="E19" i="12"/>
  <c r="I9" i="12"/>
  <c r="O8" i="12"/>
  <c r="E9" i="12"/>
  <c r="M2" i="12" s="1"/>
  <c r="O7" i="12"/>
  <c r="M7" i="12"/>
  <c r="D8" i="12"/>
  <c r="E8" i="12" s="1"/>
  <c r="O6" i="12"/>
  <c r="D7" i="12"/>
  <c r="E7" i="12" s="1"/>
  <c r="P5" i="12"/>
  <c r="E6" i="12"/>
  <c r="J2" i="12" s="1"/>
  <c r="O4" i="12"/>
  <c r="O3" i="12"/>
  <c r="E3" i="12"/>
  <c r="I2" i="12" s="1"/>
  <c r="P2" i="12"/>
  <c r="O2" i="12"/>
  <c r="L2" i="12" l="1"/>
  <c r="N2" i="12" s="1"/>
  <c r="L9" i="12"/>
  <c r="N9" i="12" s="1"/>
  <c r="E85" i="12"/>
  <c r="L5" i="12"/>
  <c r="N5" i="12" s="1"/>
  <c r="Q5" i="12" s="1"/>
  <c r="N7" i="12"/>
  <c r="Q7" i="12" s="1"/>
  <c r="I3" i="12"/>
  <c r="L6" i="12"/>
  <c r="N6" i="12" s="1"/>
  <c r="Q6" i="12" s="1"/>
  <c r="P10" i="12"/>
  <c r="O10" i="12"/>
  <c r="L4" i="12"/>
  <c r="N4" i="12" s="1"/>
  <c r="Q9" i="12"/>
  <c r="J19" i="12"/>
  <c r="E10" i="12"/>
  <c r="E13" i="12" s="1"/>
  <c r="E50" i="12"/>
  <c r="E53" i="12" s="1"/>
  <c r="E95" i="12"/>
  <c r="E97" i="12" s="1"/>
  <c r="E24" i="12"/>
  <c r="L3" i="12" s="1"/>
  <c r="I8" i="12"/>
  <c r="E38" i="12"/>
  <c r="E40" i="12" s="1"/>
  <c r="E63" i="12"/>
  <c r="E66" i="12" s="1"/>
  <c r="E26" i="12" l="1"/>
  <c r="Q4" i="12"/>
  <c r="N8" i="12"/>
  <c r="Q8" i="12" s="1"/>
  <c r="N3" i="12"/>
  <c r="Q3" i="12" s="1"/>
  <c r="Q2" i="12"/>
  <c r="E28" i="12"/>
  <c r="Q10" i="12" l="1"/>
  <c r="O11" i="12" s="1"/>
  <c r="F84" i="11"/>
  <c r="D77" i="11"/>
  <c r="E77" i="11"/>
  <c r="N8" i="11"/>
  <c r="L8" i="11"/>
  <c r="D86" i="11"/>
  <c r="E86" i="11" s="1"/>
  <c r="D85" i="11"/>
  <c r="E85" i="11" s="1"/>
  <c r="K8" i="11" s="1"/>
  <c r="E84" i="11"/>
  <c r="J8" i="11" s="1"/>
  <c r="E83" i="11"/>
  <c r="I8" i="11" s="1"/>
  <c r="D67" i="11"/>
  <c r="E67" i="11" s="1"/>
  <c r="D66" i="11"/>
  <c r="E66" i="11" s="1"/>
  <c r="E65" i="11"/>
  <c r="J7" i="11" s="1"/>
  <c r="E64" i="11"/>
  <c r="I7" i="11" s="1"/>
  <c r="E57" i="11"/>
  <c r="L6" i="11" s="1"/>
  <c r="D56" i="11"/>
  <c r="E56" i="11" s="1"/>
  <c r="D55" i="11"/>
  <c r="E55" i="11" s="1"/>
  <c r="E54" i="11"/>
  <c r="E53" i="11"/>
  <c r="I6" i="11" s="1"/>
  <c r="E45" i="11"/>
  <c r="L5" i="11" s="1"/>
  <c r="D44" i="11"/>
  <c r="E44" i="11" s="1"/>
  <c r="D43" i="11"/>
  <c r="E43" i="11" s="1"/>
  <c r="E42" i="11"/>
  <c r="J5" i="11" s="1"/>
  <c r="E41" i="11"/>
  <c r="I5" i="11" s="1"/>
  <c r="E34" i="11"/>
  <c r="D33" i="11"/>
  <c r="E33" i="11" s="1"/>
  <c r="D32" i="11"/>
  <c r="E32" i="11" s="1"/>
  <c r="E31" i="11"/>
  <c r="J4" i="11" s="1"/>
  <c r="E29" i="11"/>
  <c r="I4" i="11" s="1"/>
  <c r="E22" i="11"/>
  <c r="L3" i="11" s="1"/>
  <c r="D21" i="11"/>
  <c r="D20" i="11"/>
  <c r="E20" i="11" s="1"/>
  <c r="M20" i="11"/>
  <c r="N20" i="11" s="1"/>
  <c r="E18" i="11"/>
  <c r="J3" i="11" s="1"/>
  <c r="M18" i="11"/>
  <c r="N18" i="11" s="1"/>
  <c r="J18" i="11"/>
  <c r="M17" i="11"/>
  <c r="N17" i="11" s="1"/>
  <c r="J17" i="11"/>
  <c r="E16" i="11"/>
  <c r="I3" i="11" s="1"/>
  <c r="M16" i="11"/>
  <c r="N16" i="11" s="1"/>
  <c r="J16" i="11"/>
  <c r="M15" i="11"/>
  <c r="N15" i="11" s="1"/>
  <c r="M14" i="11"/>
  <c r="N14" i="11" s="1"/>
  <c r="I9" i="11"/>
  <c r="E8" i="11"/>
  <c r="L2" i="11" s="1"/>
  <c r="N7" i="11"/>
  <c r="L7" i="11"/>
  <c r="D7" i="11"/>
  <c r="E7" i="11" s="1"/>
  <c r="N6" i="11"/>
  <c r="D6" i="11"/>
  <c r="E6" i="11" s="1"/>
  <c r="O5" i="11"/>
  <c r="N5" i="11"/>
  <c r="E5" i="11"/>
  <c r="N4" i="11"/>
  <c r="L4" i="11"/>
  <c r="N3" i="11"/>
  <c r="E3" i="11"/>
  <c r="I2" i="11" s="1"/>
  <c r="O2" i="11"/>
  <c r="N2" i="11"/>
  <c r="F21" i="11" l="1"/>
  <c r="D19" i="11"/>
  <c r="E19" i="11" s="1"/>
  <c r="M8" i="11"/>
  <c r="P8" i="11" s="1"/>
  <c r="K7" i="11"/>
  <c r="M7" i="11" s="1"/>
  <c r="P7" i="11" s="1"/>
  <c r="E88" i="11"/>
  <c r="E90" i="11" s="1"/>
  <c r="K4" i="11"/>
  <c r="M4" i="11" s="1"/>
  <c r="P4" i="11" s="1"/>
  <c r="J19" i="11"/>
  <c r="K6" i="11"/>
  <c r="N10" i="11"/>
  <c r="E21" i="11"/>
  <c r="K3" i="11" s="1"/>
  <c r="M3" i="11" s="1"/>
  <c r="P3" i="11" s="1"/>
  <c r="O10" i="11"/>
  <c r="K2" i="11"/>
  <c r="E78" i="11"/>
  <c r="K9" i="11"/>
  <c r="M9" i="11" s="1"/>
  <c r="P9" i="11" s="1"/>
  <c r="E9" i="11"/>
  <c r="E12" i="11" s="1"/>
  <c r="E46" i="11"/>
  <c r="E49" i="11" s="1"/>
  <c r="E58" i="11"/>
  <c r="E60" i="11" s="1"/>
  <c r="E69" i="11"/>
  <c r="E71" i="11" s="1"/>
  <c r="K5" i="11"/>
  <c r="M5" i="11" s="1"/>
  <c r="P5" i="11" s="1"/>
  <c r="E35" i="11"/>
  <c r="E37" i="11" s="1"/>
  <c r="J6" i="11"/>
  <c r="J2" i="11"/>
  <c r="M2" i="11" l="1"/>
  <c r="P2" i="11" s="1"/>
  <c r="E23" i="11"/>
  <c r="E25" i="11" s="1"/>
  <c r="M6" i="11"/>
  <c r="P6" i="11" s="1"/>
  <c r="P10" i="11" s="1"/>
  <c r="N11" i="11" s="1"/>
  <c r="D66" i="10" l="1"/>
  <c r="E66" i="10" s="1"/>
  <c r="D54" i="10"/>
  <c r="E54" i="10" s="1"/>
  <c r="N7" i="10"/>
  <c r="N5" i="10"/>
  <c r="N2" i="10"/>
  <c r="N3" i="10"/>
  <c r="D7" i="10"/>
  <c r="D68" i="10"/>
  <c r="E68" i="10" s="1"/>
  <c r="D67" i="10"/>
  <c r="E67" i="10" s="1"/>
  <c r="D55" i="10"/>
  <c r="E40" i="10"/>
  <c r="E52" i="10"/>
  <c r="I6" i="10" l="1"/>
  <c r="J17" i="10"/>
  <c r="J16" i="10"/>
  <c r="J15" i="10"/>
  <c r="J18" i="10" s="1"/>
  <c r="M18" i="10"/>
  <c r="M17" i="10"/>
  <c r="M16" i="10"/>
  <c r="M15" i="10"/>
  <c r="M14" i="10"/>
  <c r="M13" i="10"/>
  <c r="D78" i="10" l="1"/>
  <c r="E78" i="10" s="1"/>
  <c r="L7" i="10"/>
  <c r="E65" i="10"/>
  <c r="J7" i="10" s="1"/>
  <c r="E64" i="10"/>
  <c r="E57" i="10"/>
  <c r="L6" i="10" s="1"/>
  <c r="D56" i="10"/>
  <c r="E56" i="10" s="1"/>
  <c r="E55" i="10"/>
  <c r="E53" i="10"/>
  <c r="J6" i="10" s="1"/>
  <c r="E44" i="10"/>
  <c r="L5" i="10" s="1"/>
  <c r="D43" i="10"/>
  <c r="E43" i="10" s="1"/>
  <c r="D42" i="10"/>
  <c r="E42" i="10" s="1"/>
  <c r="E41" i="10"/>
  <c r="J5" i="10" s="1"/>
  <c r="I5" i="10"/>
  <c r="E33" i="10"/>
  <c r="L4" i="10" s="1"/>
  <c r="D32" i="10"/>
  <c r="E32" i="10" s="1"/>
  <c r="D31" i="10"/>
  <c r="E31" i="10" s="1"/>
  <c r="E30" i="10"/>
  <c r="J4" i="10" s="1"/>
  <c r="E28" i="10"/>
  <c r="N18" i="10"/>
  <c r="N17" i="10"/>
  <c r="N16" i="10"/>
  <c r="N15" i="10"/>
  <c r="E21" i="10"/>
  <c r="L3" i="10" s="1"/>
  <c r="N14" i="10"/>
  <c r="D20" i="10"/>
  <c r="N13" i="10"/>
  <c r="D19" i="10"/>
  <c r="E19" i="10" s="1"/>
  <c r="E18" i="10"/>
  <c r="J3" i="10" s="1"/>
  <c r="E16" i="10"/>
  <c r="I3" i="10" s="1"/>
  <c r="I8" i="10"/>
  <c r="E8" i="10"/>
  <c r="L2" i="10" s="1"/>
  <c r="E7" i="10"/>
  <c r="N6" i="10"/>
  <c r="D6" i="10"/>
  <c r="E6" i="10" s="1"/>
  <c r="O5" i="10"/>
  <c r="E5" i="10"/>
  <c r="J2" i="10" s="1"/>
  <c r="N4" i="10"/>
  <c r="E3" i="10"/>
  <c r="I2" i="10" s="1"/>
  <c r="O2" i="10"/>
  <c r="I7" i="10" l="1"/>
  <c r="E70" i="10"/>
  <c r="E72" i="10" s="1"/>
  <c r="E20" i="10"/>
  <c r="F21" i="10"/>
  <c r="K7" i="10"/>
  <c r="K3" i="10"/>
  <c r="M3" i="10" s="1"/>
  <c r="P3" i="10" s="1"/>
  <c r="N9" i="10"/>
  <c r="E58" i="10"/>
  <c r="E60" i="10" s="1"/>
  <c r="O9" i="10"/>
  <c r="K4" i="10"/>
  <c r="E22" i="10"/>
  <c r="E24" i="10" s="1"/>
  <c r="K5" i="10"/>
  <c r="M5" i="10" s="1"/>
  <c r="P5" i="10" s="1"/>
  <c r="E34" i="10"/>
  <c r="E36" i="10" s="1"/>
  <c r="E9" i="10"/>
  <c r="E12" i="10" s="1"/>
  <c r="K2" i="10"/>
  <c r="M2" i="10" s="1"/>
  <c r="P2" i="10" s="1"/>
  <c r="E45" i="10"/>
  <c r="E48" i="10" s="1"/>
  <c r="E79" i="10"/>
  <c r="K8" i="10"/>
  <c r="M8" i="10" s="1"/>
  <c r="P8" i="10" s="1"/>
  <c r="I4" i="10"/>
  <c r="K6" i="10"/>
  <c r="O2" i="9"/>
  <c r="M4" i="10" l="1"/>
  <c r="P4" i="10" s="1"/>
  <c r="M7" i="10"/>
  <c r="P7" i="10" s="1"/>
  <c r="M6" i="10"/>
  <c r="P6" i="10" s="1"/>
  <c r="D58" i="9"/>
  <c r="P9" i="10" l="1"/>
  <c r="N10" i="10" s="1"/>
  <c r="G54" i="9"/>
  <c r="G53" i="9"/>
  <c r="G52" i="9"/>
  <c r="G51" i="9"/>
  <c r="D69" i="9"/>
  <c r="E69" i="9" s="1"/>
  <c r="G69" i="9"/>
  <c r="G67" i="9"/>
  <c r="E58" i="9"/>
  <c r="D57" i="9"/>
  <c r="E57" i="9" s="1"/>
  <c r="D56" i="9"/>
  <c r="E56" i="9" s="1"/>
  <c r="D54" i="9"/>
  <c r="E54" i="9" s="1"/>
  <c r="C55" i="9"/>
  <c r="D42" i="9"/>
  <c r="E42" i="9" s="1"/>
  <c r="D31" i="9"/>
  <c r="E31" i="9" s="1"/>
  <c r="D7" i="9"/>
  <c r="E7" i="9" s="1"/>
  <c r="D19" i="9"/>
  <c r="E19" i="9" s="1"/>
  <c r="E68" i="9" l="1"/>
  <c r="E79" i="9" l="1"/>
  <c r="K8" i="9" s="1"/>
  <c r="D87" i="9"/>
  <c r="E87" i="9" s="1"/>
  <c r="E88" i="9" s="1"/>
  <c r="E78" i="9"/>
  <c r="E71" i="9"/>
  <c r="L7" i="9" s="1"/>
  <c r="D70" i="9"/>
  <c r="E67" i="9"/>
  <c r="J7" i="9" s="1"/>
  <c r="E66" i="9"/>
  <c r="I7" i="9" s="1"/>
  <c r="E59" i="9"/>
  <c r="L6" i="9" s="1"/>
  <c r="D55" i="9"/>
  <c r="E53" i="9"/>
  <c r="J6" i="9" s="1"/>
  <c r="E52" i="9"/>
  <c r="I6" i="9" s="1"/>
  <c r="E44" i="9"/>
  <c r="L5" i="9" s="1"/>
  <c r="D43" i="9"/>
  <c r="E43" i="9" s="1"/>
  <c r="K5" i="9" s="1"/>
  <c r="E41" i="9"/>
  <c r="J5" i="9" s="1"/>
  <c r="E40" i="9"/>
  <c r="I5" i="9" s="1"/>
  <c r="E33" i="9"/>
  <c r="L4" i="9" s="1"/>
  <c r="D32" i="9"/>
  <c r="E32" i="9" s="1"/>
  <c r="K4" i="9" s="1"/>
  <c r="E30" i="9"/>
  <c r="J4" i="9" s="1"/>
  <c r="E28" i="9"/>
  <c r="I4" i="9" s="1"/>
  <c r="N25" i="9"/>
  <c r="N24" i="9"/>
  <c r="N23" i="9"/>
  <c r="N22" i="9"/>
  <c r="N21" i="9"/>
  <c r="N20" i="9"/>
  <c r="N19" i="9"/>
  <c r="E21" i="9"/>
  <c r="L3" i="9" s="1"/>
  <c r="D20" i="9"/>
  <c r="E20" i="9" s="1"/>
  <c r="K3" i="9" s="1"/>
  <c r="E18" i="9"/>
  <c r="J3" i="9" s="1"/>
  <c r="J15" i="9"/>
  <c r="E16" i="9"/>
  <c r="I3" i="9" s="1"/>
  <c r="J14" i="9"/>
  <c r="J13" i="9"/>
  <c r="I9" i="9"/>
  <c r="N8" i="9"/>
  <c r="N7" i="9"/>
  <c r="E8" i="9"/>
  <c r="L2" i="9" s="1"/>
  <c r="N6" i="9"/>
  <c r="O5" i="9"/>
  <c r="D6" i="9"/>
  <c r="E6" i="9" s="1"/>
  <c r="K2" i="9" s="1"/>
  <c r="N4" i="9"/>
  <c r="E5" i="9"/>
  <c r="J2" i="9" s="1"/>
  <c r="E3" i="9"/>
  <c r="I2" i="9" s="1"/>
  <c r="N2" i="9"/>
  <c r="E70" i="9" l="1"/>
  <c r="E55" i="9"/>
  <c r="J16" i="9"/>
  <c r="E80" i="9"/>
  <c r="E82" i="9" s="1"/>
  <c r="I8" i="9"/>
  <c r="M8" i="9" s="1"/>
  <c r="P8" i="9" s="1"/>
  <c r="N10" i="9"/>
  <c r="O10" i="9"/>
  <c r="M4" i="9"/>
  <c r="P4" i="9" s="1"/>
  <c r="E34" i="9"/>
  <c r="E36" i="9" s="1"/>
  <c r="M2" i="9"/>
  <c r="P2" i="9" s="1"/>
  <c r="M5" i="9"/>
  <c r="P5" i="9" s="1"/>
  <c r="K9" i="9"/>
  <c r="M9" i="9" s="1"/>
  <c r="P9" i="9" s="1"/>
  <c r="E9" i="9"/>
  <c r="E12" i="9" s="1"/>
  <c r="M3" i="9"/>
  <c r="P3" i="9" s="1"/>
  <c r="E45" i="9"/>
  <c r="E48" i="9" s="1"/>
  <c r="E22" i="9"/>
  <c r="E24" i="9" s="1"/>
  <c r="K6" i="9" l="1"/>
  <c r="M6" i="9" s="1"/>
  <c r="P6" i="9" s="1"/>
  <c r="K7" i="9"/>
  <c r="M7" i="9" s="1"/>
  <c r="P7" i="9" s="1"/>
  <c r="E72" i="9"/>
  <c r="E74" i="9" s="1"/>
  <c r="E60" i="9"/>
  <c r="E62" i="9" s="1"/>
  <c r="E6" i="7"/>
  <c r="E18" i="7"/>
  <c r="E74" i="7"/>
  <c r="E52" i="7"/>
  <c r="E40" i="7"/>
  <c r="I6" i="7"/>
  <c r="I5" i="7"/>
  <c r="E72" i="7"/>
  <c r="I8" i="7" s="1"/>
  <c r="E61" i="7"/>
  <c r="I7" i="7" s="1"/>
  <c r="E50" i="7"/>
  <c r="E38" i="7"/>
  <c r="E27" i="7"/>
  <c r="I4" i="7" s="1"/>
  <c r="E16" i="7"/>
  <c r="I3" i="7" s="1"/>
  <c r="E4" i="7"/>
  <c r="I2" i="7" s="1"/>
  <c r="J14" i="7"/>
  <c r="P10" i="9" l="1"/>
  <c r="N11" i="9" s="1"/>
  <c r="N7" i="7"/>
  <c r="L9" i="7"/>
  <c r="L8" i="7"/>
  <c r="J30" i="4" l="1"/>
  <c r="J29" i="4"/>
  <c r="J30" i="5"/>
  <c r="J29" i="5"/>
  <c r="J31" i="5" s="1"/>
  <c r="I33" i="6"/>
  <c r="I34" i="6"/>
  <c r="J31" i="4" l="1"/>
  <c r="I35" i="6"/>
  <c r="J15" i="7" l="1"/>
  <c r="J13" i="7"/>
  <c r="D84" i="7"/>
  <c r="E84" i="7" s="1"/>
  <c r="E85" i="7" s="1"/>
  <c r="N8" i="7"/>
  <c r="E75" i="7"/>
  <c r="K8" i="7" s="1"/>
  <c r="D73" i="7"/>
  <c r="E73" i="7" s="1"/>
  <c r="E71" i="7"/>
  <c r="E64" i="7"/>
  <c r="K7" i="7" s="1"/>
  <c r="D62" i="7"/>
  <c r="E62" i="7" s="1"/>
  <c r="J7" i="7" s="1"/>
  <c r="E60" i="7"/>
  <c r="E53" i="7"/>
  <c r="K6" i="7" s="1"/>
  <c r="D51" i="7"/>
  <c r="E51" i="7" s="1"/>
  <c r="E49" i="7"/>
  <c r="E41" i="7"/>
  <c r="K5" i="7" s="1"/>
  <c r="D39" i="7"/>
  <c r="E39" i="7" s="1"/>
  <c r="J5" i="7" s="1"/>
  <c r="E37" i="7"/>
  <c r="E30" i="7"/>
  <c r="D28" i="7"/>
  <c r="E28" i="7" s="1"/>
  <c r="J4" i="7" s="1"/>
  <c r="E26" i="7"/>
  <c r="E19" i="7"/>
  <c r="K3" i="7" s="1"/>
  <c r="M25" i="7"/>
  <c r="D17" i="7"/>
  <c r="E17" i="7" s="1"/>
  <c r="J3" i="7" s="1"/>
  <c r="M24" i="7"/>
  <c r="E15" i="7"/>
  <c r="M23" i="7"/>
  <c r="M22" i="7"/>
  <c r="M21" i="7"/>
  <c r="M20" i="7"/>
  <c r="M19" i="7"/>
  <c r="H9" i="7"/>
  <c r="N6" i="7"/>
  <c r="O5" i="7"/>
  <c r="N4" i="7"/>
  <c r="E7" i="7"/>
  <c r="K2" i="7" s="1"/>
  <c r="D5" i="7"/>
  <c r="E5" i="7" s="1"/>
  <c r="J2" i="7" s="1"/>
  <c r="E3" i="7"/>
  <c r="O2" i="7"/>
  <c r="N2" i="7"/>
  <c r="E76" i="7" l="1"/>
  <c r="J16" i="7"/>
  <c r="H8" i="7"/>
  <c r="M8" i="7" s="1"/>
  <c r="E78" i="7"/>
  <c r="H7" i="7"/>
  <c r="L7" i="7"/>
  <c r="L5" i="7"/>
  <c r="H4" i="7"/>
  <c r="L4" i="7"/>
  <c r="M4" i="7" s="1"/>
  <c r="H3" i="7"/>
  <c r="L3" i="7"/>
  <c r="M3" i="7" s="1"/>
  <c r="H2" i="7"/>
  <c r="L2" i="7"/>
  <c r="H6" i="7"/>
  <c r="L6" i="7"/>
  <c r="M6" i="7" s="1"/>
  <c r="O10" i="7"/>
  <c r="H5" i="7"/>
  <c r="J6" i="7"/>
  <c r="K4" i="7"/>
  <c r="N10" i="7"/>
  <c r="J8" i="7"/>
  <c r="J9" i="7"/>
  <c r="M9" i="7" s="1"/>
  <c r="M2" i="7" l="1"/>
  <c r="P2" i="7" s="1"/>
  <c r="M5" i="7"/>
  <c r="M7" i="7"/>
  <c r="E65" i="7"/>
  <c r="E67" i="7" s="1"/>
  <c r="E54" i="7"/>
  <c r="E42" i="7"/>
  <c r="E45" i="7" s="1"/>
  <c r="E31" i="7"/>
  <c r="E33" i="7" s="1"/>
  <c r="E20" i="7"/>
  <c r="E22" i="7" s="1"/>
  <c r="E8" i="7"/>
  <c r="E11" i="7" s="1"/>
  <c r="P7" i="7"/>
  <c r="P8" i="7"/>
  <c r="E56" i="7"/>
  <c r="P5" i="7"/>
  <c r="P4" i="7"/>
  <c r="P3" i="7"/>
  <c r="P9" i="7"/>
  <c r="P6" i="7"/>
  <c r="P10" i="7" l="1"/>
  <c r="N11" i="7" s="1"/>
  <c r="E75" i="6"/>
  <c r="J9" i="6" s="1"/>
  <c r="K3" i="6" l="1"/>
  <c r="E23" i="3" l="1"/>
  <c r="E55" i="6"/>
  <c r="K7" i="6" s="1"/>
  <c r="C66" i="6" l="1"/>
  <c r="E66" i="6" s="1"/>
  <c r="K8" i="6" s="1"/>
  <c r="C17" i="1"/>
  <c r="D83" i="6" l="1"/>
  <c r="E83" i="6" s="1"/>
  <c r="E84" i="6" s="1"/>
  <c r="E77" i="6"/>
  <c r="D74" i="6"/>
  <c r="E74" i="6" s="1"/>
  <c r="E76" i="6" s="1"/>
  <c r="E78" i="6" s="1"/>
  <c r="E73" i="6"/>
  <c r="H9" i="6" s="1"/>
  <c r="E68" i="6"/>
  <c r="E65" i="6"/>
  <c r="J8" i="6" s="1"/>
  <c r="D64" i="6"/>
  <c r="E64" i="6" s="1"/>
  <c r="I8" i="6" s="1"/>
  <c r="E63" i="6"/>
  <c r="E56" i="6"/>
  <c r="D54" i="6"/>
  <c r="E54" i="6" s="1"/>
  <c r="I7" i="6" s="1"/>
  <c r="E53" i="6"/>
  <c r="E46" i="6"/>
  <c r="D45" i="6"/>
  <c r="E45" i="6" s="1"/>
  <c r="I6" i="6" s="1"/>
  <c r="E44" i="6"/>
  <c r="E37" i="6"/>
  <c r="J5" i="6" s="1"/>
  <c r="D36" i="6"/>
  <c r="E36" i="6" s="1"/>
  <c r="I5" i="6" s="1"/>
  <c r="E35" i="6"/>
  <c r="H5" i="6" s="1"/>
  <c r="L27" i="6"/>
  <c r="E28" i="6"/>
  <c r="J4" i="6" s="1"/>
  <c r="L26" i="6"/>
  <c r="D27" i="6"/>
  <c r="E27" i="6" s="1"/>
  <c r="I4" i="6" s="1"/>
  <c r="L25" i="6"/>
  <c r="E26" i="6"/>
  <c r="L24" i="6"/>
  <c r="L23" i="6"/>
  <c r="L22" i="6"/>
  <c r="L21" i="6"/>
  <c r="L20" i="6"/>
  <c r="E16" i="6"/>
  <c r="D14" i="6"/>
  <c r="E14" i="6" s="1"/>
  <c r="E13" i="6"/>
  <c r="H10" i="6"/>
  <c r="M9" i="6"/>
  <c r="M7" i="6"/>
  <c r="N6" i="6"/>
  <c r="J6" i="6"/>
  <c r="M5" i="6"/>
  <c r="E5" i="6"/>
  <c r="J2" i="6" s="1"/>
  <c r="D4" i="6"/>
  <c r="E4" i="6" s="1"/>
  <c r="N3" i="6"/>
  <c r="M3" i="6"/>
  <c r="J3" i="6"/>
  <c r="E3" i="6"/>
  <c r="H2" i="6" s="1"/>
  <c r="N2" i="6"/>
  <c r="M2" i="6"/>
  <c r="E19" i="6" l="1"/>
  <c r="E29" i="6"/>
  <c r="E31" i="6" s="1"/>
  <c r="E67" i="6"/>
  <c r="E69" i="6" s="1"/>
  <c r="J7" i="6"/>
  <c r="E57" i="6"/>
  <c r="E59" i="6" s="1"/>
  <c r="E22" i="6"/>
  <c r="E49" i="6"/>
  <c r="N11" i="6"/>
  <c r="H3" i="6"/>
  <c r="L3" i="6"/>
  <c r="O3" i="6" s="1"/>
  <c r="M11" i="6"/>
  <c r="E47" i="6"/>
  <c r="L5" i="6"/>
  <c r="O5" i="6" s="1"/>
  <c r="E38" i="6"/>
  <c r="E40" i="6"/>
  <c r="H4" i="6"/>
  <c r="L4" i="6" s="1"/>
  <c r="O4" i="6" s="1"/>
  <c r="I2" i="6"/>
  <c r="L2" i="6" s="1"/>
  <c r="O2" i="6" s="1"/>
  <c r="E9" i="6"/>
  <c r="E6" i="6"/>
  <c r="I9" i="6"/>
  <c r="L9" i="6" s="1"/>
  <c r="O9" i="6" s="1"/>
  <c r="H6" i="6"/>
  <c r="L6" i="6" s="1"/>
  <c r="O6" i="6" s="1"/>
  <c r="H7" i="6"/>
  <c r="L7" i="6" s="1"/>
  <c r="O7" i="6" s="1"/>
  <c r="H8" i="6"/>
  <c r="L8" i="6" s="1"/>
  <c r="O8" i="6" s="1"/>
  <c r="I10" i="6"/>
  <c r="L10" i="6" s="1"/>
  <c r="O10" i="6" s="1"/>
  <c r="O11" i="6" l="1"/>
  <c r="M12" i="6" s="1"/>
  <c r="D77" i="5"/>
  <c r="E77" i="5" s="1"/>
  <c r="E71" i="5"/>
  <c r="M9" i="5" s="1"/>
  <c r="D69" i="5"/>
  <c r="E69" i="5" s="1"/>
  <c r="E68" i="5"/>
  <c r="H9" i="5" s="1"/>
  <c r="E63" i="5"/>
  <c r="E61" i="5"/>
  <c r="D60" i="5"/>
  <c r="E60" i="5" s="1"/>
  <c r="E59" i="5"/>
  <c r="H8" i="5" s="1"/>
  <c r="E52" i="5"/>
  <c r="J7" i="5" s="1"/>
  <c r="D51" i="5"/>
  <c r="E51" i="5" s="1"/>
  <c r="E50" i="5"/>
  <c r="H7" i="5" s="1"/>
  <c r="E43" i="5"/>
  <c r="D42" i="5"/>
  <c r="E42" i="5" s="1"/>
  <c r="E41" i="5"/>
  <c r="H6" i="5" s="1"/>
  <c r="E34" i="5"/>
  <c r="D33" i="5"/>
  <c r="E33" i="5" s="1"/>
  <c r="I5" i="5" s="1"/>
  <c r="E32" i="5"/>
  <c r="L25" i="5"/>
  <c r="L24" i="5"/>
  <c r="L23" i="5"/>
  <c r="L22" i="5"/>
  <c r="E25" i="5"/>
  <c r="J4" i="5" s="1"/>
  <c r="L21" i="5"/>
  <c r="D24" i="5"/>
  <c r="E24" i="5" s="1"/>
  <c r="L20" i="5"/>
  <c r="E23" i="5"/>
  <c r="L19" i="5"/>
  <c r="L18" i="5"/>
  <c r="E15" i="5"/>
  <c r="J3" i="5" s="1"/>
  <c r="D14" i="5"/>
  <c r="E14" i="5" s="1"/>
  <c r="E13" i="5"/>
  <c r="H10" i="5"/>
  <c r="M7" i="5"/>
  <c r="N6" i="5"/>
  <c r="M5" i="5"/>
  <c r="E5" i="5"/>
  <c r="J2" i="5" s="1"/>
  <c r="D4" i="5"/>
  <c r="E4" i="5" s="1"/>
  <c r="I2" i="5" s="1"/>
  <c r="N3" i="5"/>
  <c r="M3" i="5"/>
  <c r="E3" i="5"/>
  <c r="N2" i="5"/>
  <c r="M2" i="5"/>
  <c r="E70" i="5" l="1"/>
  <c r="E62" i="5"/>
  <c r="E53" i="5"/>
  <c r="J8" i="5"/>
  <c r="E44" i="5"/>
  <c r="J6" i="5"/>
  <c r="J5" i="5"/>
  <c r="E35" i="5"/>
  <c r="E16" i="5"/>
  <c r="E26" i="5"/>
  <c r="H3" i="5"/>
  <c r="H2" i="5"/>
  <c r="E6" i="5"/>
  <c r="H4" i="5"/>
  <c r="E28" i="5"/>
  <c r="H5" i="5"/>
  <c r="E37" i="5"/>
  <c r="N11" i="5"/>
  <c r="E46" i="5"/>
  <c r="I6" i="5"/>
  <c r="M11" i="5"/>
  <c r="E9" i="5"/>
  <c r="I7" i="5"/>
  <c r="E55" i="5"/>
  <c r="E19" i="5"/>
  <c r="I3" i="5"/>
  <c r="I4" i="5"/>
  <c r="E72" i="5"/>
  <c r="I9" i="5"/>
  <c r="L9" i="5" s="1"/>
  <c r="O9" i="5" s="1"/>
  <c r="L2" i="5"/>
  <c r="O2" i="5" s="1"/>
  <c r="E64" i="5"/>
  <c r="I8" i="5"/>
  <c r="E78" i="5"/>
  <c r="I10" i="5"/>
  <c r="L10" i="5" s="1"/>
  <c r="O10" i="5" s="1"/>
  <c r="E25" i="4"/>
  <c r="L8" i="5" l="1"/>
  <c r="O8" i="5" s="1"/>
  <c r="L7" i="5"/>
  <c r="O7" i="5" s="1"/>
  <c r="L5" i="5"/>
  <c r="O5" i="5" s="1"/>
  <c r="L6" i="5"/>
  <c r="O6" i="5" s="1"/>
  <c r="L3" i="5"/>
  <c r="O3" i="5" s="1"/>
  <c r="L4" i="5"/>
  <c r="O4" i="5" s="1"/>
  <c r="P4" i="4"/>
  <c r="E32" i="4"/>
  <c r="K7" i="4" s="1"/>
  <c r="F34" i="3"/>
  <c r="G34" i="3" s="1"/>
  <c r="O11" i="5" l="1"/>
  <c r="M12" i="5" s="1"/>
  <c r="D72" i="4"/>
  <c r="E100" i="4" l="1"/>
  <c r="E99" i="4"/>
  <c r="E98" i="4"/>
  <c r="E97" i="4"/>
  <c r="D96" i="4"/>
  <c r="E96" i="4" s="1"/>
  <c r="E95" i="4"/>
  <c r="E78" i="4"/>
  <c r="E77" i="4"/>
  <c r="J12" i="4" s="1"/>
  <c r="N12" i="4" s="1"/>
  <c r="Q12" i="4" s="1"/>
  <c r="E72" i="4"/>
  <c r="E66" i="4"/>
  <c r="O11" i="4" s="1"/>
  <c r="D65" i="4"/>
  <c r="E65" i="4" s="1"/>
  <c r="E64" i="4"/>
  <c r="E59" i="4"/>
  <c r="E58" i="4"/>
  <c r="L10" i="4" s="1"/>
  <c r="D57" i="4"/>
  <c r="E57" i="4" s="1"/>
  <c r="K10" i="4" s="1"/>
  <c r="E56" i="4"/>
  <c r="O9" i="4"/>
  <c r="E50" i="4"/>
  <c r="D49" i="4"/>
  <c r="E49" i="4" s="1"/>
  <c r="K9" i="4" s="1"/>
  <c r="E48" i="4"/>
  <c r="E42" i="4"/>
  <c r="L8" i="4" s="1"/>
  <c r="D41" i="4"/>
  <c r="E41" i="4" s="1"/>
  <c r="E40" i="4"/>
  <c r="O7" i="4"/>
  <c r="E34" i="4"/>
  <c r="L7" i="4" s="1"/>
  <c r="D33" i="4"/>
  <c r="E33" i="4" s="1"/>
  <c r="E31" i="4"/>
  <c r="N28" i="4"/>
  <c r="N27" i="4"/>
  <c r="N26" i="4"/>
  <c r="E24" i="4"/>
  <c r="L6" i="4" s="1"/>
  <c r="N25" i="4"/>
  <c r="N24" i="4"/>
  <c r="D23" i="4"/>
  <c r="E23" i="4" s="1"/>
  <c r="N23" i="4"/>
  <c r="E22" i="4"/>
  <c r="N22" i="4"/>
  <c r="N21" i="4"/>
  <c r="E15" i="4"/>
  <c r="L5" i="4" s="1"/>
  <c r="D14" i="4"/>
  <c r="E14" i="4" s="1"/>
  <c r="K5" i="4" s="1"/>
  <c r="E13" i="4"/>
  <c r="J5" i="4" s="1"/>
  <c r="J13" i="4"/>
  <c r="P8" i="4"/>
  <c r="O4" i="4"/>
  <c r="E6" i="4"/>
  <c r="L4" i="4" s="1"/>
  <c r="D5" i="4"/>
  <c r="E5" i="4" s="1"/>
  <c r="P5" i="4"/>
  <c r="O5" i="4"/>
  <c r="E4" i="4"/>
  <c r="J4" i="4" s="1"/>
  <c r="M4" i="3"/>
  <c r="M6" i="3"/>
  <c r="M3" i="3"/>
  <c r="L20" i="3"/>
  <c r="L21" i="3"/>
  <c r="L22" i="3"/>
  <c r="L23" i="3"/>
  <c r="L24" i="3"/>
  <c r="L25" i="3"/>
  <c r="L26" i="3"/>
  <c r="L19" i="3"/>
  <c r="G32" i="3"/>
  <c r="L9" i="4" l="1"/>
  <c r="E52" i="4"/>
  <c r="E27" i="4"/>
  <c r="J8" i="4"/>
  <c r="E44" i="4"/>
  <c r="J11" i="4"/>
  <c r="E67" i="4"/>
  <c r="E36" i="4"/>
  <c r="J6" i="4"/>
  <c r="J7" i="4"/>
  <c r="N7" i="4" s="1"/>
  <c r="Q7" i="4" s="1"/>
  <c r="J9" i="4"/>
  <c r="E79" i="4"/>
  <c r="P14" i="4"/>
  <c r="N5" i="4"/>
  <c r="Q5" i="4" s="1"/>
  <c r="E18" i="4"/>
  <c r="K8" i="4"/>
  <c r="K11" i="4"/>
  <c r="K6" i="4"/>
  <c r="K13" i="4"/>
  <c r="N13" i="4" s="1"/>
  <c r="Q13" i="4" s="1"/>
  <c r="E73" i="4"/>
  <c r="O14" i="4"/>
  <c r="K4" i="4"/>
  <c r="N4" i="4" s="1"/>
  <c r="Q4" i="4" s="1"/>
  <c r="E9" i="4"/>
  <c r="E60" i="4"/>
  <c r="E101" i="4"/>
  <c r="E104" i="4" s="1"/>
  <c r="J10" i="4"/>
  <c r="N10" i="4" s="1"/>
  <c r="Q10" i="4" s="1"/>
  <c r="N6" i="4" l="1"/>
  <c r="Q6" i="4" s="1"/>
  <c r="N9" i="4"/>
  <c r="Q9" i="4" s="1"/>
  <c r="N11" i="4"/>
  <c r="Q11" i="4" s="1"/>
  <c r="N8" i="4"/>
  <c r="Q8" i="4" s="1"/>
  <c r="Q14" i="4" l="1"/>
  <c r="O15" i="4" s="1"/>
  <c r="E55" i="3"/>
  <c r="M64" i="3"/>
  <c r="L64" i="3"/>
  <c r="N64" i="3" s="1"/>
  <c r="M58" i="3"/>
  <c r="L58" i="3"/>
  <c r="M48" i="3"/>
  <c r="L46" i="3"/>
  <c r="L48" i="3" s="1"/>
  <c r="K4" i="3"/>
  <c r="N48" i="3" l="1"/>
  <c r="N58" i="3"/>
  <c r="E104" i="3"/>
  <c r="E103" i="3"/>
  <c r="E102" i="3"/>
  <c r="E101" i="3"/>
  <c r="D100" i="3"/>
  <c r="E100" i="3" s="1"/>
  <c r="E99" i="3"/>
  <c r="E105" i="3" l="1"/>
  <c r="E108" i="3" s="1"/>
  <c r="E35" i="3" l="1"/>
  <c r="K5" i="3" s="1"/>
  <c r="E54" i="3"/>
  <c r="M7" i="3" s="1"/>
  <c r="G44" i="2"/>
  <c r="E82" i="3" l="1"/>
  <c r="E81" i="3"/>
  <c r="E83" i="3" s="1"/>
  <c r="D76" i="3"/>
  <c r="E76" i="3" s="1"/>
  <c r="E70" i="3"/>
  <c r="M9" i="3" s="1"/>
  <c r="D69" i="3"/>
  <c r="E69" i="3" s="1"/>
  <c r="I9" i="3" s="1"/>
  <c r="E68" i="3"/>
  <c r="E63" i="3"/>
  <c r="E62" i="3"/>
  <c r="J8" i="3" s="1"/>
  <c r="D61" i="3"/>
  <c r="E61" i="3" s="1"/>
  <c r="I8" i="3" s="1"/>
  <c r="E60" i="3"/>
  <c r="H8" i="3" s="1"/>
  <c r="L8" i="3" s="1"/>
  <c r="O8" i="3" s="1"/>
  <c r="E53" i="3"/>
  <c r="J7" i="3" s="1"/>
  <c r="D52" i="3"/>
  <c r="E52" i="3" s="1"/>
  <c r="I7" i="3" s="1"/>
  <c r="E51" i="3"/>
  <c r="N6" i="3"/>
  <c r="E44" i="3"/>
  <c r="D43" i="3"/>
  <c r="E43" i="3" s="1"/>
  <c r="I6" i="3" s="1"/>
  <c r="E42" i="3"/>
  <c r="E37" i="3"/>
  <c r="M5" i="3" s="1"/>
  <c r="E36" i="3"/>
  <c r="J5" i="3" s="1"/>
  <c r="E34" i="3"/>
  <c r="D33" i="3"/>
  <c r="E33" i="3" s="1"/>
  <c r="I5" i="3" s="1"/>
  <c r="E32" i="3"/>
  <c r="H5" i="3" s="1"/>
  <c r="L5" i="3" s="1"/>
  <c r="E24" i="3"/>
  <c r="J4" i="3" s="1"/>
  <c r="D22" i="3"/>
  <c r="E22" i="3" s="1"/>
  <c r="I4" i="3" s="1"/>
  <c r="E21" i="3"/>
  <c r="N3" i="3"/>
  <c r="E14" i="3"/>
  <c r="J3" i="3" s="1"/>
  <c r="D13" i="3"/>
  <c r="E13" i="3" s="1"/>
  <c r="I3" i="3" s="1"/>
  <c r="E12" i="3"/>
  <c r="H3" i="3" s="1"/>
  <c r="H11" i="3"/>
  <c r="N2" i="3"/>
  <c r="E6" i="3"/>
  <c r="M2" i="3" s="1"/>
  <c r="E5" i="3"/>
  <c r="J2" i="3" s="1"/>
  <c r="D4" i="3"/>
  <c r="E4" i="3" s="1"/>
  <c r="I2" i="3" s="1"/>
  <c r="E3" i="3"/>
  <c r="H2" i="3" s="1"/>
  <c r="E81" i="2"/>
  <c r="O5" i="3" l="1"/>
  <c r="M12" i="3"/>
  <c r="N12" i="3"/>
  <c r="F28" i="3"/>
  <c r="H4" i="3"/>
  <c r="L4" i="3" s="1"/>
  <c r="O4" i="3" s="1"/>
  <c r="H7" i="3"/>
  <c r="E56" i="3"/>
  <c r="L2" i="3"/>
  <c r="O2" i="3" s="1"/>
  <c r="L3" i="3"/>
  <c r="O3" i="3" s="1"/>
  <c r="H6" i="3"/>
  <c r="E47" i="3"/>
  <c r="E28" i="3"/>
  <c r="E17" i="3"/>
  <c r="E8" i="3"/>
  <c r="E71" i="3"/>
  <c r="E77" i="3"/>
  <c r="I11" i="3"/>
  <c r="L11" i="3" s="1"/>
  <c r="O11" i="3" s="1"/>
  <c r="E64" i="3"/>
  <c r="J6" i="3"/>
  <c r="E38" i="3"/>
  <c r="H10" i="3"/>
  <c r="L10" i="3" s="1"/>
  <c r="O10" i="3" s="1"/>
  <c r="H9" i="3"/>
  <c r="L9" i="3" s="1"/>
  <c r="O9" i="3" s="1"/>
  <c r="H11" i="2"/>
  <c r="E97" i="2"/>
  <c r="H10" i="2" s="1"/>
  <c r="E99" i="2"/>
  <c r="E98" i="2"/>
  <c r="D89" i="2"/>
  <c r="E89" i="2" s="1"/>
  <c r="D88" i="2"/>
  <c r="L7" i="3" l="1"/>
  <c r="O7" i="3"/>
  <c r="L6" i="3"/>
  <c r="O6" i="3"/>
  <c r="O12" i="3"/>
  <c r="M13" i="3" s="1"/>
  <c r="P10" i="2"/>
  <c r="M10" i="2"/>
  <c r="E100" i="2"/>
  <c r="E92" i="2"/>
  <c r="N11" i="2" s="1"/>
  <c r="E91" i="2"/>
  <c r="J11" i="2" s="1"/>
  <c r="E90" i="2"/>
  <c r="L11" i="2" s="1"/>
  <c r="E88" i="2"/>
  <c r="C77" i="2"/>
  <c r="E77" i="2" s="1"/>
  <c r="H9" i="2" s="1"/>
  <c r="E82" i="2"/>
  <c r="N9" i="2" s="1"/>
  <c r="E80" i="2"/>
  <c r="L9" i="2" s="1"/>
  <c r="E79" i="2"/>
  <c r="K9" i="2" s="1"/>
  <c r="D78" i="2"/>
  <c r="E78" i="2" s="1"/>
  <c r="I11" i="2" l="1"/>
  <c r="P11" i="2" s="1"/>
  <c r="E93" i="2"/>
  <c r="M11" i="2" l="1"/>
  <c r="E48" i="2"/>
  <c r="E50" i="2" l="1"/>
  <c r="E52" i="2"/>
  <c r="E51" i="2"/>
  <c r="O6" i="2" s="1"/>
  <c r="C49" i="2" l="1"/>
  <c r="D4" i="2" l="1"/>
  <c r="E4" i="2" s="1"/>
  <c r="E72" i="2"/>
  <c r="N8" i="2" s="1"/>
  <c r="E71" i="2"/>
  <c r="E70" i="2"/>
  <c r="L8" i="2" s="1"/>
  <c r="D68" i="2"/>
  <c r="E68" i="2" s="1"/>
  <c r="I8" i="2" s="1"/>
  <c r="E67" i="2"/>
  <c r="H8" i="2" s="1"/>
  <c r="E62" i="2"/>
  <c r="E61" i="2"/>
  <c r="J7" i="2" s="1"/>
  <c r="E60" i="2"/>
  <c r="L7" i="2" s="1"/>
  <c r="E59" i="2"/>
  <c r="K7" i="2" s="1"/>
  <c r="D58" i="2"/>
  <c r="E58" i="2" s="1"/>
  <c r="I7" i="2" s="1"/>
  <c r="E57" i="2"/>
  <c r="H7" i="2" s="1"/>
  <c r="N6" i="2"/>
  <c r="E49" i="2"/>
  <c r="J6" i="2" s="1"/>
  <c r="E47" i="2"/>
  <c r="K6" i="2" s="1"/>
  <c r="D46" i="2"/>
  <c r="E46" i="2" s="1"/>
  <c r="I6" i="2" s="1"/>
  <c r="E45" i="2"/>
  <c r="E40" i="2"/>
  <c r="N5" i="2" s="1"/>
  <c r="E39" i="2"/>
  <c r="J5" i="2" s="1"/>
  <c r="E38" i="2"/>
  <c r="L5" i="2" s="1"/>
  <c r="D36" i="2"/>
  <c r="E36" i="2" s="1"/>
  <c r="I5" i="2" s="1"/>
  <c r="E35" i="2"/>
  <c r="E37" i="2" s="1"/>
  <c r="K5" i="2" s="1"/>
  <c r="E30" i="2"/>
  <c r="N4" i="2" s="1"/>
  <c r="E29" i="2"/>
  <c r="J4" i="2" s="1"/>
  <c r="E28" i="2"/>
  <c r="L4" i="2" s="1"/>
  <c r="D26" i="2"/>
  <c r="E26" i="2" s="1"/>
  <c r="I4" i="2" s="1"/>
  <c r="E25" i="2"/>
  <c r="E27" i="2" s="1"/>
  <c r="K4" i="2" s="1"/>
  <c r="E20" i="2"/>
  <c r="O3" i="2" s="1"/>
  <c r="E19" i="2"/>
  <c r="E18" i="2"/>
  <c r="J3" i="2" s="1"/>
  <c r="E17" i="2"/>
  <c r="L3" i="2" s="1"/>
  <c r="D15" i="2"/>
  <c r="E15" i="2" s="1"/>
  <c r="E14" i="2"/>
  <c r="E16" i="2" s="1"/>
  <c r="K3" i="2" s="1"/>
  <c r="E9" i="2"/>
  <c r="O2" i="2" s="1"/>
  <c r="O12" i="2" s="1"/>
  <c r="E8" i="2"/>
  <c r="N2" i="2" s="1"/>
  <c r="E7" i="2"/>
  <c r="J2" i="2" s="1"/>
  <c r="E6" i="2"/>
  <c r="L2" i="2" s="1"/>
  <c r="E3" i="2"/>
  <c r="E5" i="2" s="1"/>
  <c r="K2" i="2" s="1"/>
  <c r="M7" i="2" l="1"/>
  <c r="J8" i="2"/>
  <c r="P7" i="2"/>
  <c r="E53" i="2"/>
  <c r="L6" i="2"/>
  <c r="N3" i="2"/>
  <c r="N12" i="2" s="1"/>
  <c r="E21" i="2"/>
  <c r="H6" i="2"/>
  <c r="H3" i="2"/>
  <c r="H2" i="2"/>
  <c r="E10" i="2"/>
  <c r="I2" i="2"/>
  <c r="E31" i="2"/>
  <c r="I3" i="2"/>
  <c r="E63" i="2"/>
  <c r="H4" i="2"/>
  <c r="E69" i="2"/>
  <c r="K8" i="2" s="1"/>
  <c r="E41" i="2"/>
  <c r="H5" i="2"/>
  <c r="M3" i="2" l="1"/>
  <c r="M8" i="2"/>
  <c r="P4" i="2"/>
  <c r="M4" i="2"/>
  <c r="M2" i="2"/>
  <c r="M6" i="2"/>
  <c r="P5" i="2"/>
  <c r="M5" i="2"/>
  <c r="P8" i="2"/>
  <c r="P6" i="2"/>
  <c r="P3" i="2"/>
  <c r="P2" i="2"/>
  <c r="E73" i="2"/>
  <c r="E20" i="1" l="1"/>
  <c r="N3" i="1" s="1"/>
  <c r="E9" i="1"/>
  <c r="N2" i="1" s="1"/>
  <c r="N9" i="1" s="1"/>
  <c r="E51" i="1"/>
  <c r="N6" i="1" s="1"/>
  <c r="E71" i="1" l="1"/>
  <c r="M8" i="1" s="1"/>
  <c r="E70" i="1"/>
  <c r="J8" i="1" s="1"/>
  <c r="E69" i="1"/>
  <c r="L8" i="1" s="1"/>
  <c r="D67" i="1"/>
  <c r="E67" i="1" s="1"/>
  <c r="I8" i="1" s="1"/>
  <c r="E66" i="1"/>
  <c r="E40" i="1"/>
  <c r="M5" i="1" s="1"/>
  <c r="E39" i="1"/>
  <c r="J5" i="1" s="1"/>
  <c r="E38" i="1"/>
  <c r="L5" i="1" s="1"/>
  <c r="D36" i="1"/>
  <c r="E36" i="1" s="1"/>
  <c r="I5" i="1" s="1"/>
  <c r="E35" i="1"/>
  <c r="E30" i="1"/>
  <c r="M4" i="1" s="1"/>
  <c r="E29" i="1"/>
  <c r="J4" i="1" s="1"/>
  <c r="E28" i="1"/>
  <c r="L4" i="1" s="1"/>
  <c r="D26" i="1"/>
  <c r="E26" i="1" s="1"/>
  <c r="I4" i="1" s="1"/>
  <c r="E25" i="1"/>
  <c r="C6" i="1"/>
  <c r="E6" i="1" s="1"/>
  <c r="L2" i="1" s="1"/>
  <c r="E17" i="1"/>
  <c r="L3" i="1" s="1"/>
  <c r="E59" i="1"/>
  <c r="L7" i="1" s="1"/>
  <c r="D4" i="1"/>
  <c r="E4" i="1" s="1"/>
  <c r="I2" i="1" s="1"/>
  <c r="E61" i="1"/>
  <c r="M7" i="1" s="1"/>
  <c r="E60" i="1"/>
  <c r="J7" i="1" s="1"/>
  <c r="E58" i="1"/>
  <c r="K7" i="1" s="1"/>
  <c r="D57" i="1"/>
  <c r="E57" i="1" s="1"/>
  <c r="I7" i="1" s="1"/>
  <c r="E56" i="1"/>
  <c r="H7" i="1" s="1"/>
  <c r="E50" i="1"/>
  <c r="M6" i="1" s="1"/>
  <c r="E49" i="1"/>
  <c r="J6" i="1" s="1"/>
  <c r="E48" i="1"/>
  <c r="L6" i="1" s="1"/>
  <c r="D46" i="1"/>
  <c r="E46" i="1" s="1"/>
  <c r="I6" i="1" s="1"/>
  <c r="E45" i="1"/>
  <c r="H6" i="1" s="1"/>
  <c r="D15" i="1"/>
  <c r="E15" i="1" s="1"/>
  <c r="I3" i="1" s="1"/>
  <c r="E19" i="1"/>
  <c r="M3" i="1" s="1"/>
  <c r="E18" i="1"/>
  <c r="J3" i="1" s="1"/>
  <c r="E14" i="1"/>
  <c r="H3" i="1" s="1"/>
  <c r="E7" i="1"/>
  <c r="J2" i="1" s="1"/>
  <c r="E8" i="1"/>
  <c r="M2" i="1" s="1"/>
  <c r="E3" i="1"/>
  <c r="H2" i="1" s="1"/>
  <c r="M9" i="1" l="1"/>
  <c r="O7" i="1"/>
  <c r="P7" i="1" s="1"/>
  <c r="C37" i="1"/>
  <c r="H5" i="1"/>
  <c r="C27" i="1"/>
  <c r="E27" i="1" s="1"/>
  <c r="K4" i="1" s="1"/>
  <c r="H4" i="1"/>
  <c r="O4" i="1" s="1"/>
  <c r="P4" i="1" s="1"/>
  <c r="C68" i="1"/>
  <c r="E68" i="1" s="1"/>
  <c r="H8" i="1"/>
  <c r="C16" i="1"/>
  <c r="E16" i="1" s="1"/>
  <c r="C5" i="1"/>
  <c r="E5" i="1" s="1"/>
  <c r="E47" i="1"/>
  <c r="K6" i="1" s="1"/>
  <c r="O6" i="1" s="1"/>
  <c r="P6" i="1" s="1"/>
  <c r="E52" i="1"/>
  <c r="E37" i="1"/>
  <c r="E31" i="1"/>
  <c r="E62" i="1"/>
  <c r="E41" i="1" l="1"/>
  <c r="K5" i="1"/>
  <c r="E21" i="1"/>
  <c r="K3" i="1"/>
  <c r="O3" i="1" s="1"/>
  <c r="P3" i="1" s="1"/>
  <c r="O5" i="1"/>
  <c r="P5" i="1" s="1"/>
  <c r="E72" i="1"/>
  <c r="K8" i="1"/>
  <c r="O8" i="1" s="1"/>
  <c r="P8" i="1" s="1"/>
  <c r="E10" i="1"/>
  <c r="K2" i="1"/>
  <c r="O2" i="1" s="1"/>
  <c r="E83" i="2"/>
  <c r="I9" i="2"/>
  <c r="M9" i="2" s="1"/>
  <c r="M12" i="2" s="1"/>
  <c r="P2" i="1" l="1"/>
  <c r="O9" i="1"/>
  <c r="P9" i="1" s="1"/>
  <c r="P9" i="2"/>
  <c r="P12" i="2" s="1"/>
  <c r="N13" i="2" s="1"/>
  <c r="E7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TESLA</author>
  </authors>
  <commentList>
    <comment ref="I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HS EXTRAS Y VIATICOS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TESLA</author>
  </authors>
  <commentList>
    <comment ref="K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HS EXTRAS Y VIATICOS</t>
        </r>
      </text>
    </comment>
  </commentList>
</comments>
</file>

<file path=xl/sharedStrings.xml><?xml version="1.0" encoding="utf-8"?>
<sst xmlns="http://schemas.openxmlformats.org/spreadsheetml/2006/main" count="14534" uniqueCount="1368">
  <si>
    <t>JUANI</t>
  </si>
  <si>
    <t>AGUINALDO</t>
  </si>
  <si>
    <t>VACACIONES</t>
  </si>
  <si>
    <t>SUELDO</t>
  </si>
  <si>
    <t>VALOR / HORA</t>
  </si>
  <si>
    <t>EXTRA</t>
  </si>
  <si>
    <t>NO REMUNERATIVO</t>
  </si>
  <si>
    <t>DETALLE</t>
  </si>
  <si>
    <t>HS TRABAJADAS</t>
  </si>
  <si>
    <t>IMPORTE</t>
  </si>
  <si>
    <t>PILU</t>
  </si>
  <si>
    <t>TOTAL A COBRAR</t>
  </si>
  <si>
    <t>(ADELANTO)</t>
  </si>
  <si>
    <t>JAVI</t>
  </si>
  <si>
    <t>YONA</t>
  </si>
  <si>
    <t>FACU</t>
  </si>
  <si>
    <t>CHACO</t>
  </si>
  <si>
    <t>MATI</t>
  </si>
  <si>
    <t>DEPOSITO</t>
  </si>
  <si>
    <t>ADELANTO</t>
  </si>
  <si>
    <t>EMPLEADO</t>
  </si>
  <si>
    <t>HORAS TRABAJADAS</t>
  </si>
  <si>
    <t>HORAS EXTRAS</t>
  </si>
  <si>
    <t>EFVO</t>
  </si>
  <si>
    <t>TOTALES</t>
  </si>
  <si>
    <t>EMPLEADOS</t>
  </si>
  <si>
    <t>ARCHIVO</t>
  </si>
  <si>
    <t>DEFINIR AREA DE IMPRESIÓN</t>
  </si>
  <si>
    <t>JONA</t>
  </si>
  <si>
    <t>HORA</t>
  </si>
  <si>
    <t>HORA X</t>
  </si>
  <si>
    <t>SOBRESUELDO</t>
  </si>
  <si>
    <t>NO REM.</t>
  </si>
  <si>
    <t>MARTIN MOLINA</t>
  </si>
  <si>
    <t>3000 X DIA</t>
  </si>
  <si>
    <t>GUILLERMO</t>
  </si>
  <si>
    <t>proximo mes se pasan 5000 al sueldo para influir en hs extras</t>
  </si>
  <si>
    <t>VACACIONES DIF</t>
  </si>
  <si>
    <t>DEPOSITO VACACIONES</t>
  </si>
  <si>
    <t>SILVINA</t>
  </si>
  <si>
    <t>DIAS EXTRAS DIC</t>
  </si>
  <si>
    <t>MARTIN</t>
  </si>
  <si>
    <t>SILVI</t>
  </si>
  <si>
    <t>NO REMUN.</t>
  </si>
  <si>
    <t>HS EXTRAS</t>
  </si>
  <si>
    <t>11 dias</t>
  </si>
  <si>
    <t>GUILLE</t>
  </si>
  <si>
    <t>epec</t>
  </si>
  <si>
    <t>cable</t>
  </si>
  <si>
    <t>viaticos</t>
  </si>
  <si>
    <t xml:space="preserve">ADELANTO </t>
  </si>
  <si>
    <t>GERARDO</t>
  </si>
  <si>
    <t>COMBUSTIBLE</t>
  </si>
  <si>
    <t>SEGUROS</t>
  </si>
  <si>
    <t>CRISTIAN</t>
  </si>
  <si>
    <t>SEGURO MOTO</t>
  </si>
  <si>
    <t>SEGURO GOL</t>
  </si>
  <si>
    <t>PARABRISA</t>
  </si>
  <si>
    <t>ALINEADO 50%</t>
  </si>
  <si>
    <t>DETALLE DE GASTOS ENERO</t>
  </si>
  <si>
    <t>VACACIONES abonadas</t>
  </si>
  <si>
    <t xml:space="preserve"> FEBRERO 174 HS</t>
  </si>
  <si>
    <t>VACACIONES 7 DIAS</t>
  </si>
  <si>
    <t xml:space="preserve"> </t>
  </si>
  <si>
    <t>total pagado febrero</t>
  </si>
  <si>
    <t xml:space="preserve">REPARACION </t>
  </si>
  <si>
    <t>DIF. ADELANTO</t>
  </si>
  <si>
    <t>epec ENERO</t>
  </si>
  <si>
    <t>DETALLE DE GASTOS ENERO / FEBRERO</t>
  </si>
  <si>
    <t>MONOT FACU</t>
  </si>
  <si>
    <t>MONOT GERA</t>
  </si>
  <si>
    <t>FEB/MAR</t>
  </si>
  <si>
    <t>AUTON. CRISTIAN</t>
  </si>
  <si>
    <t>AUTON GUILLE</t>
  </si>
  <si>
    <t>A TRANSFERIR</t>
  </si>
  <si>
    <t>FEBRERO</t>
  </si>
  <si>
    <t>MARZO</t>
  </si>
  <si>
    <t>cable ENERO</t>
  </si>
  <si>
    <t>cable FEBRERO</t>
  </si>
  <si>
    <t>SEGURO CLIO</t>
  </si>
  <si>
    <t>DEVOLVER</t>
  </si>
  <si>
    <t>AUMENTO DE HORA 20 %</t>
  </si>
  <si>
    <t>VACACIONES (Pagado)</t>
  </si>
  <si>
    <t>viaticos febrero</t>
  </si>
  <si>
    <t>A CUENTA VIATICOS</t>
  </si>
  <si>
    <t>VACACIONES PAGAS ENERO</t>
  </si>
  <si>
    <t>FABIAN</t>
  </si>
  <si>
    <t xml:space="preserve">FALTA PAGO DE VACACIONES </t>
  </si>
  <si>
    <t>ERROR DE ENERO</t>
  </si>
  <si>
    <t>un dia menos + feriado</t>
  </si>
  <si>
    <t xml:space="preserve">PAGADO  PPIO MES           SE DEBE EL 20% </t>
  </si>
  <si>
    <t>marzo 194 HS</t>
  </si>
  <si>
    <t>FEBRERO 53 HS PAGADAS</t>
  </si>
  <si>
    <t>DIFERENCIA AUMENTO FEB</t>
  </si>
  <si>
    <r>
      <t xml:space="preserve">VIATICOS DEL </t>
    </r>
    <r>
      <rPr>
        <sz val="9"/>
        <color theme="1"/>
        <rFont val="Calibri"/>
        <family val="2"/>
        <scheme val="minor"/>
      </rPr>
      <t>29/03 AL 01/04</t>
    </r>
  </si>
  <si>
    <t>AUMENTO 5000</t>
  </si>
  <si>
    <t>FALTA FERIADO DE MARZO</t>
  </si>
  <si>
    <t xml:space="preserve">PAGADO}          SE DEBE EL 20% </t>
  </si>
  <si>
    <t>FALTAN 59 HS. (7,5 DIAS)</t>
  </si>
  <si>
    <t>TOTAL SUELDO</t>
  </si>
  <si>
    <t>VACACIONES DEL 3 AL 7</t>
  </si>
  <si>
    <t>VACACIONES RESTO</t>
  </si>
  <si>
    <t>PROP. VACACIONES</t>
  </si>
  <si>
    <t>PROPORC. AGUINALDO</t>
  </si>
  <si>
    <t>PROPORC. NO REMUN.</t>
  </si>
  <si>
    <t>TOTALES MAYO</t>
  </si>
  <si>
    <t>DIAS</t>
  </si>
  <si>
    <t>HS</t>
  </si>
  <si>
    <t>hs mes</t>
  </si>
  <si>
    <t>aguinaldo (mayor mes) :194 HS</t>
  </si>
  <si>
    <t>TOTALES JUNIO</t>
  </si>
  <si>
    <t>FERIADO</t>
  </si>
  <si>
    <t>FERIADOS</t>
  </si>
  <si>
    <t>+</t>
  </si>
  <si>
    <t>AGUINALDO (Base Marzo)</t>
  </si>
  <si>
    <t>sumar hs extras</t>
  </si>
  <si>
    <t>LABORAL</t>
  </si>
  <si>
    <t>VIERNES</t>
  </si>
  <si>
    <t>AGUINALDO (Base Junio)</t>
  </si>
  <si>
    <t>4 meses</t>
  </si>
  <si>
    <t>AGUINALDO (Base Mayo)</t>
  </si>
  <si>
    <t>aguinaldo      (mayor mes)</t>
  </si>
  <si>
    <t>AGUINALDO (base Abril)</t>
  </si>
  <si>
    <t>JULIO</t>
  </si>
  <si>
    <t>TOTALES JULIO</t>
  </si>
  <si>
    <t>LICENCIA X FALLEC.</t>
  </si>
  <si>
    <t>05/07 NO TRABAJO</t>
  </si>
  <si>
    <t>07/07 9,30 SE FUE POR DOLOR DE PANZA</t>
  </si>
  <si>
    <t>RAFAELA</t>
  </si>
  <si>
    <t>6,30 A 17 HS</t>
  </si>
  <si>
    <t>9 A 18 HS</t>
  </si>
  <si>
    <t xml:space="preserve">19/07 ACCIDENTE </t>
  </si>
  <si>
    <t>7 a 17 hs</t>
  </si>
  <si>
    <t>8,30 a 17,30 hs</t>
  </si>
  <si>
    <t>hs. Extras</t>
  </si>
  <si>
    <t>20/07 fallece abuelo</t>
  </si>
  <si>
    <t>plasticos san fco</t>
  </si>
  <si>
    <t>juani/jona/facu/mati</t>
  </si>
  <si>
    <t>27/07 se pidio el dia</t>
  </si>
  <si>
    <t>EXTRA AL 100%</t>
  </si>
  <si>
    <t>07/07 RETIRO 9,30 HS</t>
  </si>
  <si>
    <t>27/07 DIA VACAC.</t>
  </si>
  <si>
    <t>4 DIAS</t>
  </si>
  <si>
    <t>11 DIAS DE 9 HS</t>
  </si>
  <si>
    <t>4 DIAS DE 8 HS</t>
  </si>
  <si>
    <t>4 DIAS DE ACCIDENTE</t>
  </si>
  <si>
    <t>1 DIA VACACIONES</t>
  </si>
  <si>
    <t>15 DIAS TRABAJADOS</t>
  </si>
  <si>
    <t>1 DIA POR LICENCIA</t>
  </si>
  <si>
    <t>4 VIERNES</t>
  </si>
  <si>
    <t xml:space="preserve">6 hs </t>
  </si>
  <si>
    <t>1 h. al 100%</t>
  </si>
  <si>
    <t>quedan dos dias de vacaciones</t>
  </si>
  <si>
    <t>8,00 a 17,30 hs</t>
  </si>
  <si>
    <t>4 DIAS POR SINIESTRO</t>
  </si>
  <si>
    <t>EXTRA POR VIAJE</t>
  </si>
  <si>
    <t>RAFAELA (extras)</t>
  </si>
  <si>
    <t>SABADO</t>
  </si>
  <si>
    <t>10/08 NO TRABAJO</t>
  </si>
  <si>
    <t>DEBE 1,5 HS.</t>
  </si>
  <si>
    <t>Chaco, Pilu, Mati</t>
  </si>
  <si>
    <t>24/08 ENFERMO</t>
  </si>
  <si>
    <t>25/08 ENFERMO</t>
  </si>
  <si>
    <t>quedan 2 dias de vacac.</t>
  </si>
  <si>
    <t>chaco y pilu</t>
  </si>
  <si>
    <t>2 DIAS POR ENFERMEDAD</t>
  </si>
  <si>
    <t>EXTRA (-1,5 Hs x retiro)</t>
  </si>
  <si>
    <t>DIA POR ENFERMEDAD</t>
  </si>
  <si>
    <t>faltaban declarar 9 Hs</t>
  </si>
  <si>
    <t>HORAS EXTRAS AGOSTO</t>
  </si>
  <si>
    <t>08/09/21 RETIRO 11,30</t>
  </si>
  <si>
    <t>LUCAS</t>
  </si>
  <si>
    <t>SEPT</t>
  </si>
  <si>
    <t>ARRANCA EL LUNES 6</t>
  </si>
  <si>
    <t>LUCA</t>
  </si>
  <si>
    <t>se toma 07/10 y 12/10</t>
  </si>
  <si>
    <t>DESCUENTO HS</t>
  </si>
  <si>
    <t>LICENCIA X VIAJE</t>
  </si>
  <si>
    <t>ver vacaciones</t>
  </si>
  <si>
    <t xml:space="preserve">SE DEBIAN 5 DIAS </t>
  </si>
  <si>
    <t>VACACIONES 2020 (2 D)</t>
  </si>
  <si>
    <t>VACACIONES 2020 (7 D)</t>
  </si>
  <si>
    <t>PREMIO</t>
  </si>
  <si>
    <t>NOVIEMBRE</t>
  </si>
  <si>
    <t>ALEJO</t>
  </si>
  <si>
    <t>hs TARDE (Mar/Jue 3,5)</t>
  </si>
  <si>
    <t xml:space="preserve">FALTA/RETIRO </t>
  </si>
  <si>
    <t>FALTA/RETIRO</t>
  </si>
  <si>
    <t>VACACIONES DEL 29/11 AL 4/12</t>
  </si>
  <si>
    <t>empieza 15/11</t>
  </si>
  <si>
    <t>EXTRA AL 100% feriado</t>
  </si>
  <si>
    <t>21 DIAS</t>
  </si>
  <si>
    <t>LICENCIA X ENFERMEDAD</t>
  </si>
  <si>
    <t>FERIADO no trabajado</t>
  </si>
  <si>
    <t>Feriado EXTRA AL 100%</t>
  </si>
  <si>
    <t>EXTRA al 50%</t>
  </si>
  <si>
    <t>Presentismo</t>
  </si>
  <si>
    <t>DEPOSITO 03/11/21</t>
  </si>
  <si>
    <t>ALEJO (Inc. 15/11)</t>
  </si>
  <si>
    <t>LICENCIA</t>
  </si>
  <si>
    <t>PRESENTISMO</t>
  </si>
  <si>
    <t>NOV</t>
  </si>
  <si>
    <t>TOTALES NOVIEMBRE</t>
  </si>
  <si>
    <t>VARIOS</t>
  </si>
  <si>
    <t>Presentismo 1/2 dia</t>
  </si>
  <si>
    <t>OK</t>
  </si>
  <si>
    <t>ok</t>
  </si>
  <si>
    <t>VACACIONES 29/11 al 4/12</t>
  </si>
  <si>
    <t>EXTRA x 50%</t>
  </si>
  <si>
    <t xml:space="preserve">EXTRA AL 50% </t>
  </si>
  <si>
    <t>PAGO FERIADO $1862,40</t>
  </si>
  <si>
    <t>EXTRA AL 50%</t>
  </si>
  <si>
    <t>DICIEMBRE</t>
  </si>
  <si>
    <t>FALTA/RETIRO sin justif</t>
  </si>
  <si>
    <t>LICENCIA ENFERMEDAD</t>
  </si>
  <si>
    <t>HORA EXTRA x 50%</t>
  </si>
  <si>
    <t>HORA EXTRA AL 100%</t>
  </si>
  <si>
    <t xml:space="preserve">DEPOSITO </t>
  </si>
  <si>
    <t>Presentismo %</t>
  </si>
  <si>
    <t>LUIS</t>
  </si>
  <si>
    <t>INICIA 06/12/21</t>
  </si>
  <si>
    <t xml:space="preserve">ALEJO </t>
  </si>
  <si>
    <t>DIC</t>
  </si>
  <si>
    <t>SEGURO CLIO (DEVOLUCION NOV)</t>
  </si>
  <si>
    <t>AGUINALDO PAGO</t>
  </si>
  <si>
    <t>Aguinaldo pagado</t>
  </si>
  <si>
    <t>AGUINALDO (Base: Dic.)</t>
  </si>
  <si>
    <t>AGUINALDO (Base: Dic)</t>
  </si>
  <si>
    <t>AGUINALDO (Base Dic)</t>
  </si>
  <si>
    <t xml:space="preserve">VACACIONES </t>
  </si>
  <si>
    <t>AGUINALDO  (Base: Dic/4 meses)</t>
  </si>
  <si>
    <t>AGUINALDO (Base Dic 1 Mes)</t>
  </si>
  <si>
    <t>AGUINALDO (Base: Dic- 1,5 meses)</t>
  </si>
  <si>
    <t>OBRA SOCIAL</t>
  </si>
  <si>
    <t>MONOTRIBUTO</t>
  </si>
  <si>
    <t>OOSS / MONOT. / SEGURO</t>
  </si>
  <si>
    <t>OOSS Y MONOTRIBUTO</t>
  </si>
  <si>
    <t>OBRA SOCIAL (NOBIS)</t>
  </si>
  <si>
    <t>Recupero Horas</t>
  </si>
  <si>
    <t>LUIS DESDE 06/12</t>
  </si>
  <si>
    <t>SUELDO vacac. Hta 04/12</t>
  </si>
  <si>
    <t>aguinaldo</t>
  </si>
  <si>
    <t>vs</t>
  </si>
  <si>
    <t>ENERO</t>
  </si>
  <si>
    <t>ENE</t>
  </si>
  <si>
    <t>GERMAN</t>
  </si>
  <si>
    <t>GERMAN - Desde 17/01/22</t>
  </si>
  <si>
    <t>-</t>
  </si>
  <si>
    <t xml:space="preserve">AGUINALDO </t>
  </si>
  <si>
    <t>desde 14/01/22 a 21/01/22</t>
  </si>
  <si>
    <t>EMPIEZA 17/1/2022</t>
  </si>
  <si>
    <t>COVID desde 12/01 al 19/01</t>
  </si>
  <si>
    <t>licencia 31/01</t>
  </si>
  <si>
    <t xml:space="preserve">SUELDO </t>
  </si>
  <si>
    <t>VACACIONES (14 d. pend)</t>
  </si>
  <si>
    <t>VACACIONES(pagado dic)</t>
  </si>
  <si>
    <t>VACACIONES (pago dic)</t>
  </si>
  <si>
    <t>Presentismo 50%</t>
  </si>
  <si>
    <t>DIFERENCIA</t>
  </si>
  <si>
    <t>Feriado</t>
  </si>
  <si>
    <t>ANDREA</t>
  </si>
  <si>
    <t xml:space="preserve">   </t>
  </si>
  <si>
    <t>MAR</t>
  </si>
  <si>
    <t>SANDRONE(CORCHO)</t>
  </si>
  <si>
    <t>CARLE GERMAN</t>
  </si>
  <si>
    <t>HEINLEIN (CHACO)</t>
  </si>
  <si>
    <t xml:space="preserve">Presentismo </t>
  </si>
  <si>
    <t>CORCHO</t>
  </si>
  <si>
    <t>IMPORTE A COBRAR</t>
  </si>
  <si>
    <t>TOTAL SUELDOS 03/2022</t>
  </si>
  <si>
    <t>HORAS EXTRAS 50%</t>
  </si>
  <si>
    <t>DENOMINACION</t>
  </si>
  <si>
    <t>VALOR HORA</t>
  </si>
  <si>
    <t>ABR</t>
  </si>
  <si>
    <t>FERIADO 2 ABRIL</t>
  </si>
  <si>
    <t>FERIADO 2 DE ABRIL</t>
  </si>
  <si>
    <t>GABRIEL</t>
  </si>
  <si>
    <t>MAXI</t>
  </si>
  <si>
    <t xml:space="preserve">EXTRA AL 100% </t>
  </si>
  <si>
    <t>1ER.QUINCENA JUNIO</t>
  </si>
  <si>
    <t>2DA.QUINCEBA DE JUNIO</t>
  </si>
  <si>
    <t>HORAS EXTRAS 100%</t>
  </si>
  <si>
    <t xml:space="preserve">FERIADO </t>
  </si>
  <si>
    <t>PREMIO P/SAB.TRABAJADO</t>
  </si>
  <si>
    <t>SAC JUNIO/2022</t>
  </si>
  <si>
    <t>SAC JUNIO 2022</t>
  </si>
  <si>
    <t>SAC JUNIO 2022(PROP)</t>
  </si>
  <si>
    <t>PRESENTISMO PROP.</t>
  </si>
  <si>
    <t>DEPOSITO SAC06/2022</t>
  </si>
  <si>
    <t>DEPOSITO REMUNERACION 06/2022</t>
  </si>
  <si>
    <t>DEPOSITO SAC 06/2022</t>
  </si>
  <si>
    <t>TOTAL 06/2022</t>
  </si>
  <si>
    <t>DEPOSITO 07/2022</t>
  </si>
  <si>
    <t>DEPOSITO  07/2022</t>
  </si>
  <si>
    <t>FERIADO 9/7/22</t>
  </si>
  <si>
    <t>FERIADO 9/07/2022</t>
  </si>
  <si>
    <t>PREMIO P/LOZA</t>
  </si>
  <si>
    <t>DIAS P/ENFERMEDAD</t>
  </si>
  <si>
    <t>DIA P/ENFERMEDAD 11/07</t>
  </si>
  <si>
    <t xml:space="preserve">FERIADO  </t>
  </si>
  <si>
    <t>PREMIO P/LOZA(MODENA)</t>
  </si>
  <si>
    <t>MAXI ARAGON</t>
  </si>
  <si>
    <t>TOTAL 08/2022</t>
  </si>
  <si>
    <t>ADICIONAL P/MATERIALES</t>
  </si>
  <si>
    <t>REGALO P/NACIMIENTO</t>
  </si>
  <si>
    <t>SET2022</t>
  </si>
  <si>
    <t>,</t>
  </si>
  <si>
    <t xml:space="preserve">PREMIO P/LOZA </t>
  </si>
  <si>
    <t>TOTAL 09/2022</t>
  </si>
  <si>
    <t xml:space="preserve">TOTAL </t>
  </si>
  <si>
    <t>FERIADO (2)</t>
  </si>
  <si>
    <t>FERIADO  (2)</t>
  </si>
  <si>
    <t>PRESTAMO CUOTA 1</t>
  </si>
  <si>
    <t>TALADRO</t>
  </si>
  <si>
    <t>OCT2022</t>
  </si>
  <si>
    <t>TOTAL 10/2022</t>
  </si>
  <si>
    <t>FERIADO (1)</t>
  </si>
  <si>
    <t>DIA 22/11/2022(MUNDIAL)</t>
  </si>
  <si>
    <t>FERIADO  (1)</t>
  </si>
  <si>
    <t>DIA 22/11/22 (MUNDIAL)</t>
  </si>
  <si>
    <t>DEPOSITO  11/2022</t>
  </si>
  <si>
    <t>DIA 22/12/22 (MUNDIAL)</t>
  </si>
  <si>
    <t>DIA 22/11/2022 (MUNDIAL)</t>
  </si>
  <si>
    <t>PRESTAMO CUOTA 2</t>
  </si>
  <si>
    <t xml:space="preserve">  </t>
  </si>
  <si>
    <t>SALDO ANT.$85000-$10000=S.ACTUAL</t>
  </si>
  <si>
    <t>MUTUAL NOBIS DIF.</t>
  </si>
  <si>
    <t>NOV.2022</t>
  </si>
  <si>
    <t>VACACIONES 2022</t>
  </si>
  <si>
    <t>SAC CTA2/2022</t>
  </si>
  <si>
    <t>PREMIO P/LOZA (FRE/RAF)</t>
  </si>
  <si>
    <t>PREMIO P/LOZA(BRI/MOD)</t>
  </si>
  <si>
    <t>VACACIONES(21D)</t>
  </si>
  <si>
    <t>DEPOSITO P/BCO S/REC</t>
  </si>
  <si>
    <t>DEPOSITO P/BCO S/REC(SAC)</t>
  </si>
  <si>
    <t>HORA EXTRA  50%</t>
  </si>
  <si>
    <t>PREMIO P/LOZA(RAF/FREY)</t>
  </si>
  <si>
    <t>PREMIO P/LOZA (BRI/MOD)</t>
  </si>
  <si>
    <t>VACACIONES(7D)</t>
  </si>
  <si>
    <t>SAC 2da.CTA,2022</t>
  </si>
  <si>
    <t>DEPOSITO P/BCO S/REC(SAC2/22)</t>
  </si>
  <si>
    <t xml:space="preserve"> VACACIONES(14D)</t>
  </si>
  <si>
    <t>SAC CTA,2/2022</t>
  </si>
  <si>
    <t>PRESTAMO CUOTA 3</t>
  </si>
  <si>
    <t>SALDO ANT.$75000-$10000=S.ACTUAL</t>
  </si>
  <si>
    <t>DIA P/ENFERMEDAD</t>
  </si>
  <si>
    <t>DIA X VIAJE</t>
  </si>
  <si>
    <t>VACACIONES (7D)</t>
  </si>
  <si>
    <t xml:space="preserve"> DIAS X ENFERMEDAD (3)</t>
  </si>
  <si>
    <t>DEPOSITO  12/2022</t>
  </si>
  <si>
    <t>HEINLEIN (CHACO)-DIC22+SAC2/2022-</t>
  </si>
  <si>
    <t>LOZAS(RAF/FREY)</t>
  </si>
  <si>
    <t>LOZAS(MOD/BRI/FREY)</t>
  </si>
  <si>
    <t>FERIADO(2)</t>
  </si>
  <si>
    <t xml:space="preserve"> DAVID</t>
  </si>
  <si>
    <t>DAVID</t>
  </si>
  <si>
    <t>LOZAS</t>
  </si>
  <si>
    <t>VACACIONES(14D)</t>
  </si>
  <si>
    <t>ADELANTO 01/2023</t>
  </si>
  <si>
    <t xml:space="preserve">HEINLEIN (CHACO) </t>
  </si>
  <si>
    <t>PREMIO P/LOZA (1)</t>
  </si>
  <si>
    <t>AUMENTO 5%</t>
  </si>
  <si>
    <t>AUMENTO 10%</t>
  </si>
  <si>
    <t xml:space="preserve">AUMENTO   </t>
  </si>
  <si>
    <t xml:space="preserve">AUMENTO  </t>
  </si>
  <si>
    <t>AUMENTO 15%</t>
  </si>
  <si>
    <t xml:space="preserve">AUMENTO      </t>
  </si>
  <si>
    <t>ENERO 2023</t>
  </si>
  <si>
    <t>ENE2023</t>
  </si>
  <si>
    <t>FERIADO (2D)</t>
  </si>
  <si>
    <t>LOZA FREYRE(22/12/2022)</t>
  </si>
  <si>
    <t>LOZAS(RA-BRI-FRE-MOD)</t>
  </si>
  <si>
    <t>PREMIO P/LOZA(RA-BR-FR-MO)</t>
  </si>
  <si>
    <t xml:space="preserve">FERIADO (2D) </t>
  </si>
  <si>
    <t xml:space="preserve">ADELANTO  </t>
  </si>
  <si>
    <t>DEPOSITO  P/BCO</t>
  </si>
  <si>
    <t>FERIADO  (2D)</t>
  </si>
  <si>
    <t>PRESTAMO CUOTA 5</t>
  </si>
  <si>
    <t>SALDO ANT.$55000-$10000=S.ACTUAL</t>
  </si>
  <si>
    <t>FERIADO(2D)</t>
  </si>
  <si>
    <t>VACACIONES(6D)</t>
  </si>
  <si>
    <t>ADELANTO P/VACACIONES</t>
  </si>
  <si>
    <t>FEBRERO2023</t>
  </si>
  <si>
    <t>FEB2023</t>
  </si>
  <si>
    <t>DEPOSITO P/BCO. S/REC</t>
  </si>
  <si>
    <t>CTA.PRESTAMO(10% S/SUELDO)</t>
  </si>
  <si>
    <t>BERNACHEA JAVIER</t>
  </si>
  <si>
    <t>DIAS TRABAJADOS (4)</t>
  </si>
  <si>
    <t>HS.TRABAJADAS</t>
  </si>
  <si>
    <t>SUB-TOTAL</t>
  </si>
  <si>
    <t>BRUNO IGNACIO</t>
  </si>
  <si>
    <t>SUELDO 02/2023</t>
  </si>
  <si>
    <t>SUELDO 03/2023</t>
  </si>
  <si>
    <t>IGNACIO</t>
  </si>
  <si>
    <t>FERIADO (1D)</t>
  </si>
  <si>
    <t>PREMIO P/LOZA(FR-MO)</t>
  </si>
  <si>
    <t>LOZAS(FRE-MOD)</t>
  </si>
  <si>
    <t>MUNIC.PAT.CLIO</t>
  </si>
  <si>
    <t xml:space="preserve">FERIADO (1D) </t>
  </si>
  <si>
    <t>DIAS X ENFERMEDAD (7,5)</t>
  </si>
  <si>
    <t>PREMIO P/LOZA (FRE)</t>
  </si>
  <si>
    <t>FERIADO  (1D)</t>
  </si>
  <si>
    <t>CTA.1(PRESTAMO)</t>
  </si>
  <si>
    <t>FERIADO(1D)</t>
  </si>
  <si>
    <t>ADELANTO 1-3</t>
  </si>
  <si>
    <t>AUSENTE C/AVISO(10/03/23)</t>
  </si>
  <si>
    <t>PRESTAMO CUOTA 6</t>
  </si>
  <si>
    <t>SALDO ANT.$45000-$10000=S.ACTUAL</t>
  </si>
  <si>
    <t>CAULA LEONARDO</t>
  </si>
  <si>
    <t>SULEDO</t>
  </si>
  <si>
    <t xml:space="preserve"> HORAS TRABAJADAS</t>
  </si>
  <si>
    <t>JAVIER</t>
  </si>
  <si>
    <t>LEO</t>
  </si>
  <si>
    <t>MARZO 2023</t>
  </si>
  <si>
    <t>6% AUMENTO</t>
  </si>
  <si>
    <t>CTA.2/38(PRESTAMO(10% S/SUELDO)</t>
  </si>
  <si>
    <t>PREMIO P/TRABAJO EN FREYRE</t>
  </si>
  <si>
    <t xml:space="preserve"> 6% AUMENTO</t>
  </si>
  <si>
    <t>PRESENTISMO(80%)</t>
  </si>
  <si>
    <t>28/02 Y 1-2-3/03</t>
  </si>
  <si>
    <t>RECIBO 03/03/2023</t>
  </si>
  <si>
    <t>DIAS TRABAJADOS(5)</t>
  </si>
  <si>
    <t>RECIBO 10/03/2023</t>
  </si>
  <si>
    <t>RECIBO 17/03/2023</t>
  </si>
  <si>
    <t>REDONDEO</t>
  </si>
  <si>
    <t>HS. TRABAJADAS</t>
  </si>
  <si>
    <t>PREMIO P/AVANCE OBRA</t>
  </si>
  <si>
    <t>MAR2023</t>
  </si>
  <si>
    <t>ABRIL 2023</t>
  </si>
  <si>
    <t>PREMIO P/LOZA(BR-MO)</t>
  </si>
  <si>
    <t>CTA.3/38(PRESTAMO(10% S/SUELDO)</t>
  </si>
  <si>
    <t>LOZAS(BRI-MOD)</t>
  </si>
  <si>
    <t xml:space="preserve"> 13% AUMENTO</t>
  </si>
  <si>
    <t>PREMIO P/OBRA EN RAF/FRE</t>
  </si>
  <si>
    <t>PREMIO P/LOZA(BRI-MO)</t>
  </si>
  <si>
    <t xml:space="preserve"> PREMIO P/LOZA</t>
  </si>
  <si>
    <t xml:space="preserve"> 20% AUMENTO</t>
  </si>
  <si>
    <t>CTA.2(PRESTAMO)</t>
  </si>
  <si>
    <t>SALDO ANT.$35000-$10000=S.ACTUAL</t>
  </si>
  <si>
    <t>PRESTAMO CUOTA 7</t>
  </si>
  <si>
    <t>BERNACHEA JORGE</t>
  </si>
  <si>
    <t xml:space="preserve"> 10% AUMENTO</t>
  </si>
  <si>
    <t xml:space="preserve"> 15% AUMENTO</t>
  </si>
  <si>
    <t>JORGE</t>
  </si>
  <si>
    <t>FERIADO (3D)</t>
  </si>
  <si>
    <t>PREMIO P/LOZA(BR)</t>
  </si>
  <si>
    <t>CTA.4/38(PRESTAMO(10% S/SUELDO)</t>
  </si>
  <si>
    <t>PREMIO P/LOZA(BRI)</t>
  </si>
  <si>
    <t xml:space="preserve">FERIADO (3D) </t>
  </si>
  <si>
    <t>EXTRAS AL 100%</t>
  </si>
  <si>
    <t>FERIADO  (3D)</t>
  </si>
  <si>
    <t>CTA.3(PRESTAMO)</t>
  </si>
  <si>
    <t>FERIADO(3D)</t>
  </si>
  <si>
    <t>CTA.2/3</t>
  </si>
  <si>
    <t>PRESTAMO CUOTA 8</t>
  </si>
  <si>
    <t>SALDO ANT.$25000-$10000=S.ACTUAL</t>
  </si>
  <si>
    <t>ROMERO RUBEN</t>
  </si>
  <si>
    <t>GALLO LEANDRO</t>
  </si>
  <si>
    <t>LOZAS(BRI)</t>
  </si>
  <si>
    <t>VIAJE BRINKMANN</t>
  </si>
  <si>
    <t>PRESENTISMO (PROP)</t>
  </si>
  <si>
    <t>MAYO 2023</t>
  </si>
  <si>
    <t>GALLO</t>
  </si>
  <si>
    <t>RUBEN</t>
  </si>
  <si>
    <t>MAYO2023</t>
  </si>
  <si>
    <t>FERIADO (2,5D)</t>
  </si>
  <si>
    <t>HORAS EXTRAS AL 100%</t>
  </si>
  <si>
    <t>HORAS EXTRAS  50%</t>
  </si>
  <si>
    <t>HORAS EXTRAS AL 50%</t>
  </si>
  <si>
    <t xml:space="preserve">FERIADO (2,5D) </t>
  </si>
  <si>
    <t>FERIADO  (2,5D)</t>
  </si>
  <si>
    <t>DIAS P/ACCIDENTE(5,5)</t>
  </si>
  <si>
    <t>CTA.4(PRESTAMO)</t>
  </si>
  <si>
    <t>PRESTAMO CUOTA 9</t>
  </si>
  <si>
    <t>SALDO ANT.15000-$10000=S.ACTUAL</t>
  </si>
  <si>
    <t>HORAS 50%</t>
  </si>
  <si>
    <t>EXTRAS 100%</t>
  </si>
  <si>
    <t xml:space="preserve">NETO </t>
  </si>
  <si>
    <t>SAC CTA.1/2023</t>
  </si>
  <si>
    <t>DEPOSITO P/BCO SAC 1/2023</t>
  </si>
  <si>
    <t>SUELDO*</t>
  </si>
  <si>
    <t>FERIADO (2,5D)*</t>
  </si>
  <si>
    <t>CTA.5/38(PRESTAMO(10% S/SUELDO)*</t>
  </si>
  <si>
    <t>DEPOSITO P/BCO. S/REC SAC,1/23</t>
  </si>
  <si>
    <t>PREMIO P/OBRA EN RAF+</t>
  </si>
  <si>
    <t>CTA,1/16 (% DE SUELDO NETO)*</t>
  </si>
  <si>
    <t>FERIADO2,5D) *</t>
  </si>
  <si>
    <t>CTA.3/3</t>
  </si>
  <si>
    <t>Presentismo*</t>
  </si>
  <si>
    <t>NO REMUNERATIVO*</t>
  </si>
  <si>
    <t>Presentismo *</t>
  </si>
  <si>
    <t>**VIERNES</t>
  </si>
  <si>
    <t>FERIADO ( )*</t>
  </si>
  <si>
    <t>PREMIO P/LOZA(BR-FR)</t>
  </si>
  <si>
    <t>CTA.6/38(PRESTAMO(10% S/SUELDO)*</t>
  </si>
  <si>
    <t>LOZAS(BR-FR)</t>
  </si>
  <si>
    <t>FERIADO  ( )</t>
  </si>
  <si>
    <t>FERIADO ( )</t>
  </si>
  <si>
    <t>PREMIO P/LOZA (BR-FR)</t>
  </si>
  <si>
    <t xml:space="preserve">FERIADO (  ) </t>
  </si>
  <si>
    <t>FERIADO ( ) *</t>
  </si>
  <si>
    <t>SUELDO *</t>
  </si>
  <si>
    <t>CTA. 2/16 (10% DE SUELDO NETO)*</t>
  </si>
  <si>
    <t>CTA.5(PRESTAMO)</t>
  </si>
  <si>
    <t>FERIADO( )</t>
  </si>
  <si>
    <t>DIF. P/LIQUIDACION MES 6/23</t>
  </si>
  <si>
    <t>DIFERENCIA LIQ. MES 06/23</t>
  </si>
  <si>
    <t>EXTRAS al 50%</t>
  </si>
  <si>
    <t>PREMIO P/OBRA EN RAF(X SEM)</t>
  </si>
  <si>
    <t>AUMENTO 20%</t>
  </si>
  <si>
    <t>VIAJE RAF</t>
  </si>
  <si>
    <t>AUSENTE</t>
  </si>
  <si>
    <t>JULIO 2023</t>
  </si>
  <si>
    <t>TOTAL 07/2023</t>
  </si>
  <si>
    <t>EDIF.MODENA</t>
  </si>
  <si>
    <t>DEPOSITO P/BCO.</t>
  </si>
  <si>
    <t>VACACIONES * (7D)</t>
  </si>
  <si>
    <t>MODENA</t>
  </si>
  <si>
    <t>CAULA LEONARDO 08/2023</t>
  </si>
  <si>
    <t>FERIADO  ( 1)</t>
  </si>
  <si>
    <t>FERIADO ( 1 )</t>
  </si>
  <si>
    <t>BONO GOB.NAC.</t>
  </si>
  <si>
    <t>FERIADO ( 8 )</t>
  </si>
  <si>
    <t>FERIADO ( 1 )*</t>
  </si>
  <si>
    <t>BONO GOB.NAC</t>
  </si>
  <si>
    <t>FERIADO  ( 1 )</t>
  </si>
  <si>
    <t>FERIADO (1 ) *</t>
  </si>
  <si>
    <t>CTA. 3/16 (10% DE SUELDO NETO)*</t>
  </si>
  <si>
    <t>FERIADO  (1 )</t>
  </si>
  <si>
    <t>BONO GOB.Nc.</t>
  </si>
  <si>
    <t>FERIADO(1)</t>
  </si>
  <si>
    <t>PREMIO P/LOZA (BRINK)</t>
  </si>
  <si>
    <t>CTA.7/38(PRESTAMO(10% S/SUELDO)*</t>
  </si>
  <si>
    <t>LOZAS(BRINK)</t>
  </si>
  <si>
    <t>AGOSTO 2023</t>
  </si>
  <si>
    <t xml:space="preserve">FERIADO (1  ) </t>
  </si>
  <si>
    <t>DANIELE EMA</t>
  </si>
  <si>
    <t>SUELDO (7DIAAS)</t>
  </si>
  <si>
    <t>PRESENTISMO PROPORCIONAL(7D)</t>
  </si>
  <si>
    <t>LOZAS(FRE)</t>
  </si>
  <si>
    <t>DIAS X ENFERMEDAD (2)</t>
  </si>
  <si>
    <t>DIAS X ENFERMEDAD (1)</t>
  </si>
  <si>
    <t xml:space="preserve">GALARZA AGUSTIN </t>
  </si>
  <si>
    <t>PRESENTISMO PROPORCIONAL</t>
  </si>
  <si>
    <t xml:space="preserve"> GERBAUDO MATIAS</t>
  </si>
  <si>
    <t>CTA.8/38(PRESTAMO(10% S/SUELDO)*</t>
  </si>
  <si>
    <t>EDIF. MODENA</t>
  </si>
  <si>
    <t>HERRAMIENTA ARREGLO</t>
  </si>
  <si>
    <t>CTA. 4/16 (10% DE SUELDO NETO)*</t>
  </si>
  <si>
    <t>VACACIONES (3D)</t>
  </si>
  <si>
    <t>AUMENTO 11%</t>
  </si>
  <si>
    <t>SETIEMBRE 2023</t>
  </si>
  <si>
    <t>AGUSTIN</t>
  </si>
  <si>
    <t>MATIAS</t>
  </si>
  <si>
    <t>TOTAL 09/2023</t>
  </si>
  <si>
    <t>BONO GOB.</t>
  </si>
  <si>
    <t xml:space="preserve">PRESENTISMO </t>
  </si>
  <si>
    <t>GALARZA AGUSTIN(10/23)</t>
  </si>
  <si>
    <t>AUSENTE C/AVISO(1)</t>
  </si>
  <si>
    <t>FERIADO ( 2 )*</t>
  </si>
  <si>
    <t>FERIADO  ( 2 )</t>
  </si>
  <si>
    <t>FERIADO  ( 2)</t>
  </si>
  <si>
    <t>FERIADO ( 2)</t>
  </si>
  <si>
    <t>FERIADO (2 ) *</t>
  </si>
  <si>
    <t>CTA. 5/16 (10% DE SUELDO NETO)*</t>
  </si>
  <si>
    <t>CTA.9/38(PRESTAMO(10% S/SUELDO)*</t>
  </si>
  <si>
    <t>TOTAL 10/2023</t>
  </si>
  <si>
    <t>OCTUBRE 2023</t>
  </si>
  <si>
    <t>PILU-10/23-</t>
  </si>
  <si>
    <t>FACU-10/23-</t>
  </si>
  <si>
    <t>HEINLEIN (CHACO) -10/23-</t>
  </si>
  <si>
    <t>JUANI-10/23-</t>
  </si>
  <si>
    <t>SANDRONE(CORCHO)-10/23-</t>
  </si>
  <si>
    <t>CARLE GERMAN-10/23-</t>
  </si>
  <si>
    <t>ROMERO RUBEN-10/23-</t>
  </si>
  <si>
    <t xml:space="preserve"> GERBAUDO MATIAS-10/23-</t>
  </si>
  <si>
    <t>ANDREA-10/23-</t>
  </si>
  <si>
    <t>CHEQUES</t>
  </si>
  <si>
    <t>FERIADO ( 1)</t>
  </si>
  <si>
    <t>VACACIONES(5D)</t>
  </si>
  <si>
    <t>CTA. 6/16 (10% DE SUELDO NETO)*</t>
  </si>
  <si>
    <t>CTA.1 EQUIPO LLUVIA</t>
  </si>
  <si>
    <t>CTA.10/38(PRESTAMO(10% S/SUELDO)*</t>
  </si>
  <si>
    <t>PILU-11/23-</t>
  </si>
  <si>
    <t>JUANI-11/23-</t>
  </si>
  <si>
    <t>HEINLEIN (CHACO) -11/23-</t>
  </si>
  <si>
    <t>SANDRONE(CORCHO)-11/23-</t>
  </si>
  <si>
    <t>CARLE GERMAN-11/23-</t>
  </si>
  <si>
    <t>ROMERO RUBEN-11/23-</t>
  </si>
  <si>
    <t xml:space="preserve"> GERBAUDO MATIAS-11/23-</t>
  </si>
  <si>
    <t>ANDREA-11/23-</t>
  </si>
  <si>
    <t>ADICIONAL P/OBRA RAFAELA</t>
  </si>
  <si>
    <t>NOVIEMBRE 2023</t>
  </si>
  <si>
    <t>SAC CTA.2/2023</t>
  </si>
  <si>
    <t>PILU-SAC CTA.2/2023-</t>
  </si>
  <si>
    <t>AGUINALDO CTA.2/2023</t>
  </si>
  <si>
    <t>FACU-SAC CTA.2/2023-</t>
  </si>
  <si>
    <t>HEINLEIN (CHACO) -SAC CTA.2/2023-</t>
  </si>
  <si>
    <t>JUANI-SAC CTA.2/2023</t>
  </si>
  <si>
    <t>CARLE GERMAN-SAC CTA.2/2023-</t>
  </si>
  <si>
    <t>ROMERO RUBEN-SAC CTA.2/2023</t>
  </si>
  <si>
    <t xml:space="preserve"> GERBAUDO MATIAS-SAC CTA.2/2023-</t>
  </si>
  <si>
    <t>ANDREA-SAC CTA.2/2023-</t>
  </si>
  <si>
    <t>VIRGINIA-SAC CTA.2/2023-</t>
  </si>
  <si>
    <t>SANDRONE(CORCHO)-SAC CTA.2/2023</t>
  </si>
  <si>
    <t>PROPORCIONlAL  P/4 MESES TRABAJADOS</t>
  </si>
  <si>
    <t>SAC CTA.2/2023-PROPORCIONAL  P/DIAS TRABAJADOS</t>
  </si>
  <si>
    <t>BONO OBSEQUIO</t>
  </si>
  <si>
    <t>FERIADO (2) *</t>
  </si>
  <si>
    <t>CTA. 7/16 (10% DE SUELDO NETO)*</t>
  </si>
  <si>
    <t>CTA.2 EQUIPO LLUVIA</t>
  </si>
  <si>
    <t>SANDRONE(CORCHO)-12/23 + VAC)</t>
  </si>
  <si>
    <t>VACACIONES YA TOMADAS(1D)</t>
  </si>
  <si>
    <t>VIRGINIA</t>
  </si>
  <si>
    <t>DICIEMBRE 2023</t>
  </si>
  <si>
    <t>VACACIONES 2024(14D)</t>
  </si>
  <si>
    <t>CTA.11/38(PRESTAMO(10% S/SUELDO)*</t>
  </si>
  <si>
    <t>DEPOSITO P/BCO.S/REC. VACAC.</t>
  </si>
  <si>
    <t>PILU-12/23+VACACIONES-</t>
  </si>
  <si>
    <t>VACACIONES PROPORCION.(4D)</t>
  </si>
  <si>
    <t xml:space="preserve"> GERBAUDO MATIAS-12/23+VACACIONES-</t>
  </si>
  <si>
    <t>FACU-12/23-</t>
  </si>
  <si>
    <t>HEINLEIN (CHACO) -12/23-</t>
  </si>
  <si>
    <t>FERIADO ( 2 )</t>
  </si>
  <si>
    <t>CTA,2EQUIPO LLUVIA</t>
  </si>
  <si>
    <t xml:space="preserve">CARLE GERMAN-12/23- </t>
  </si>
  <si>
    <t>ANDREA-12/23-</t>
  </si>
  <si>
    <t>VIRGINIA-12/2023-</t>
  </si>
  <si>
    <t>HORAS EXTRAS(50%)</t>
  </si>
  <si>
    <t>VALOR P/HORA</t>
  </si>
  <si>
    <t>DEPOSITO P/BCO S/REC.SUELDO</t>
  </si>
  <si>
    <t>ALQUILER</t>
  </si>
  <si>
    <t>VACACIONES(14D)NO GOZADAS</t>
  </si>
  <si>
    <t>CTA 1 P/CONT.ALQUILER(1/5)</t>
  </si>
  <si>
    <t>ROMERO RUBEN-12/23+VACACIONES-</t>
  </si>
  <si>
    <t>AUMENTO 25%</t>
  </si>
  <si>
    <t xml:space="preserve">JUANI 12/23 </t>
  </si>
  <si>
    <t>TOTAL  12/2023</t>
  </si>
  <si>
    <t xml:space="preserve"> VIERNES</t>
  </si>
  <si>
    <t>PILU-ENERO2024-</t>
  </si>
  <si>
    <t>AUMENTO 40%</t>
  </si>
  <si>
    <t>PREMIO P/LOZA (M.S-FREYREi</t>
  </si>
  <si>
    <t>CTA.12/38(PRESTAMO(10% S/SUELDO)*</t>
  </si>
  <si>
    <t>FACU-01/2024-</t>
  </si>
  <si>
    <t>LOZAS( )</t>
  </si>
  <si>
    <t>HEINLEIN (CHACO) -01/2024-</t>
  </si>
  <si>
    <t xml:space="preserve">JUANI -01/2024- </t>
  </si>
  <si>
    <t>PREMIO P/LOZA (M.S.-FREYRE)</t>
  </si>
  <si>
    <t>DEPOSITO P/BCO S/REC.VACAC.</t>
  </si>
  <si>
    <t>SANDRONE(CORCHO)-01/2024-</t>
  </si>
  <si>
    <t>FERIADO (1) *</t>
  </si>
  <si>
    <t>ROMERO RUBEN-01/2024-</t>
  </si>
  <si>
    <t>CTA 2 P/CONT.ALQUILER(2/5)</t>
  </si>
  <si>
    <t xml:space="preserve"> GERBAUDO MATIAS-01/2024-</t>
  </si>
  <si>
    <t>AUMENTO 28%</t>
  </si>
  <si>
    <t xml:space="preserve">FERIADO  ( 1 </t>
  </si>
  <si>
    <t>VACACIONES (9D)</t>
  </si>
  <si>
    <t>ANDREA-01/2024-</t>
  </si>
  <si>
    <t>DIA P/ENFERMEDAD(C/CERT)</t>
  </si>
  <si>
    <t>VIRGINIA-01/2024-</t>
  </si>
  <si>
    <t>TOTAL  01/2024</t>
  </si>
  <si>
    <t>ENERO 2024</t>
  </si>
  <si>
    <t>DICIEMBRE 2024</t>
  </si>
  <si>
    <t xml:space="preserve">CARLE GERMAN-01/24- </t>
  </si>
  <si>
    <t>PILU-FEBRERO 2024-</t>
  </si>
  <si>
    <t>FACU-02/2024-</t>
  </si>
  <si>
    <t>HEINLEIN (CHACO) 02/2024-</t>
  </si>
  <si>
    <t xml:space="preserve">JUANI -02/2024- </t>
  </si>
  <si>
    <t>SANDRONE(CORCHO)-02/2024-</t>
  </si>
  <si>
    <t xml:space="preserve">CARLE GERMAN-02/24- </t>
  </si>
  <si>
    <t>ROMERO RUBEN-02/2024-</t>
  </si>
  <si>
    <t xml:space="preserve"> GERBAUDO MATIAS-02/2024-</t>
  </si>
  <si>
    <t>ANDREA-02/2024-</t>
  </si>
  <si>
    <t>VIRGINIA-02/2024-</t>
  </si>
  <si>
    <t>VACACIONES (14D) **</t>
  </si>
  <si>
    <t>CTA.13/38(PRESTAMO(10% S/SUELDO)*</t>
  </si>
  <si>
    <t>AUMENTO 30%</t>
  </si>
  <si>
    <t>CTA. 8/16 (10% DE SUELDO NETO)*</t>
  </si>
  <si>
    <t>ADELANTO (CTA. 1 DE 2)</t>
  </si>
  <si>
    <t>CTA 3 P/CONT.ALQUILER(3/5)</t>
  </si>
  <si>
    <t>PRESENTISMO (50%)</t>
  </si>
  <si>
    <t>PRESENTISMO (0,75)</t>
  </si>
  <si>
    <t>SEGURO AUTO</t>
  </si>
  <si>
    <t>DEPOSITO BCO SANTANDER</t>
  </si>
  <si>
    <t>EFECTIVO</t>
  </si>
  <si>
    <t>TOTAL ADELANTOS</t>
  </si>
  <si>
    <t>TOTAL FEB2024</t>
  </si>
  <si>
    <t>FEBRERO 2024</t>
  </si>
  <si>
    <t>PAGADO</t>
  </si>
  <si>
    <t>SE PAGO POR MES 02/2024</t>
  </si>
  <si>
    <t>TOTAL  02/2024</t>
  </si>
  <si>
    <t>PILU-MARZO 2024-</t>
  </si>
  <si>
    <t>FERIADO (1)*</t>
  </si>
  <si>
    <t>PREMIO P/LOZA (M.S)</t>
  </si>
  <si>
    <t>CTA.14/38(PRESTAMO(10% S/SUELDO)*</t>
  </si>
  <si>
    <t>HEINLEIN (CHACO) 03/2024-</t>
  </si>
  <si>
    <t xml:space="preserve">JUANI -03/2024- </t>
  </si>
  <si>
    <t>PREMIO P/LOZA (M.S.)</t>
  </si>
  <si>
    <t>SANDRONE(CORCHO)-03/2024-</t>
  </si>
  <si>
    <t>FERIADO(1) *</t>
  </si>
  <si>
    <t>CTA. 9/16 (10% DE SUELDO NETO)*</t>
  </si>
  <si>
    <t>DIAS X ENFERMEDAD (3)*</t>
  </si>
  <si>
    <t xml:space="preserve">CARLE GERMAN-03/24- </t>
  </si>
  <si>
    <t>AUSENTE C/AVISO(6/3/24)</t>
  </si>
  <si>
    <t>ROMERO RUBEN-03/2024-</t>
  </si>
  <si>
    <t xml:space="preserve"> GERBAUDO MATIAS-03/2024-</t>
  </si>
  <si>
    <t xml:space="preserve">FERIADO  ( 1) </t>
  </si>
  <si>
    <t>DIAS P/ENFERMEDAD(2)</t>
  </si>
  <si>
    <t>ANDREA-03/2024-</t>
  </si>
  <si>
    <t>ADELANTO  CTA.1/3</t>
  </si>
  <si>
    <t>AUMENTO</t>
  </si>
  <si>
    <t xml:space="preserve">AUMENTO       </t>
  </si>
  <si>
    <t xml:space="preserve">AUMENTO    </t>
  </si>
  <si>
    <t>MARZO 2024</t>
  </si>
  <si>
    <t>FERIADO  (1)*</t>
  </si>
  <si>
    <t>ADELANTO(CTA.1/10)</t>
  </si>
  <si>
    <t>TOTAL  03/2024</t>
  </si>
  <si>
    <t>PILU-ABRIL 2024-</t>
  </si>
  <si>
    <t>FERIADO (2)*</t>
  </si>
  <si>
    <t>FERIADO  (2)*</t>
  </si>
  <si>
    <t>DIAS X ENFERMEDAD (6)</t>
  </si>
  <si>
    <t>DIAS P/ENFERMEDAD (2)</t>
  </si>
  <si>
    <t>FERIADO(2) *</t>
  </si>
  <si>
    <t>DIAS X ENFERMEDAD (0)*</t>
  </si>
  <si>
    <t xml:space="preserve">CARLE GERMAN-04/24- </t>
  </si>
  <si>
    <t>SANDRONE(CORCHO)-04/2024-</t>
  </si>
  <si>
    <t xml:space="preserve">JUANI -04/2024- </t>
  </si>
  <si>
    <t>HEINLEIN (CHACO) 04/2024-</t>
  </si>
  <si>
    <t>FACU-04/2024-</t>
  </si>
  <si>
    <t>DIAS X ENFERMEDAD (7)</t>
  </si>
  <si>
    <t>ROMERO RUBEN-04/2024-</t>
  </si>
  <si>
    <t>CTA,4 P/CONT.ALQUILER (4/5)</t>
  </si>
  <si>
    <t xml:space="preserve">FERIADO  ( 2) </t>
  </si>
  <si>
    <t>DIAS P/ENFERMEDAD(0)</t>
  </si>
  <si>
    <t xml:space="preserve"> GERBAUDO MATIAS-04/2024-</t>
  </si>
  <si>
    <t>ANDREA-04/2024-</t>
  </si>
  <si>
    <t>ADELANTO  CTA.1/2</t>
  </si>
  <si>
    <t>VIRGINIA-04/2024-</t>
  </si>
  <si>
    <t>FERIADO(7)</t>
  </si>
  <si>
    <t>PRESENTISMO (0)</t>
  </si>
  <si>
    <t>MUTUAL (4/24)</t>
  </si>
  <si>
    <t>MONOTRIBUTO (4/24)</t>
  </si>
  <si>
    <t>ADELANTO (CTA.1/3)</t>
  </si>
  <si>
    <t>CTA.15/38(PRESTAMO(10% S/SUELDO)*</t>
  </si>
  <si>
    <t>CTA. 10/16 (10% DE SUELDO NETO)*</t>
  </si>
  <si>
    <t>PRESENTISMO*</t>
  </si>
  <si>
    <t>DIAS X ENFERMEDAD (1)*</t>
  </si>
  <si>
    <t>ABRIL 2024</t>
  </si>
  <si>
    <t>TOTAL  04/2024</t>
  </si>
  <si>
    <t>LOZA M.SUSANA/PRISMA</t>
  </si>
  <si>
    <t>ADELANTO (CTA.2/3)</t>
  </si>
  <si>
    <t>ADELANTO MES 05/2024</t>
  </si>
  <si>
    <t>HEINLEIN (CHACO) 05/2024-</t>
  </si>
  <si>
    <t>CTA. 11/16 (10% DE SUELDO NETO)*</t>
  </si>
  <si>
    <t>SANDRONE(CORCHO)-05/2024-</t>
  </si>
  <si>
    <t xml:space="preserve">CARLE GERMAN-05/24- </t>
  </si>
  <si>
    <t>ROMERO RUBEN-05/2024-</t>
  </si>
  <si>
    <t>HORAS 100%</t>
  </si>
  <si>
    <t>CTA.5 P/CONT.ALQUILER (5/5)</t>
  </si>
  <si>
    <t xml:space="preserve"> GERBAUDO MATIAS-05/2024-</t>
  </si>
  <si>
    <t>DIA P/ENFERMEDAD (1)</t>
  </si>
  <si>
    <t>ADELANTO  CTA.2/2</t>
  </si>
  <si>
    <t xml:space="preserve">ADELANTO   </t>
  </si>
  <si>
    <t>MONOTRIBUTO (5/24)</t>
  </si>
  <si>
    <t>MUTUAL (5/24)</t>
  </si>
  <si>
    <t>VIRGINIA-05/2024-</t>
  </si>
  <si>
    <t>ANDREA-05/2024-</t>
  </si>
  <si>
    <t xml:space="preserve">JUANI -05/2024- </t>
  </si>
  <si>
    <t>FACU-05/2024-</t>
  </si>
  <si>
    <t>PILU-05 2024-</t>
  </si>
  <si>
    <t>MAYO 2024</t>
  </si>
  <si>
    <t>PILU-06 2024-JUNIO 2024-</t>
  </si>
  <si>
    <t>DEPOSITO P/BCO. S/REC(SAC CTA.1/2024)</t>
  </si>
  <si>
    <t xml:space="preserve">DEPOSITO P/BCO.   </t>
  </si>
  <si>
    <t>SAC CTA1/2024</t>
  </si>
  <si>
    <t>HEINLEIN (CHACO) 06/2024</t>
  </si>
  <si>
    <t>FERIADO ()</t>
  </si>
  <si>
    <t>FERIADO  ()</t>
  </si>
  <si>
    <t>SAC CTA 1/2024</t>
  </si>
  <si>
    <t>ADELANTO (CTA. 3/3)</t>
  </si>
  <si>
    <t>LOZA (M.SUSANA)</t>
  </si>
  <si>
    <t>JUANI -06/2024-</t>
  </si>
  <si>
    <t>FERIADO (  )</t>
  </si>
  <si>
    <t>SAC CTA. 1/2024</t>
  </si>
  <si>
    <t>PREMIO LOZA (M.SUSANA)</t>
  </si>
  <si>
    <t>DEPOSITO P/BCO SAC CTA.1/2024</t>
  </si>
  <si>
    <t>SANDRONE(CORCHO)-06/2024-</t>
  </si>
  <si>
    <t>FERIADO *</t>
  </si>
  <si>
    <t>SAC CTA.1/2024</t>
  </si>
  <si>
    <t>CTA. 12/16 (10% DE SUELDO NETO)*</t>
  </si>
  <si>
    <t>CARLE GERMAN-06/24</t>
  </si>
  <si>
    <t>FERIADO()</t>
  </si>
  <si>
    <t>ROMERO RUBEN-06/2024-</t>
  </si>
  <si>
    <t>FERIADO ()*</t>
  </si>
  <si>
    <t>CTA 5/5 CONT.ALQUILER(NO CORRESPONDIA DESCONTAR)</t>
  </si>
  <si>
    <t xml:space="preserve"> GERBAUDO MATIAS-06/2024-</t>
  </si>
  <si>
    <t>ANDREA-06/2024-</t>
  </si>
  <si>
    <t>VIRGINIA-06/2024-</t>
  </si>
  <si>
    <t>FERIADO  )</t>
  </si>
  <si>
    <t>MONOTRIBUTO (6/24)</t>
  </si>
  <si>
    <t>MUTUAL 6/24)</t>
  </si>
  <si>
    <t>VIRGINIA-03/2024-</t>
  </si>
  <si>
    <t xml:space="preserve">ADELANTO MES  </t>
  </si>
  <si>
    <t>TOTAL</t>
  </si>
  <si>
    <t>MOGETTA/EL OFICINISTA</t>
  </si>
  <si>
    <t>SUELDOS 06/2024</t>
  </si>
  <si>
    <t>FERIADO *(1)</t>
  </si>
  <si>
    <t>DIA P/AUSENCIA(1)</t>
  </si>
  <si>
    <t>CARLE GERMAN-07/24</t>
  </si>
  <si>
    <t>JUANI -07/2024-</t>
  </si>
  <si>
    <t>HEINLEIN (CHACO)-07/2024</t>
  </si>
  <si>
    <t>PILU-07/2024</t>
  </si>
  <si>
    <t>ROMERO RUBEN-07/2024-</t>
  </si>
  <si>
    <t xml:space="preserve"> GERBAUDO MATIAS-07/2024-</t>
  </si>
  <si>
    <t>MONOTRIBUTO (7/24)</t>
  </si>
  <si>
    <t>MUTUAL (7/24)</t>
  </si>
  <si>
    <t>ANDREA-07/2024-</t>
  </si>
  <si>
    <t>FERIADO(1 )</t>
  </si>
  <si>
    <t>PREMIO VIAJES</t>
  </si>
  <si>
    <t>CTA. 13/16 (10% DE SUELDO NETO)*</t>
  </si>
  <si>
    <t>AUMENTO 12,5%</t>
  </si>
  <si>
    <t>AUMENTO 12,5</t>
  </si>
  <si>
    <t>PREMIO LOZA/VIAJES</t>
  </si>
  <si>
    <t>ADICIONAL</t>
  </si>
  <si>
    <t>VIRGINIA-07/2024-</t>
  </si>
  <si>
    <t>SUELDOS 07/2024</t>
  </si>
  <si>
    <t>PILU-08/2024</t>
  </si>
  <si>
    <t>HEINLEIN (CHACO)-08/2024</t>
  </si>
  <si>
    <t>JUANI -08/2024-</t>
  </si>
  <si>
    <t>SANDRONE(CORCHO)-08/2024-</t>
  </si>
  <si>
    <t>CTA. 14/16 (10% DE SUELDO NETO)*</t>
  </si>
  <si>
    <t>CARLE GERMAN-08/24</t>
  </si>
  <si>
    <t>ROMERO RUBEN-08/2024-</t>
  </si>
  <si>
    <t xml:space="preserve"> GERBAUDO MATIAS-08/2024-</t>
  </si>
  <si>
    <t>ANDREA-08/2024-</t>
  </si>
  <si>
    <t>VIRGINIA-08/2024-</t>
  </si>
  <si>
    <t>MUTUAL (8/24)</t>
  </si>
  <si>
    <t>MONOTRIBUTO (8/24)</t>
  </si>
  <si>
    <t>ADELANTO (JUL/24) CTA.1/3</t>
  </si>
  <si>
    <t>FERIADOO</t>
  </si>
  <si>
    <t xml:space="preserve">PREMIO  </t>
  </si>
  <si>
    <t>SUELDOS 08/2024</t>
  </si>
  <si>
    <t>TOTAL 08/2024</t>
  </si>
  <si>
    <t>SANDRONE(CORCHO -07/2024-</t>
  </si>
  <si>
    <t>PILU-09/2024</t>
  </si>
  <si>
    <t>DIA X ENFERMEDAD (1D)</t>
  </si>
  <si>
    <t>HEINLEIN (CHACO)-09/2024</t>
  </si>
  <si>
    <t>JUANI -09/2024-</t>
  </si>
  <si>
    <t>CTA. 15/16 (10% DE SUELDO NETO)*</t>
  </si>
  <si>
    <t>SANDRONE(CORCHO)-09/2024-</t>
  </si>
  <si>
    <t>ADELANTO (JUL/24) CTA 2/3</t>
  </si>
  <si>
    <t>CARLE GERMAN-09/24</t>
  </si>
  <si>
    <t>ROMERO RUBEN-09/2024-</t>
  </si>
  <si>
    <t xml:space="preserve"> GERBAUDO MATIAS-09/2024-</t>
  </si>
  <si>
    <t>ANDREA-09/2024-</t>
  </si>
  <si>
    <t>VIRGINIA-09/2024-</t>
  </si>
  <si>
    <t>MONOTRIBUTO (9/24)</t>
  </si>
  <si>
    <t>MUTUAL (9/24)</t>
  </si>
  <si>
    <t>QUIKE-09/2024-</t>
  </si>
  <si>
    <t>ACOSTA NESTOR-09/2024-</t>
  </si>
  <si>
    <t>FERIADOO(1D)</t>
  </si>
  <si>
    <t>FERIADO * (1D)</t>
  </si>
  <si>
    <t>DIA AUSENTE (06/06/24)</t>
  </si>
  <si>
    <t>SETIEMBRE 2024</t>
  </si>
  <si>
    <t xml:space="preserve">PREMIO </t>
  </si>
  <si>
    <t>SUELDO 09/2024(PROP.P/DIAS TRABAJADOS)</t>
  </si>
  <si>
    <t>ABONA EMP.CONSTRUCTORA</t>
  </si>
  <si>
    <t>TOTAL A CORAR P/ T.M.E.SAS</t>
  </si>
  <si>
    <t>PRESENTISMO PROP. HS.. TRABAJADAS</t>
  </si>
  <si>
    <t>SUELDOS 09/2024</t>
  </si>
  <si>
    <t>IMPÓRTE</t>
  </si>
  <si>
    <t>QUIKE</t>
  </si>
  <si>
    <t>TOTAL T.M.E. SAS</t>
  </si>
  <si>
    <t>HORAS</t>
  </si>
  <si>
    <t>LUN. A JUE.</t>
  </si>
  <si>
    <t>TOT.HS.MES 09/24</t>
  </si>
  <si>
    <t>SUELDO (HORAS TRABAJADAS)</t>
  </si>
  <si>
    <t>PRESENTISMO (PROPORCIONAL)</t>
  </si>
  <si>
    <t>VANEGAS -OCT/24-</t>
  </si>
  <si>
    <t>PILU-10/2024</t>
  </si>
  <si>
    <t>HEINLEIN (CHACO)-10/2024</t>
  </si>
  <si>
    <t>JUANI -10/2024-</t>
  </si>
  <si>
    <t>SANDRONE(CORCHO)-10/2024-</t>
  </si>
  <si>
    <t>CTA.16/16 (10% DE SUELDO NETO)*</t>
  </si>
  <si>
    <t>CARLE GERMAN-10/24</t>
  </si>
  <si>
    <t>ROMERO RUBEN-10/2024-</t>
  </si>
  <si>
    <t>ANDREA10/2024-</t>
  </si>
  <si>
    <t>VIRGINIA-10/2024-</t>
  </si>
  <si>
    <t>KIKE-10/2024-</t>
  </si>
  <si>
    <t>MONOTRIBUTO (10/24)</t>
  </si>
  <si>
    <t>MUTUAL (10/24)</t>
  </si>
  <si>
    <t>DIAS P/ENFERMEAD (3D)</t>
  </si>
  <si>
    <t>DIAS P/ENFERMEDAD (2D)</t>
  </si>
  <si>
    <t>VILLARREAL ANDRES-10/2024-</t>
  </si>
  <si>
    <t>ACOSTA NESTOR-10/2024-</t>
  </si>
  <si>
    <t>SUELDO (4D)</t>
  </si>
  <si>
    <t>ADELANTO (JUL/24) CTA 3/3</t>
  </si>
  <si>
    <t xml:space="preserve">AUMENTO </t>
  </si>
  <si>
    <t xml:space="preserve">AUMENTO            </t>
  </si>
  <si>
    <t xml:space="preserve">AUMENTO              </t>
  </si>
  <si>
    <t xml:space="preserve">AUMENTO        </t>
  </si>
  <si>
    <t>KIKE</t>
  </si>
  <si>
    <t>AUMENTO 18%</t>
  </si>
  <si>
    <t xml:space="preserve">AUMENTO     </t>
  </si>
  <si>
    <t>PRESENTISMO(PROPORCIONAL)</t>
  </si>
  <si>
    <t>ANDRES</t>
  </si>
  <si>
    <t>TOT.HS.MES 10/24</t>
  </si>
  <si>
    <t xml:space="preserve"> GERBAUDO MATIAS-10/2024-</t>
  </si>
  <si>
    <t>OCTUBRE 2024</t>
  </si>
  <si>
    <t>PILU-112024</t>
  </si>
  <si>
    <t>CARLE GERMAN-11/24</t>
  </si>
  <si>
    <t>SANDRONE(CORCHO)-11/2024-</t>
  </si>
  <si>
    <t>JUANI -11/2024-</t>
  </si>
  <si>
    <t>ROMERO RUBEN-11/2024-</t>
  </si>
  <si>
    <t xml:space="preserve"> GERBAUDO MATIAS-11/2024-</t>
  </si>
  <si>
    <t>ANDREA-11/2024-</t>
  </si>
  <si>
    <t>VIRGINIA-11/2024-</t>
  </si>
  <si>
    <t>KIKE-11/2024-</t>
  </si>
  <si>
    <t>VILLARREAL ANDRES-11/2024-</t>
  </si>
  <si>
    <t>PILU-VACACIONES-</t>
  </si>
  <si>
    <t>VACACIONES NO GOZADAS (7D)</t>
  </si>
  <si>
    <t>JUANI-VACACIONES-</t>
  </si>
  <si>
    <t>VACACIONES(NO GOZADAS)(7D)</t>
  </si>
  <si>
    <t>NOVIEMBRE 2024</t>
  </si>
  <si>
    <t>TOT.HS.MES 11/24</t>
  </si>
  <si>
    <t>HEINLEIN (CHACO)-11/2024</t>
  </si>
  <si>
    <t>DIAS X ENFERMEDAD (1,5)</t>
  </si>
  <si>
    <t>AUSENTE X VIAJE (1D)</t>
  </si>
  <si>
    <t xml:space="preserve">ALQUILER </t>
  </si>
  <si>
    <t>ZANJEO (GSLPON DUTRUEL)</t>
  </si>
  <si>
    <t>ADELANTO CTA.1/2</t>
  </si>
  <si>
    <t>MONOTRIBUTO (11/24)</t>
  </si>
  <si>
    <t>MUTUAL (11/24)</t>
  </si>
  <si>
    <t xml:space="preserve">AUMENTO                  </t>
  </si>
  <si>
    <t>VACACIONES (2D)</t>
  </si>
  <si>
    <t>VACACIONES 2024 (7D)</t>
  </si>
  <si>
    <t>PILU-12/2024</t>
  </si>
  <si>
    <t>HEINLEIN (CHACO)-12/2024</t>
  </si>
  <si>
    <t>JUANI -12/2024-</t>
  </si>
  <si>
    <t>SANDRONE(CORCHO)-12/2024-</t>
  </si>
  <si>
    <t>CARLE GERMAN-12/24</t>
  </si>
  <si>
    <t>ROMERO RUBEN-12/2024-</t>
  </si>
  <si>
    <t xml:space="preserve"> GERBAUDO MATIAS-12/2024-</t>
  </si>
  <si>
    <t>VACACIONES 2024(7D)</t>
  </si>
  <si>
    <t>ANDREA-12/2024-</t>
  </si>
  <si>
    <t>VILLARREAL ANDRES-12/2024-</t>
  </si>
  <si>
    <t>VACACIONES 2024 (21D)</t>
  </si>
  <si>
    <t>SUELDO DIC/24</t>
  </si>
  <si>
    <t>SAC CTA,2/2024 PROPORC</t>
  </si>
  <si>
    <t>KIKE-12/2024-</t>
  </si>
  <si>
    <t>VACACIONES 2024 PROPORCIONAL(3D)</t>
  </si>
  <si>
    <t>SAC CTA.2/2024-PROPOR.</t>
  </si>
  <si>
    <t>VACACIONES 2024 (14D)</t>
  </si>
  <si>
    <t>SAC CTA.2/2024</t>
  </si>
  <si>
    <t>DEPOSITO P/BCO.   (SAC CTA.2/24)</t>
  </si>
  <si>
    <t>SAC CTA,2/2024</t>
  </si>
  <si>
    <t>SAC CTA2/2024</t>
  </si>
  <si>
    <t>DEPOSITO P/BCO (SAC CTA,2/24)</t>
  </si>
  <si>
    <t>ADELANTO CTA.2/2</t>
  </si>
  <si>
    <t>MUTUAL (12/24)</t>
  </si>
  <si>
    <t>MONOTRIBUTO (12/24)</t>
  </si>
  <si>
    <t xml:space="preserve">TOTAL A CORAR  </t>
  </si>
  <si>
    <t>RECIBO P/TESLA</t>
  </si>
  <si>
    <t>RECIBO P/CONSTRUCTORA</t>
  </si>
  <si>
    <t>PREMIO VIAJES+FIN DE AÑO</t>
  </si>
  <si>
    <t>DEPOSITO P/BCO.   (12/2024)</t>
  </si>
  <si>
    <t>PREMIO VIAJES + FIN DE AÑO</t>
  </si>
  <si>
    <t>PREMIO FIN DE AÑO</t>
  </si>
  <si>
    <t>PREMIO VIAJES +FIN DE AÑO</t>
  </si>
  <si>
    <t>PREMIOI FIN DE AÑO</t>
  </si>
  <si>
    <t>VIRGINIA-12/2024-</t>
  </si>
  <si>
    <t>DICIEMBRE 2024-SAC CTA.2/2024-VAC</t>
  </si>
  <si>
    <t xml:space="preserve">TOTAL TES-LITA </t>
  </si>
  <si>
    <t>TOTAL=$</t>
  </si>
  <si>
    <t xml:space="preserve">VACACIONES (4D) PROPORC </t>
  </si>
  <si>
    <t>FERIADOO()</t>
  </si>
  <si>
    <t>PILU- 01/2025</t>
  </si>
  <si>
    <t>DEPOSITO P/BCO.   (01/2025)</t>
  </si>
  <si>
    <t>SUELDO+VACAC</t>
  </si>
  <si>
    <t>JUANI -01/2025-</t>
  </si>
  <si>
    <t>VACACIONES 2024 (5D)</t>
  </si>
  <si>
    <t>HS. EXTRAS al 50% (01/25)</t>
  </si>
  <si>
    <t>HS. EXTRAS al 50% (12/24)</t>
  </si>
  <si>
    <t>SANDRONE(CORCHO)-01/2025-</t>
  </si>
  <si>
    <t>CARLE GERMAN-01/2025</t>
  </si>
  <si>
    <t>ROMERO RUBEN-01/2025-</t>
  </si>
  <si>
    <t xml:space="preserve"> GERBAUDO MATIAS-01/2025-</t>
  </si>
  <si>
    <t>ANDREA-01/2025-</t>
  </si>
  <si>
    <t>VIRGINIA-01/2025-</t>
  </si>
  <si>
    <t>MUTUAL (01/25)</t>
  </si>
  <si>
    <t>MONOTRIBUTO (01/25)</t>
  </si>
  <si>
    <t>KIKE-01/2025-</t>
  </si>
  <si>
    <t>VILLARREAL ANDRES-01/2025-</t>
  </si>
  <si>
    <t>SUELDOENE/2025</t>
  </si>
  <si>
    <t>PRECIO HORA</t>
  </si>
  <si>
    <t>HEINLEIN (CHACO)-01/2025-</t>
  </si>
  <si>
    <t>HORAS EXTRAS 50% (12/2024)</t>
  </si>
  <si>
    <t>HORAS EXTRAS 50% (01/2025)</t>
  </si>
  <si>
    <t>HORAS EXTRAS AL 50% (ENE/25)</t>
  </si>
  <si>
    <t>HORAS EXTRAS AL 50% (DIC/24)</t>
  </si>
  <si>
    <t>EXTRAS al 50% (12/2024)</t>
  </si>
  <si>
    <t>EXTRAS AL 50% (01/2025)</t>
  </si>
  <si>
    <t>HORAS EXTRAS  50% (01/2025)</t>
  </si>
  <si>
    <t xml:space="preserve">ADICIONAL VIAJES  </t>
  </si>
  <si>
    <t>ADICIONAL VIAJES/LOZAS</t>
  </si>
  <si>
    <t>ADICIONAL VIAJES</t>
  </si>
  <si>
    <t>ADICIONAL X  VIAJES</t>
  </si>
  <si>
    <t>ADICIONAL  ZANJA</t>
  </si>
  <si>
    <t>ENERO 2025</t>
  </si>
  <si>
    <t>TOT.HS.MES 01/25</t>
  </si>
  <si>
    <t>SALDO A COBRAR</t>
  </si>
  <si>
    <t>SE PAGO</t>
  </si>
  <si>
    <t>DIF. A COBRAR</t>
  </si>
  <si>
    <t>DEPOSITO P/BCO.   (02/2025)</t>
  </si>
  <si>
    <t>PILU- 02/2025</t>
  </si>
  <si>
    <t>HEINLEIN (CHACO)-02/2025-</t>
  </si>
  <si>
    <t>JUANI -02/2025-</t>
  </si>
  <si>
    <t>SANDRONE(CORCHO)-02/2025-</t>
  </si>
  <si>
    <t>CARLE GERMAN-02/2025</t>
  </si>
  <si>
    <t>CTA, 1/3 AA</t>
  </si>
  <si>
    <t>ROMERO RUBEN-02/2025-</t>
  </si>
  <si>
    <t xml:space="preserve"> GERBAUDO MATIAS-02/2025-</t>
  </si>
  <si>
    <t>ANDREA-02/2025-</t>
  </si>
  <si>
    <t>MUTUAL (02/25)</t>
  </si>
  <si>
    <t>MONOTRIBUTO (02/25)</t>
  </si>
  <si>
    <t>VIRGINIA-02/2025+VAC-</t>
  </si>
  <si>
    <t>TOT.HS.MES 02/25</t>
  </si>
  <si>
    <t>FEBRERO 2025</t>
  </si>
  <si>
    <t>HORAS EXTRAS AL 50% )</t>
  </si>
  <si>
    <t xml:space="preserve">HS. EXTRAS al 50% </t>
  </si>
  <si>
    <t xml:space="preserve">EXTRAS al 50% </t>
  </si>
  <si>
    <t>FALTO DIA 25/02/25</t>
  </si>
  <si>
    <t xml:space="preserve">HORAS EXTRAS 50% </t>
  </si>
  <si>
    <t xml:space="preserve">ADICIONAL  </t>
  </si>
  <si>
    <t>GUIDO-02/2025-</t>
  </si>
  <si>
    <t>HS. EXTRAS 50%</t>
  </si>
  <si>
    <t>HS. EXTRAS 100%</t>
  </si>
  <si>
    <t>VALOR/HORA</t>
  </si>
  <si>
    <t>GUIDO</t>
  </si>
  <si>
    <t>ADELANTO CTA, 1/2</t>
  </si>
  <si>
    <t xml:space="preserve">ADICIONAL </t>
  </si>
  <si>
    <t>DEPOSITO P/BCO S/REC.SUELDO(02/2025)</t>
  </si>
  <si>
    <t>PILU- 03-2025</t>
  </si>
  <si>
    <t>MARZO2025</t>
  </si>
  <si>
    <t>DEPOSITO P/BCO.   (03/2025)</t>
  </si>
  <si>
    <t>HEINLEIN (CHACO)-03/2025-</t>
  </si>
  <si>
    <t>JUANI -03/2025-</t>
  </si>
  <si>
    <t>DEPOSITO P/BCO S/REC.SUELDO(03/2025)</t>
  </si>
  <si>
    <t>SANDRONE(CORCHO)-03/2025-</t>
  </si>
  <si>
    <t>CARLE GERMAN-03/2025</t>
  </si>
  <si>
    <t>CTA, 2/3 AA</t>
  </si>
  <si>
    <t>ROMERO RUBEN-03/2025-</t>
  </si>
  <si>
    <t xml:space="preserve"> GERBAUDO MATIAS-03/2025-</t>
  </si>
  <si>
    <t>ADELANTO CTA, 2/2</t>
  </si>
  <si>
    <t>VIRGINIA- 03/2025-</t>
  </si>
  <si>
    <t>MUTUAL (03/25)</t>
  </si>
  <si>
    <t>MONOTRIBUTO (03/25)</t>
  </si>
  <si>
    <t>ANDREA-03/2025-</t>
  </si>
  <si>
    <t>GUIDO-03/2025-</t>
  </si>
  <si>
    <t>VACACIONES (7D.2024)</t>
  </si>
  <si>
    <t xml:space="preserve">SAC CTA1/25 </t>
  </si>
  <si>
    <t>FERIADOO(3D)</t>
  </si>
  <si>
    <t>RUBEN (H)-03/2025-</t>
  </si>
  <si>
    <t>FALTO 1 DIA</t>
  </si>
  <si>
    <t>20% AUMENTO</t>
  </si>
  <si>
    <t>ADELANTO (CTA 1/3)</t>
  </si>
  <si>
    <t>15% AUMENTO</t>
  </si>
  <si>
    <t>DIA P/ENFERMEDAD(1D)</t>
  </si>
  <si>
    <t>RUBEN (H)</t>
  </si>
  <si>
    <t>FERIADOO(2D)</t>
  </si>
  <si>
    <t>DEPOSITO P/BCO.   (04/2025)</t>
  </si>
  <si>
    <t>HEINLEIN (CHACO)-04/2025-</t>
  </si>
  <si>
    <t>JUANI -04/2025-</t>
  </si>
  <si>
    <t>DEPOSITO P/BCO S/REC.SUELDO(04/2025)</t>
  </si>
  <si>
    <t>SANDRONE(CORCHO)-04/2025-</t>
  </si>
  <si>
    <t>CARLE GERMAN-042025</t>
  </si>
  <si>
    <t>ROMERO RUBEN-04/2025-</t>
  </si>
  <si>
    <t xml:space="preserve"> GERBAUDO MATIAS-042025-</t>
  </si>
  <si>
    <t>VIRGINIA-04/2025-</t>
  </si>
  <si>
    <t>MUTUAL (04/25)</t>
  </si>
  <si>
    <t>MONOTRIBUTO (04/25)</t>
  </si>
  <si>
    <t>ANDREA-04/2025-</t>
  </si>
  <si>
    <t>GUIDO-04/2025-</t>
  </si>
  <si>
    <t>RUBEN (H)-04/2025-</t>
  </si>
  <si>
    <t>MATEO-04/2025-</t>
  </si>
  <si>
    <t>ALQUILER/LUZ</t>
  </si>
  <si>
    <t>CTA. (3/3 AA Y RESTO DESCUENTA  DE ADELANTO)</t>
  </si>
  <si>
    <t xml:space="preserve">PRESENTISMO PROPORCIONAL </t>
  </si>
  <si>
    <t>ABRIL 2025</t>
  </si>
  <si>
    <t>MATEO</t>
  </si>
  <si>
    <t>PILU- 04-2025</t>
  </si>
  <si>
    <t>TOT.HS.MES 04/25</t>
  </si>
  <si>
    <t>PILU- 05-2025</t>
  </si>
  <si>
    <t>HEINLEIN (CHACO)-052025-</t>
  </si>
  <si>
    <t>JUANI -05/2025-</t>
  </si>
  <si>
    <t>DEPOSITO P/BCO S/REC.SUELDO(05/2025)</t>
  </si>
  <si>
    <t>SANDRONE(CORCHO)-052025-</t>
  </si>
  <si>
    <t>CARLE GERMAN-052025</t>
  </si>
  <si>
    <t>ROMERO RUBEN-05/2025-</t>
  </si>
  <si>
    <t xml:space="preserve"> GERBAUDO MATIAS-05/2025-</t>
  </si>
  <si>
    <t>VIRGINIA 05/2025-</t>
  </si>
  <si>
    <t>ANDREA-05/2025-</t>
  </si>
  <si>
    <t>GUIDO-05/2025-</t>
  </si>
  <si>
    <t>RUBEN (H)-05/2025-</t>
  </si>
  <si>
    <t>MATEO-05/2025-</t>
  </si>
  <si>
    <t>MATIAS PERETTI 05/2025</t>
  </si>
  <si>
    <t>MAYO 2025</t>
  </si>
  <si>
    <t>TOT.HS.MES 05/25</t>
  </si>
  <si>
    <t>DEPOSITO P/BCO.   (05/2025)</t>
  </si>
  <si>
    <t>DIAS X ENFERMEDAD (2D)</t>
  </si>
  <si>
    <t>FERIADO1D)</t>
  </si>
  <si>
    <t>DIAS X ENFERMEDAD (1D)</t>
  </si>
  <si>
    <t>MUTUAL (05/25)</t>
  </si>
  <si>
    <t>MONOTRIBUTO (05/25)</t>
  </si>
  <si>
    <t>ADELANTO (CTA. 1/3)</t>
  </si>
  <si>
    <r>
      <t>NO REMUNERATIVO</t>
    </r>
    <r>
      <rPr>
        <sz val="8"/>
        <color theme="1"/>
        <rFont val="Calibri"/>
        <family val="2"/>
        <scheme val="minor"/>
      </rPr>
      <t>(PROPORCIONAL)</t>
    </r>
  </si>
  <si>
    <t>MATIAS G.</t>
  </si>
  <si>
    <t>MATIAS P.</t>
  </si>
  <si>
    <t>PILU-06/2025-</t>
  </si>
  <si>
    <t>SAC (CTA1/2025)</t>
  </si>
  <si>
    <t>HEINLEIN (CHACO)-06/2025-</t>
  </si>
  <si>
    <t>SAC (CTA. 1/2025)</t>
  </si>
  <si>
    <t>DEPOSITO P/BCO.   (06/2025)</t>
  </si>
  <si>
    <t>DEPOSITO P/BCO.   (SAC 06/25)</t>
  </si>
  <si>
    <t>ADELANTO  (CTA1/2)</t>
  </si>
  <si>
    <t>JUANI -06/2025-</t>
  </si>
  <si>
    <t>SAC (CTA.1/2025)</t>
  </si>
  <si>
    <t>DEPOSITO P/BCO (06/2025)</t>
  </si>
  <si>
    <t>DEPOSITO P/BCO  (SAC CTA.1/2025)</t>
  </si>
  <si>
    <t>SANDRONE(CORCHO)-06/2025-</t>
  </si>
  <si>
    <t>SAC (CTA 1/2025)</t>
  </si>
  <si>
    <t>CARLE GERMAN-06/2025-</t>
  </si>
  <si>
    <t>ADELANTO (MES 06/2025)</t>
  </si>
  <si>
    <t>ROMERO RUBEN-06/2025-</t>
  </si>
  <si>
    <t>DIAS P/ENFERMEDAD (3D)</t>
  </si>
  <si>
    <t xml:space="preserve"> GERBAUDO MATIAS-06/2025-</t>
  </si>
  <si>
    <t>VIRGINIA 06/2025-</t>
  </si>
  <si>
    <t>SAC (CTA.1*2025)</t>
  </si>
  <si>
    <t>MUTUAL (06/25)</t>
  </si>
  <si>
    <t>MONOTRIBUTO (06/25)</t>
  </si>
  <si>
    <t>ANDREA-06/2025-</t>
  </si>
  <si>
    <t>GUIDO-06/2025-</t>
  </si>
  <si>
    <t>RUBEN (H)-06/2025-</t>
  </si>
  <si>
    <t>MATEO-06/2025-</t>
  </si>
  <si>
    <t>MATIAS PERETTI 06/2025</t>
  </si>
  <si>
    <t>ADELANTO (CTA. 2/3)</t>
  </si>
  <si>
    <t>SAC (CTA.1/2025) PROPORCIONAL</t>
  </si>
  <si>
    <t>SAC (CTA.1/2025)PROPORCIONAL</t>
  </si>
  <si>
    <t>TOT.HS.MES 06/25</t>
  </si>
  <si>
    <t>alquiler/luz</t>
  </si>
  <si>
    <t>TOTAL MES 06/2025+SAC</t>
  </si>
  <si>
    <t>TOT.DEUDA $800000</t>
  </si>
  <si>
    <t>***</t>
  </si>
  <si>
    <t>5% AUMENTO</t>
  </si>
  <si>
    <t>10% AUMENTO</t>
  </si>
  <si>
    <t>JUNIO 2025+ SAC CTA1/2025</t>
  </si>
  <si>
    <t>MATIAS PERETTI -07/2025-</t>
  </si>
  <si>
    <t>NO REMUNERATIVO PROP.</t>
  </si>
  <si>
    <t>VACACIONES PROP(3D)</t>
  </si>
  <si>
    <t>PILU-07/2025-</t>
  </si>
  <si>
    <t>ADELANTO  (CTA2/2)</t>
  </si>
  <si>
    <t>ADELANTO MES 07/2025</t>
  </si>
  <si>
    <t>AUSENTE (1D)C/CERT</t>
  </si>
  <si>
    <t>HEINLEIN (CHACO)-07/2025-</t>
  </si>
  <si>
    <t>JUANI -07/2025-</t>
  </si>
  <si>
    <t>SANDRONE(CORCHO)-07/2025-</t>
  </si>
  <si>
    <t>CARLE GERMAN-07/2025-</t>
  </si>
  <si>
    <t>ADELANTO (MES 07/2025)</t>
  </si>
  <si>
    <t>ROMERO RUBEN-07/2025-</t>
  </si>
  <si>
    <t xml:space="preserve"> GERBAUDO MATIAS-07/2025-</t>
  </si>
  <si>
    <t>MUTUAL (07/25)</t>
  </si>
  <si>
    <t>MONOTRIBUTO (07/25)</t>
  </si>
  <si>
    <t>VIRGINIA 07/2025-</t>
  </si>
  <si>
    <t>ANDREA-07/2025-</t>
  </si>
  <si>
    <t>GUIDO-07/2025-</t>
  </si>
  <si>
    <t>RUBEN (H)-07/2025-</t>
  </si>
  <si>
    <t>MATEO-07/2025-</t>
  </si>
  <si>
    <t>TOTAL MES 07/2025</t>
  </si>
  <si>
    <t>TOT.HS.MES 07/25</t>
  </si>
  <si>
    <t>DEPOSITO P/BCO.   (07/2025)</t>
  </si>
  <si>
    <t>DEPOSITO P/BCO (07/2025)</t>
  </si>
  <si>
    <t>JULIO 2025</t>
  </si>
  <si>
    <t>MATEO-08/2025-</t>
  </si>
  <si>
    <t>VACACIONES(PROPORCIONAL-5D-)</t>
  </si>
  <si>
    <t>SAC PROPORCIONAL</t>
  </si>
  <si>
    <t>PILU-08/2025-</t>
  </si>
  <si>
    <t>FERIADO(0)</t>
  </si>
  <si>
    <t>DEPOSITO P/BCO.   (08/2025)</t>
  </si>
  <si>
    <t>HEINLEIN (CHACO)-08/2025-</t>
  </si>
  <si>
    <t>FERIADO (0)</t>
  </si>
  <si>
    <t>ADELANTO MES 08/2025</t>
  </si>
  <si>
    <t>DEPOSITO P/BCO (08/2025)</t>
  </si>
  <si>
    <t>SANDRONE(CORCHO)-08/2025-</t>
  </si>
  <si>
    <t>CARLE GERMAN-08/2025-</t>
  </si>
  <si>
    <t>DIAS P/ENFERMEDAD(2D)</t>
  </si>
  <si>
    <t>ADELANTO (MES 08/2025)</t>
  </si>
  <si>
    <t>ROMERO RUBEN-08/2025-</t>
  </si>
  <si>
    <t xml:space="preserve"> GERBAUDO MATIAS-08/2025-</t>
  </si>
  <si>
    <t>VIRGINIA 08/2025-</t>
  </si>
  <si>
    <t>MUTUAL (08/25)</t>
  </si>
  <si>
    <t>MONOTRIBUTO (08/25)</t>
  </si>
  <si>
    <t>ANDREA-08/2025-</t>
  </si>
  <si>
    <t>GUIDO-08/2025-</t>
  </si>
  <si>
    <t>RUBEN (H)-08/2025-</t>
  </si>
  <si>
    <t>AGOSTO 2025</t>
  </si>
  <si>
    <t>IMPÓRTE A COBRAR</t>
  </si>
  <si>
    <t>TOT.HS.MES 08/25</t>
  </si>
  <si>
    <t>TOTAL MES 08/2025</t>
  </si>
  <si>
    <t>JUANI -08/2025-</t>
  </si>
  <si>
    <t>20 % AUMENTO</t>
  </si>
  <si>
    <t>*</t>
  </si>
  <si>
    <t>SETIEMBRE 2025</t>
  </si>
  <si>
    <t>PILU-09/2025-</t>
  </si>
  <si>
    <t>TOT.HS.MES 09/25</t>
  </si>
  <si>
    <t>DEPOSITO P/BCO.   (09/2025)</t>
  </si>
  <si>
    <t>HEINLEIN (CHACO)-09/2025-</t>
  </si>
  <si>
    <t>ADELANTO MES 09/2025</t>
  </si>
  <si>
    <t>JUANI -09/2025-</t>
  </si>
  <si>
    <t>DEPOSITO P/BCO (09/2025)</t>
  </si>
  <si>
    <t>SANDRONE(CORCHO)-09/2025-</t>
  </si>
  <si>
    <t>CARLE GERMAN-09/2025-</t>
  </si>
  <si>
    <t>ADELANTO (MES 09/2025)</t>
  </si>
  <si>
    <t>ROMERO RUBEN-09/2025-</t>
  </si>
  <si>
    <t xml:space="preserve"> GERBAUDO MATIAS-09/2025-</t>
  </si>
  <si>
    <t>VIRGINIA 09/2025-</t>
  </si>
  <si>
    <t>MUTUAL (09/25)</t>
  </si>
  <si>
    <t>MONOTRIBUTO (09/25)</t>
  </si>
  <si>
    <t>ANDREA-09/2025-</t>
  </si>
  <si>
    <t>GUIDO-09/2025-</t>
  </si>
  <si>
    <t>RUBEN (H)-09/2025-</t>
  </si>
  <si>
    <t>(FALTO DESCONTAR)</t>
  </si>
  <si>
    <t>DESCUENTO 1D FALTO EN MES 08/2025</t>
  </si>
  <si>
    <t>VACACIONES(2D)</t>
  </si>
  <si>
    <t>PILU-10/2025-</t>
  </si>
  <si>
    <t>DEPOSITO P/BCO. (2da.QUINC/10/25)</t>
  </si>
  <si>
    <t>DEPOSITO P/BCO. (1er.QUINC/10/25)</t>
  </si>
  <si>
    <t>VACACIONES(D)</t>
  </si>
  <si>
    <t>ADELANTO MES 10/2025</t>
  </si>
  <si>
    <t>HEINLEIN (CHACO)-10/2025-</t>
  </si>
  <si>
    <t>JUANI -10/2025-</t>
  </si>
  <si>
    <t>SANDRONE(CORCHO)-10/2025-</t>
  </si>
  <si>
    <t>CARLE GERMAN-10/2025-</t>
  </si>
  <si>
    <t>ADELANTO (MES 10/2025)</t>
  </si>
  <si>
    <t>ROMERO RUBEN-10/2025-</t>
  </si>
  <si>
    <t>VACACIONES(1D)</t>
  </si>
  <si>
    <t xml:space="preserve"> GERBAUDO MATIAS-10/2025-</t>
  </si>
  <si>
    <t>VIRGINIA 10/2025-</t>
  </si>
  <si>
    <t>ANDREA-10/2025-</t>
  </si>
  <si>
    <t>ADELANTO 10/25</t>
  </si>
  <si>
    <t>GUIDO-10/2025-</t>
  </si>
  <si>
    <t>DARIO-10/2025-</t>
  </si>
  <si>
    <t>OCTUBRE 2025</t>
  </si>
  <si>
    <t>MUTUAL (10/25)</t>
  </si>
  <si>
    <t>MONOTRIBUTO (10/25)</t>
  </si>
  <si>
    <t>TOTAL MES 010/2025</t>
  </si>
  <si>
    <t>TOT.HS.MES 10/25</t>
  </si>
  <si>
    <t>PILU-11/2025-</t>
  </si>
  <si>
    <t>DEPOSITO P/BCO. (1er.QUINC.11/25)</t>
  </si>
  <si>
    <t>DEPOSITO P/BCO. (2da.QUINC.11/25)</t>
  </si>
  <si>
    <t>HEINLEIN (CHACO)-11/2025-</t>
  </si>
  <si>
    <t>ADELANTO MES 11/2025</t>
  </si>
  <si>
    <t>JUANI -11/2025-</t>
  </si>
  <si>
    <t>SANDRONE(CORCHO)-11/2025-</t>
  </si>
  <si>
    <t>CARLE GERMAN-11/2025-</t>
  </si>
  <si>
    <t>ROMERO RUBEN-11/2025-</t>
  </si>
  <si>
    <t xml:space="preserve"> GERBAUDO MATIAS-11/2025-</t>
  </si>
  <si>
    <t>VIRGINIA 11/2025-</t>
  </si>
  <si>
    <t>MUTUAL (11/25)</t>
  </si>
  <si>
    <t>MONOTRIBUTO (11/25)</t>
  </si>
  <si>
    <t>ANDREA-11/2025-</t>
  </si>
  <si>
    <t>ADELANTO 11/25</t>
  </si>
  <si>
    <t>GUIDO-11/2025-</t>
  </si>
  <si>
    <t>DARIO-11/2025-</t>
  </si>
  <si>
    <t>FERIADO(D)</t>
  </si>
  <si>
    <t>DIAS X ENFERMEDAD</t>
  </si>
  <si>
    <t>Tiene dias x enfermedad</t>
  </si>
  <si>
    <t>(Rodilla)</t>
  </si>
  <si>
    <t>FERIADO (D)</t>
  </si>
  <si>
    <t>DIAS AUSENTE (X VIAJE)</t>
  </si>
  <si>
    <t>Transferencia</t>
  </si>
  <si>
    <t>Tiene dias x viaje</t>
  </si>
  <si>
    <t>TOTAL MES 11/2025</t>
  </si>
  <si>
    <t>27/11 Se retiro antes</t>
  </si>
  <si>
    <t>(No trajo certificado)</t>
  </si>
  <si>
    <t>PILU-12/2025-</t>
  </si>
  <si>
    <t>SAC CTA2/2025</t>
  </si>
  <si>
    <t>SANDRONE(CORCHO)-12/2025-SAC CTA.2/2025</t>
  </si>
  <si>
    <t>SAC CTA.2/2025</t>
  </si>
  <si>
    <t>CARLE GERMAN-12/2025-SAC CTA.2/2025</t>
  </si>
  <si>
    <t xml:space="preserve"> GERBAUDO MATIAS-12/2025-SAC CTA.2/2025</t>
  </si>
  <si>
    <t>SUELDO 08/2025</t>
  </si>
  <si>
    <t>SUELDO 09/2025</t>
  </si>
  <si>
    <t>SUELDO 10/2025</t>
  </si>
  <si>
    <t>SUELDO 11/2025</t>
  </si>
  <si>
    <t>SUELDO 07/2025</t>
  </si>
  <si>
    <t>DICIEMBRE 2025</t>
  </si>
  <si>
    <t>TOTAL SAC CTA.2/2025</t>
  </si>
  <si>
    <t>BANCO</t>
  </si>
  <si>
    <t>A COBRAR</t>
  </si>
  <si>
    <t>SANDRONE(CORCHO)-12/2025-</t>
  </si>
  <si>
    <t>VACACIONES 2025(3D)</t>
  </si>
  <si>
    <t>VACACIONES 2025(14D)</t>
  </si>
  <si>
    <t>ROMERO RUBEN-12/2025-</t>
  </si>
  <si>
    <t>VACACIONES(3D)</t>
  </si>
  <si>
    <t>HEINLEIN (CHACO)-12/2025-</t>
  </si>
  <si>
    <t>GUIDO-12/2025-</t>
  </si>
  <si>
    <t>ADELANTO DIC/2025</t>
  </si>
  <si>
    <t xml:space="preserve">JUANI -12/2025- </t>
  </si>
  <si>
    <t>CARLE GERMAN-12/2025-VAC2025-</t>
  </si>
  <si>
    <t xml:space="preserve"> GERBAUDO MATIAS-12/2025-VAC2025-</t>
  </si>
  <si>
    <t>DARIO-12/2025-VAC2025-</t>
  </si>
  <si>
    <t>DIAS X ENFERMEDAD(15D)</t>
  </si>
  <si>
    <t>DEPOSITO P/BCO. (2da.QUINC.12/25)</t>
  </si>
  <si>
    <t>DEPOSITO P/BCO. (1er.QUINC.12/25)</t>
  </si>
  <si>
    <t>VACACIONES(8D)</t>
  </si>
  <si>
    <t>ADELANTO MES 12/2025</t>
  </si>
  <si>
    <t>SALDO NOV/25</t>
  </si>
  <si>
    <t>JUANI -12/2025</t>
  </si>
  <si>
    <t>ROMERO RUBEN-12/2025</t>
  </si>
  <si>
    <t>VIRGINIA 12/2025-</t>
  </si>
  <si>
    <t>ANDREA-12/2025-</t>
  </si>
  <si>
    <t>ADELANTO 12/25</t>
  </si>
  <si>
    <t>FABIAN-12/2025-</t>
  </si>
  <si>
    <t>HORAS EXTRAS NOCTURNAS</t>
  </si>
  <si>
    <t>QUEDA PEND. P/PROXIMO MES</t>
  </si>
  <si>
    <t>HORAS NOCTURNAS</t>
  </si>
  <si>
    <t>HS.EXTRAS NOCTURNAS</t>
  </si>
  <si>
    <t>MUTUAL (12/25)</t>
  </si>
  <si>
    <t>MONOTRIBUTO (12/25)</t>
  </si>
  <si>
    <t>PILU-VACAC./2025-</t>
  </si>
  <si>
    <t>PILU-01/2026-</t>
  </si>
  <si>
    <t>DEPOSITO P/BCO. (1er.QUINC.01/26)</t>
  </si>
  <si>
    <t>DEPOSITO P/BCO. (2da.QUINC.01/26)</t>
  </si>
  <si>
    <t>HEINLEIN (CHACO)-01/2026-</t>
  </si>
  <si>
    <t>JUANI -01/2026</t>
  </si>
  <si>
    <t>SANDRONE(CORCHO)-01/2026-</t>
  </si>
  <si>
    <t>CARLE GERMAN-01/2026-</t>
  </si>
  <si>
    <t>ROMERO RUBEN-01/2026--</t>
  </si>
  <si>
    <t>ADELANTO MES 01/2026</t>
  </si>
  <si>
    <t xml:space="preserve"> GERBAUDO MATIAS-01/2026-</t>
  </si>
  <si>
    <t>ANDREA-01/2026-</t>
  </si>
  <si>
    <t>GUIDO-01/2026-</t>
  </si>
  <si>
    <t>FABIAN -01/2026-</t>
  </si>
  <si>
    <t>VACACIONES(15D)</t>
  </si>
  <si>
    <t>VACACIONES(10D)</t>
  </si>
  <si>
    <t>ADELANTO (MES 01/2026)</t>
  </si>
  <si>
    <t>MUTUAL (01/2026)</t>
  </si>
  <si>
    <t>MONOTRIBUTO (01/26)</t>
  </si>
  <si>
    <t>ADELANTO 01/2026</t>
  </si>
  <si>
    <t>TOTAL MES 01/2026</t>
  </si>
  <si>
    <t>VIRGINIA -01/2026-</t>
  </si>
  <si>
    <t>ENERO 2026</t>
  </si>
  <si>
    <t>PILU-02/2026-</t>
  </si>
  <si>
    <t>HEINLEIN (CHACO)-02/2026-</t>
  </si>
  <si>
    <t>SANDRONE(CORCHO)-02/2026-</t>
  </si>
  <si>
    <t>CARLE GERMAN-02/2026-</t>
  </si>
  <si>
    <t>ROMERO RUBEN-02/2026--</t>
  </si>
  <si>
    <t xml:space="preserve"> GERBAUDO MATIAS-02/2026-</t>
  </si>
  <si>
    <t>VIRGINIA -02/2026+VAC25-</t>
  </si>
  <si>
    <t>ANDREA-02/2026-</t>
  </si>
  <si>
    <t>FABIAN -02/2026-</t>
  </si>
  <si>
    <t>JUANI -02/2026-VACACIONES-</t>
  </si>
  <si>
    <t>VACACIONES(26D)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</si>
  <si>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</si>
  <si>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GUIDO-02/2026-VACACIONES-</t>
  </si>
  <si>
    <t>TRANSFERENCIA BCRIA</t>
  </si>
  <si>
    <t>TRANSF.BCRIA.</t>
  </si>
  <si>
    <t>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</si>
</sst>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1"/>
      <name val="Tahoma"/>
      <family val="2"/>
    </font>
    <font>
      <b/>
      <sz val="15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9"/>
      <color rgb="FFFF0000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610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2" borderId="0" applyNumberFormat="0" applyBorder="0" applyAlignment="0" applyProtection="0"/>
    <xf numFmtId="44" fontId="1" fillId="0" borderId="0" applyFont="0" applyFill="0" applyBorder="0" applyAlignment="0" applyProtection="0"/>
  </cellStyleXfs>
  <cellXfs count="147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44" fontId="0" fillId="0" borderId="0" xfId="1" applyNumberFormat="1" applyFont="1"/>
    <xf numFmtId="0" fontId="2" fillId="0" borderId="0" xfId="0" applyFont="1" applyFill="1" applyBorder="1" applyAlignment="1">
      <alignment horizontal="left"/>
    </xf>
    <xf numFmtId="44" fontId="0" fillId="0" borderId="0" xfId="1" applyNumberFormat="1" applyFont="1" applyBorder="1"/>
    <xf numFmtId="0" fontId="2" fillId="2" borderId="6" xfId="0" applyFont="1" applyFill="1" applyBorder="1" applyAlignment="1">
      <alignment horizontal="center" vertical="center"/>
    </xf>
    <xf numFmtId="44" fontId="2" fillId="2" borderId="7" xfId="1" applyNumberFormat="1" applyFont="1" applyFill="1" applyBorder="1" applyAlignment="1">
      <alignment horizontal="center" vertical="center"/>
    </xf>
    <xf numFmtId="0" fontId="0" fillId="0" borderId="6" xfId="0" applyBorder="1"/>
    <xf numFmtId="44" fontId="0" fillId="0" borderId="7" xfId="1" applyNumberFormat="1" applyFont="1" applyBorder="1"/>
    <xf numFmtId="0" fontId="2" fillId="0" borderId="8" xfId="0" applyFont="1" applyFill="1" applyBorder="1" applyAlignment="1">
      <alignment horizontal="left"/>
    </xf>
    <xf numFmtId="0" fontId="0" fillId="0" borderId="9" xfId="0" applyBorder="1"/>
    <xf numFmtId="0" fontId="0" fillId="0" borderId="10" xfId="0" applyBorder="1"/>
    <xf numFmtId="44" fontId="0" fillId="0" borderId="11" xfId="1" applyNumberFormat="1" applyFont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4" fontId="2" fillId="2" borderId="5" xfId="1" applyNumberFormat="1" applyFont="1" applyFill="1" applyBorder="1" applyAlignment="1">
      <alignment horizontal="center" vertical="center"/>
    </xf>
    <xf numFmtId="0" fontId="4" fillId="3" borderId="6" xfId="0" applyFont="1" applyFill="1" applyBorder="1"/>
    <xf numFmtId="0" fontId="4" fillId="3" borderId="18" xfId="0" applyFont="1" applyFill="1" applyBorder="1"/>
    <xf numFmtId="0" fontId="0" fillId="0" borderId="19" xfId="0" applyBorder="1"/>
    <xf numFmtId="44" fontId="4" fillId="0" borderId="7" xfId="1" applyNumberFormat="1" applyFont="1" applyBorder="1"/>
    <xf numFmtId="44" fontId="4" fillId="0" borderId="11" xfId="1" applyNumberFormat="1" applyFont="1" applyBorder="1"/>
    <xf numFmtId="44" fontId="5" fillId="0" borderId="7" xfId="1" applyNumberFormat="1" applyFont="1" applyBorder="1"/>
    <xf numFmtId="0" fontId="0" fillId="0" borderId="20" xfId="0" applyBorder="1"/>
    <xf numFmtId="0" fontId="0" fillId="0" borderId="22" xfId="0" applyBorder="1"/>
    <xf numFmtId="44" fontId="6" fillId="0" borderId="2" xfId="1" applyNumberFormat="1" applyFont="1" applyBorder="1"/>
    <xf numFmtId="44" fontId="6" fillId="0" borderId="21" xfId="1" applyNumberFormat="1" applyFont="1" applyBorder="1"/>
    <xf numFmtId="0" fontId="7" fillId="4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44" fontId="0" fillId="0" borderId="25" xfId="0" applyNumberFormat="1" applyBorder="1" applyAlignment="1">
      <alignment horizontal="center"/>
    </xf>
    <xf numFmtId="44" fontId="2" fillId="0" borderId="25" xfId="0" applyNumberFormat="1" applyFont="1" applyBorder="1" applyAlignment="1">
      <alignment horizontal="center"/>
    </xf>
    <xf numFmtId="44" fontId="0" fillId="0" borderId="25" xfId="0" applyNumberFormat="1" applyBorder="1"/>
    <xf numFmtId="44" fontId="2" fillId="0" borderId="25" xfId="0" applyNumberFormat="1" applyFont="1" applyBorder="1"/>
    <xf numFmtId="0" fontId="2" fillId="0" borderId="25" xfId="0" applyFont="1" applyBorder="1"/>
    <xf numFmtId="44" fontId="2" fillId="0" borderId="23" xfId="0" applyNumberFormat="1" applyFont="1" applyBorder="1" applyAlignment="1">
      <alignment horizontal="center"/>
    </xf>
    <xf numFmtId="44" fontId="0" fillId="0" borderId="26" xfId="0" applyNumberFormat="1" applyBorder="1" applyAlignment="1">
      <alignment horizontal="center"/>
    </xf>
    <xf numFmtId="44" fontId="6" fillId="5" borderId="21" xfId="0" applyNumberFormat="1" applyFont="1" applyFill="1" applyBorder="1"/>
    <xf numFmtId="0" fontId="2" fillId="5" borderId="28" xfId="0" applyFont="1" applyFill="1" applyBorder="1" applyAlignment="1">
      <alignment horizontal="center"/>
    </xf>
    <xf numFmtId="44" fontId="0" fillId="0" borderId="29" xfId="0" applyNumberFormat="1" applyBorder="1"/>
    <xf numFmtId="44" fontId="2" fillId="0" borderId="29" xfId="0" applyNumberFormat="1" applyFont="1" applyBorder="1"/>
    <xf numFmtId="0" fontId="2" fillId="0" borderId="29" xfId="0" applyFont="1" applyBorder="1"/>
    <xf numFmtId="44" fontId="2" fillId="0" borderId="28" xfId="0" applyNumberFormat="1" applyFont="1" applyBorder="1" applyAlignment="1">
      <alignment horizontal="center"/>
    </xf>
    <xf numFmtId="44" fontId="2" fillId="0" borderId="2" xfId="0" applyNumberFormat="1" applyFont="1" applyBorder="1"/>
    <xf numFmtId="44" fontId="2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4" fontId="8" fillId="0" borderId="0" xfId="1" applyNumberFormat="1" applyFont="1"/>
    <xf numFmtId="44" fontId="0" fillId="0" borderId="0" xfId="0" applyNumberFormat="1"/>
    <xf numFmtId="44" fontId="0" fillId="0" borderId="0" xfId="0" applyNumberFormat="1" applyBorder="1"/>
    <xf numFmtId="44" fontId="0" fillId="0" borderId="0" xfId="0" applyNumberFormat="1" applyAlignment="1">
      <alignment horizontal="center"/>
    </xf>
    <xf numFmtId="44" fontId="0" fillId="0" borderId="33" xfId="0" applyNumberFormat="1" applyBorder="1"/>
    <xf numFmtId="44" fontId="0" fillId="0" borderId="34" xfId="0" applyNumberFormat="1" applyBorder="1"/>
    <xf numFmtId="44" fontId="0" fillId="0" borderId="35" xfId="0" applyNumberFormat="1" applyBorder="1"/>
    <xf numFmtId="44" fontId="0" fillId="0" borderId="36" xfId="0" applyNumberFormat="1" applyBorder="1"/>
    <xf numFmtId="44" fontId="0" fillId="0" borderId="37" xfId="0" applyNumberFormat="1" applyBorder="1"/>
    <xf numFmtId="0" fontId="9" fillId="0" borderId="36" xfId="0" applyFont="1" applyBorder="1"/>
    <xf numFmtId="0" fontId="10" fillId="6" borderId="38" xfId="0" applyFont="1" applyFill="1" applyBorder="1" applyAlignment="1">
      <alignment horizontal="center" vertical="center"/>
    </xf>
    <xf numFmtId="44" fontId="10" fillId="6" borderId="38" xfId="1" applyNumberFormat="1" applyFont="1" applyFill="1" applyBorder="1" applyAlignment="1">
      <alignment horizontal="center" vertical="center"/>
    </xf>
    <xf numFmtId="44" fontId="10" fillId="6" borderId="21" xfId="1" applyNumberFormat="1" applyFont="1" applyFill="1" applyBorder="1" applyAlignment="1">
      <alignment horizontal="center"/>
    </xf>
    <xf numFmtId="0" fontId="11" fillId="7" borderId="31" xfId="0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44" fontId="0" fillId="0" borderId="24" xfId="0" applyNumberFormat="1" applyBorder="1"/>
    <xf numFmtId="44" fontId="0" fillId="0" borderId="38" xfId="0" applyNumberFormat="1" applyBorder="1"/>
    <xf numFmtId="44" fontId="0" fillId="0" borderId="21" xfId="0" applyNumberFormat="1" applyBorder="1"/>
    <xf numFmtId="44" fontId="2" fillId="0" borderId="0" xfId="0" applyNumberFormat="1" applyFont="1" applyAlignment="1">
      <alignment horizontal="center"/>
    </xf>
    <xf numFmtId="0" fontId="0" fillId="8" borderId="0" xfId="0" applyFill="1" applyAlignment="1">
      <alignment horizontal="center"/>
    </xf>
    <xf numFmtId="0" fontId="2" fillId="4" borderId="24" xfId="0" applyFont="1" applyFill="1" applyBorder="1" applyAlignment="1">
      <alignment horizontal="center" vertical="center"/>
    </xf>
    <xf numFmtId="44" fontId="2" fillId="0" borderId="23" xfId="0" applyNumberFormat="1" applyFont="1" applyBorder="1"/>
    <xf numFmtId="44" fontId="2" fillId="0" borderId="40" xfId="0" applyNumberFormat="1" applyFont="1" applyBorder="1" applyAlignment="1">
      <alignment horizontal="center"/>
    </xf>
    <xf numFmtId="44" fontId="2" fillId="0" borderId="39" xfId="0" applyNumberFormat="1" applyFont="1" applyBorder="1" applyAlignment="1">
      <alignment horizontal="center"/>
    </xf>
    <xf numFmtId="44" fontId="2" fillId="0" borderId="28" xfId="0" applyNumberFormat="1" applyFont="1" applyBorder="1"/>
    <xf numFmtId="44" fontId="2" fillId="0" borderId="4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44" fontId="0" fillId="0" borderId="1" xfId="0" applyNumberFormat="1" applyBorder="1"/>
    <xf numFmtId="44" fontId="0" fillId="0" borderId="9" xfId="0" applyNumberFormat="1" applyBorder="1"/>
    <xf numFmtId="44" fontId="0" fillId="0" borderId="43" xfId="0" applyNumberFormat="1" applyBorder="1" applyAlignment="1">
      <alignment horizontal="center"/>
    </xf>
    <xf numFmtId="44" fontId="2" fillId="0" borderId="45" xfId="0" applyNumberFormat="1" applyFont="1" applyBorder="1" applyAlignment="1">
      <alignment horizontal="center"/>
    </xf>
    <xf numFmtId="44" fontId="2" fillId="0" borderId="41" xfId="0" applyNumberFormat="1" applyFont="1" applyBorder="1" applyAlignment="1">
      <alignment horizontal="center"/>
    </xf>
    <xf numFmtId="0" fontId="2" fillId="4" borderId="3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4" fontId="0" fillId="0" borderId="46" xfId="0" applyNumberFormat="1" applyBorder="1" applyAlignment="1">
      <alignment horizontal="center"/>
    </xf>
    <xf numFmtId="44" fontId="0" fillId="0" borderId="47" xfId="0" applyNumberFormat="1" applyBorder="1"/>
    <xf numFmtId="44" fontId="0" fillId="0" borderId="48" xfId="0" applyNumberFormat="1" applyBorder="1"/>
    <xf numFmtId="0" fontId="2" fillId="5" borderId="27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44" fontId="0" fillId="0" borderId="44" xfId="0" applyNumberFormat="1" applyBorder="1" applyAlignment="1">
      <alignment horizontal="center"/>
    </xf>
    <xf numFmtId="44" fontId="0" fillId="0" borderId="2" xfId="0" applyNumberFormat="1" applyBorder="1" applyAlignment="1"/>
    <xf numFmtId="0" fontId="2" fillId="0" borderId="0" xfId="0" applyFont="1"/>
    <xf numFmtId="0" fontId="2" fillId="0" borderId="16" xfId="0" applyFont="1" applyBorder="1"/>
    <xf numFmtId="43" fontId="0" fillId="0" borderId="16" xfId="1" applyFont="1" applyBorder="1"/>
    <xf numFmtId="43" fontId="0" fillId="0" borderId="17" xfId="1" applyFont="1" applyBorder="1"/>
    <xf numFmtId="0" fontId="0" fillId="0" borderId="33" xfId="0" applyBorder="1"/>
    <xf numFmtId="0" fontId="2" fillId="0" borderId="0" xfId="0" applyFont="1" applyBorder="1"/>
    <xf numFmtId="43" fontId="0" fillId="0" borderId="0" xfId="1" applyFont="1" applyBorder="1"/>
    <xf numFmtId="43" fontId="0" fillId="0" borderId="34" xfId="1" applyFont="1" applyBorder="1"/>
    <xf numFmtId="16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8" fillId="0" borderId="3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34" xfId="1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0" xfId="0" applyFill="1"/>
    <xf numFmtId="16" fontId="5" fillId="0" borderId="33" xfId="0" applyNumberFormat="1" applyFont="1" applyBorder="1" applyAlignment="1">
      <alignment horizontal="center"/>
    </xf>
    <xf numFmtId="43" fontId="0" fillId="0" borderId="2" xfId="1" applyFont="1" applyBorder="1"/>
    <xf numFmtId="43" fontId="0" fillId="0" borderId="37" xfId="1" applyFont="1" applyBorder="1"/>
    <xf numFmtId="43" fontId="0" fillId="0" borderId="37" xfId="1" applyFont="1" applyBorder="1" applyAlignment="1">
      <alignment horizontal="center"/>
    </xf>
    <xf numFmtId="43" fontId="0" fillId="0" borderId="36" xfId="1" applyFont="1" applyBorder="1" applyAlignment="1">
      <alignment horizontal="center"/>
    </xf>
    <xf numFmtId="0" fontId="8" fillId="6" borderId="15" xfId="0" applyFont="1" applyFill="1" applyBorder="1"/>
    <xf numFmtId="0" fontId="8" fillId="6" borderId="33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13" fillId="10" borderId="3" xfId="3" applyBorder="1" applyAlignment="1">
      <alignment horizontal="center" vertical="center"/>
    </xf>
    <xf numFmtId="0" fontId="13" fillId="10" borderId="4" xfId="3" applyBorder="1" applyAlignment="1">
      <alignment horizontal="center" vertical="center"/>
    </xf>
    <xf numFmtId="44" fontId="13" fillId="10" borderId="5" xfId="3" applyNumberFormat="1" applyBorder="1" applyAlignment="1">
      <alignment horizontal="center" vertical="center"/>
    </xf>
    <xf numFmtId="0" fontId="13" fillId="10" borderId="6" xfId="3" applyBorder="1"/>
    <xf numFmtId="0" fontId="13" fillId="10" borderId="1" xfId="3" applyBorder="1"/>
    <xf numFmtId="44" fontId="13" fillId="10" borderId="7" xfId="3" applyNumberFormat="1" applyBorder="1"/>
    <xf numFmtId="44" fontId="13" fillId="10" borderId="11" xfId="3" applyNumberFormat="1" applyBorder="1"/>
    <xf numFmtId="0" fontId="13" fillId="10" borderId="8" xfId="3" applyBorder="1" applyAlignment="1">
      <alignment horizontal="left"/>
    </xf>
    <xf numFmtId="0" fontId="13" fillId="10" borderId="9" xfId="3" applyBorder="1"/>
    <xf numFmtId="0" fontId="13" fillId="10" borderId="10" xfId="3" applyBorder="1"/>
    <xf numFmtId="44" fontId="13" fillId="10" borderId="2" xfId="3" applyNumberFormat="1" applyBorder="1"/>
    <xf numFmtId="0" fontId="4" fillId="11" borderId="6" xfId="0" applyFont="1" applyFill="1" applyBorder="1"/>
    <xf numFmtId="0" fontId="8" fillId="11" borderId="6" xfId="0" applyFont="1" applyFill="1" applyBorder="1"/>
    <xf numFmtId="0" fontId="2" fillId="11" borderId="1" xfId="0" applyFont="1" applyFill="1" applyBorder="1"/>
    <xf numFmtId="44" fontId="2" fillId="11" borderId="7" xfId="1" applyNumberFormat="1" applyFont="1" applyFill="1" applyBorder="1"/>
    <xf numFmtId="0" fontId="8" fillId="11" borderId="18" xfId="0" applyFont="1" applyFill="1" applyBorder="1"/>
    <xf numFmtId="44" fontId="2" fillId="11" borderId="11" xfId="1" applyNumberFormat="1" applyFont="1" applyFill="1" applyBorder="1"/>
    <xf numFmtId="0" fontId="8" fillId="11" borderId="19" xfId="0" applyFont="1" applyFill="1" applyBorder="1"/>
    <xf numFmtId="0" fontId="2" fillId="0" borderId="49" xfId="0" applyFont="1" applyFill="1" applyBorder="1" applyAlignment="1">
      <alignment horizontal="left"/>
    </xf>
    <xf numFmtId="0" fontId="8" fillId="11" borderId="1" xfId="0" applyFont="1" applyFill="1" applyBorder="1"/>
    <xf numFmtId="44" fontId="8" fillId="11" borderId="1" xfId="1" applyNumberFormat="1" applyFont="1" applyFill="1" applyBorder="1"/>
    <xf numFmtId="44" fontId="8" fillId="11" borderId="19" xfId="1" applyNumberFormat="1" applyFont="1" applyFill="1" applyBorder="1"/>
    <xf numFmtId="0" fontId="4" fillId="11" borderId="1" xfId="0" applyFont="1" applyFill="1" applyBorder="1"/>
    <xf numFmtId="44" fontId="4" fillId="11" borderId="7" xfId="1" applyNumberFormat="1" applyFont="1" applyFill="1" applyBorder="1"/>
    <xf numFmtId="44" fontId="8" fillId="11" borderId="7" xfId="1" applyNumberFormat="1" applyFont="1" applyFill="1" applyBorder="1"/>
    <xf numFmtId="0" fontId="2" fillId="0" borderId="1" xfId="0" applyFont="1" applyBorder="1"/>
    <xf numFmtId="44" fontId="8" fillId="11" borderId="11" xfId="1" applyNumberFormat="1" applyFont="1" applyFill="1" applyBorder="1"/>
    <xf numFmtId="0" fontId="16" fillId="0" borderId="16" xfId="0" applyFont="1" applyBorder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0" fontId="17" fillId="0" borderId="33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43" fontId="2" fillId="0" borderId="34" xfId="1" applyFont="1" applyBorder="1"/>
    <xf numFmtId="43" fontId="2" fillId="0" borderId="34" xfId="1" applyFont="1" applyBorder="1" applyAlignment="1">
      <alignment horizontal="center"/>
    </xf>
    <xf numFmtId="0" fontId="2" fillId="0" borderId="33" xfId="0" applyFont="1" applyBorder="1" applyAlignment="1">
      <alignment horizontal="left"/>
    </xf>
    <xf numFmtId="0" fontId="18" fillId="0" borderId="0" xfId="0" applyFont="1" applyBorder="1"/>
    <xf numFmtId="0" fontId="15" fillId="0" borderId="0" xfId="0" applyFont="1" applyBorder="1"/>
    <xf numFmtId="43" fontId="2" fillId="0" borderId="36" xfId="1" applyFont="1" applyBorder="1"/>
    <xf numFmtId="0" fontId="0" fillId="13" borderId="1" xfId="0" applyFill="1" applyBorder="1"/>
    <xf numFmtId="0" fontId="13" fillId="0" borderId="0" xfId="3" applyFill="1"/>
    <xf numFmtId="0" fontId="13" fillId="0" borderId="0" xfId="3" applyFill="1" applyAlignment="1">
      <alignment horizontal="center"/>
    </xf>
    <xf numFmtId="0" fontId="2" fillId="14" borderId="25" xfId="0" applyFont="1" applyFill="1" applyBorder="1" applyAlignment="1">
      <alignment horizontal="center"/>
    </xf>
    <xf numFmtId="44" fontId="0" fillId="14" borderId="47" xfId="0" applyNumberFormat="1" applyFill="1" applyBorder="1"/>
    <xf numFmtId="44" fontId="0" fillId="14" borderId="1" xfId="0" applyNumberFormat="1" applyFill="1" applyBorder="1"/>
    <xf numFmtId="44" fontId="0" fillId="14" borderId="44" xfId="0" applyNumberFormat="1" applyFill="1" applyBorder="1" applyAlignment="1">
      <alignment horizontal="center"/>
    </xf>
    <xf numFmtId="44" fontId="2" fillId="14" borderId="23" xfId="0" applyNumberFormat="1" applyFont="1" applyFill="1" applyBorder="1"/>
    <xf numFmtId="0" fontId="2" fillId="14" borderId="25" xfId="0" applyFont="1" applyFill="1" applyBorder="1"/>
    <xf numFmtId="44" fontId="2" fillId="14" borderId="40" xfId="0" applyNumberFormat="1" applyFont="1" applyFill="1" applyBorder="1" applyAlignment="1">
      <alignment horizontal="center"/>
    </xf>
    <xf numFmtId="44" fontId="2" fillId="0" borderId="2" xfId="0" applyNumberFormat="1" applyFont="1" applyBorder="1" applyAlignment="1"/>
    <xf numFmtId="0" fontId="5" fillId="0" borderId="6" xfId="3" applyFont="1" applyFill="1" applyBorder="1"/>
    <xf numFmtId="0" fontId="17" fillId="0" borderId="8" xfId="3" applyFont="1" applyFill="1" applyBorder="1" applyAlignment="1">
      <alignment horizontal="left"/>
    </xf>
    <xf numFmtId="0" fontId="8" fillId="3" borderId="6" xfId="3" applyFont="1" applyFill="1" applyBorder="1"/>
    <xf numFmtId="0" fontId="8" fillId="3" borderId="6" xfId="0" applyFont="1" applyFill="1" applyBorder="1"/>
    <xf numFmtId="0" fontId="17" fillId="2" borderId="3" xfId="3" applyFont="1" applyFill="1" applyBorder="1" applyAlignment="1">
      <alignment horizontal="center" vertical="center"/>
    </xf>
    <xf numFmtId="44" fontId="0" fillId="0" borderId="0" xfId="0" applyNumberFormat="1" applyFill="1"/>
    <xf numFmtId="0" fontId="0" fillId="0" borderId="0" xfId="0" applyFill="1" applyAlignment="1">
      <alignment horizontal="center"/>
    </xf>
    <xf numFmtId="0" fontId="10" fillId="6" borderId="24" xfId="0" applyFont="1" applyFill="1" applyBorder="1" applyAlignment="1">
      <alignment horizontal="center" vertical="center"/>
    </xf>
    <xf numFmtId="44" fontId="0" fillId="0" borderId="16" xfId="0" applyNumberFormat="1" applyBorder="1"/>
    <xf numFmtId="44" fontId="0" fillId="0" borderId="15" xfId="0" applyNumberFormat="1" applyBorder="1"/>
    <xf numFmtId="44" fontId="0" fillId="0" borderId="17" xfId="0" applyNumberFormat="1" applyBorder="1"/>
    <xf numFmtId="0" fontId="0" fillId="0" borderId="0" xfId="0" applyFill="1" applyBorder="1"/>
    <xf numFmtId="0" fontId="15" fillId="0" borderId="0" xfId="0" applyFont="1" applyFill="1" applyBorder="1"/>
    <xf numFmtId="44" fontId="0" fillId="0" borderId="0" xfId="0" applyNumberFormat="1" applyFill="1" applyBorder="1"/>
    <xf numFmtId="0" fontId="8" fillId="0" borderId="0" xfId="0" applyFont="1" applyFill="1" applyBorder="1"/>
    <xf numFmtId="0" fontId="16" fillId="0" borderId="0" xfId="0" applyFont="1" applyFill="1" applyBorder="1"/>
    <xf numFmtId="43" fontId="0" fillId="0" borderId="0" xfId="1" applyFont="1" applyFill="1" applyBorder="1"/>
    <xf numFmtId="16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3" fontId="2" fillId="0" borderId="0" xfId="1" applyFont="1" applyFill="1" applyBorder="1"/>
    <xf numFmtId="0" fontId="8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/>
    </xf>
    <xf numFmtId="0" fontId="18" fillId="0" borderId="0" xfId="0" applyFont="1" applyFill="1" applyBorder="1"/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1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2" fillId="0" borderId="1" xfId="0" applyNumberFormat="1" applyFont="1" applyBorder="1"/>
    <xf numFmtId="164" fontId="0" fillId="0" borderId="7" xfId="1" applyNumberFormat="1" applyFont="1" applyBorder="1"/>
    <xf numFmtId="164" fontId="2" fillId="11" borderId="1" xfId="0" applyNumberFormat="1" applyFont="1" applyFill="1" applyBorder="1"/>
    <xf numFmtId="164" fontId="8" fillId="11" borderId="7" xfId="1" applyNumberFormat="1" applyFont="1" applyFill="1" applyBorder="1"/>
    <xf numFmtId="164" fontId="8" fillId="11" borderId="11" xfId="1" applyNumberFormat="1" applyFont="1" applyFill="1" applyBorder="1"/>
    <xf numFmtId="164" fontId="0" fillId="0" borderId="20" xfId="0" applyNumberFormat="1" applyBorder="1"/>
    <xf numFmtId="164" fontId="6" fillId="0" borderId="2" xfId="1" applyNumberFormat="1" applyFont="1" applyBorder="1"/>
    <xf numFmtId="164" fontId="0" fillId="0" borderId="0" xfId="0" applyNumberFormat="1"/>
    <xf numFmtId="164" fontId="0" fillId="0" borderId="0" xfId="1" applyNumberFormat="1" applyFont="1"/>
    <xf numFmtId="164" fontId="0" fillId="0" borderId="0" xfId="0" applyNumberFormat="1" applyBorder="1"/>
    <xf numFmtId="164" fontId="0" fillId="0" borderId="0" xfId="1" applyNumberFormat="1" applyFont="1" applyBorder="1"/>
    <xf numFmtId="164" fontId="8" fillId="3" borderId="1" xfId="0" applyNumberFormat="1" applyFont="1" applyFill="1" applyBorder="1"/>
    <xf numFmtId="164" fontId="8" fillId="3" borderId="7" xfId="1" applyNumberFormat="1" applyFont="1" applyFill="1" applyBorder="1"/>
    <xf numFmtId="164" fontId="2" fillId="0" borderId="20" xfId="0" applyNumberFormat="1" applyFont="1" applyBorder="1"/>
    <xf numFmtId="164" fontId="17" fillId="2" borderId="4" xfId="3" applyNumberFormat="1" applyFont="1" applyFill="1" applyBorder="1" applyAlignment="1">
      <alignment horizontal="center" vertical="center"/>
    </xf>
    <xf numFmtId="164" fontId="17" fillId="2" borderId="5" xfId="3" applyNumberFormat="1" applyFont="1" applyFill="1" applyBorder="1" applyAlignment="1">
      <alignment horizontal="center" vertical="center"/>
    </xf>
    <xf numFmtId="164" fontId="5" fillId="0" borderId="1" xfId="3" applyNumberFormat="1" applyFont="1" applyFill="1" applyBorder="1"/>
    <xf numFmtId="164" fontId="5" fillId="0" borderId="7" xfId="3" applyNumberFormat="1" applyFont="1" applyFill="1" applyBorder="1"/>
    <xf numFmtId="164" fontId="8" fillId="3" borderId="1" xfId="3" applyNumberFormat="1" applyFont="1" applyFill="1" applyBorder="1"/>
    <xf numFmtId="164" fontId="8" fillId="3" borderId="11" xfId="3" applyNumberFormat="1" applyFont="1" applyFill="1" applyBorder="1"/>
    <xf numFmtId="164" fontId="17" fillId="0" borderId="10" xfId="3" applyNumberFormat="1" applyFont="1" applyFill="1" applyBorder="1"/>
    <xf numFmtId="164" fontId="17" fillId="0" borderId="2" xfId="3" applyNumberFormat="1" applyFont="1" applyFill="1" applyBorder="1"/>
    <xf numFmtId="164" fontId="2" fillId="2" borderId="1" xfId="0" applyNumberFormat="1" applyFont="1" applyFill="1" applyBorder="1" applyAlignment="1">
      <alignment horizontal="center" vertical="center"/>
    </xf>
    <xf numFmtId="164" fontId="2" fillId="2" borderId="7" xfId="1" applyNumberFormat="1" applyFont="1" applyFill="1" applyBorder="1" applyAlignment="1">
      <alignment horizontal="center" vertical="center"/>
    </xf>
    <xf numFmtId="164" fontId="8" fillId="11" borderId="1" xfId="0" applyNumberFormat="1" applyFont="1" applyFill="1" applyBorder="1"/>
    <xf numFmtId="164" fontId="0" fillId="0" borderId="9" xfId="0" applyNumberFormat="1" applyBorder="1"/>
    <xf numFmtId="164" fontId="8" fillId="11" borderId="1" xfId="1" applyNumberFormat="1" applyFont="1" applyFill="1" applyBorder="1"/>
    <xf numFmtId="164" fontId="5" fillId="0" borderId="7" xfId="1" applyNumberFormat="1" applyFont="1" applyBorder="1"/>
    <xf numFmtId="164" fontId="0" fillId="0" borderId="10" xfId="0" applyNumberFormat="1" applyBorder="1"/>
    <xf numFmtId="164" fontId="8" fillId="0" borderId="11" xfId="1" applyNumberFormat="1" applyFont="1" applyBorder="1"/>
    <xf numFmtId="164" fontId="2" fillId="0" borderId="10" xfId="0" applyNumberFormat="1" applyFont="1" applyBorder="1"/>
    <xf numFmtId="164" fontId="4" fillId="0" borderId="11" xfId="1" applyNumberFormat="1" applyFont="1" applyBorder="1"/>
    <xf numFmtId="164" fontId="0" fillId="0" borderId="1" xfId="0" applyNumberFormat="1" applyFont="1" applyBorder="1"/>
    <xf numFmtId="44" fontId="8" fillId="0" borderId="30" xfId="1" applyNumberFormat="1" applyFont="1" applyBorder="1"/>
    <xf numFmtId="44" fontId="2" fillId="0" borderId="32" xfId="0" applyNumberFormat="1" applyFont="1" applyBorder="1" applyAlignment="1">
      <alignment horizontal="center"/>
    </xf>
    <xf numFmtId="0" fontId="2" fillId="5" borderId="27" xfId="0" applyFont="1" applyFill="1" applyBorder="1" applyAlignment="1">
      <alignment horizontal="center" vertical="center"/>
    </xf>
    <xf numFmtId="44" fontId="0" fillId="0" borderId="46" xfId="0" applyNumberFormat="1" applyBorder="1" applyAlignment="1">
      <alignment horizontal="center" vertical="center"/>
    </xf>
    <xf numFmtId="44" fontId="0" fillId="0" borderId="43" xfId="0" applyNumberFormat="1" applyBorder="1" applyAlignment="1">
      <alignment horizontal="center" vertical="center"/>
    </xf>
    <xf numFmtId="44" fontId="0" fillId="0" borderId="44" xfId="0" applyNumberFormat="1" applyBorder="1" applyAlignment="1">
      <alignment horizontal="center" vertical="center"/>
    </xf>
    <xf numFmtId="44" fontId="2" fillId="0" borderId="41" xfId="0" applyNumberFormat="1" applyFont="1" applyBorder="1" applyAlignment="1">
      <alignment horizontal="center" vertical="center"/>
    </xf>
    <xf numFmtId="44" fontId="2" fillId="0" borderId="39" xfId="0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44" fontId="0" fillId="0" borderId="47" xfId="0" applyNumberFormat="1" applyBorder="1" applyAlignment="1">
      <alignment vertical="center"/>
    </xf>
    <xf numFmtId="44" fontId="0" fillId="0" borderId="1" xfId="0" applyNumberFormat="1" applyBorder="1" applyAlignment="1">
      <alignment vertical="center"/>
    </xf>
    <xf numFmtId="44" fontId="2" fillId="0" borderId="25" xfId="0" applyNumberFormat="1" applyFont="1" applyBorder="1" applyAlignment="1">
      <alignment vertical="center"/>
    </xf>
    <xf numFmtId="44" fontId="2" fillId="0" borderId="2" xfId="0" applyNumberFormat="1" applyFont="1" applyBorder="1" applyAlignment="1">
      <alignment horizontal="center" vertical="center"/>
    </xf>
    <xf numFmtId="44" fontId="0" fillId="0" borderId="47" xfId="0" applyNumberFormat="1" applyFill="1" applyBorder="1" applyAlignment="1">
      <alignment vertical="center"/>
    </xf>
    <xf numFmtId="44" fontId="0" fillId="0" borderId="1" xfId="0" applyNumberFormat="1" applyFill="1" applyBorder="1" applyAlignment="1">
      <alignment vertical="center"/>
    </xf>
    <xf numFmtId="44" fontId="0" fillId="0" borderId="44" xfId="0" applyNumberFormat="1" applyFill="1" applyBorder="1" applyAlignment="1">
      <alignment horizontal="center" vertical="center"/>
    </xf>
    <xf numFmtId="44" fontId="2" fillId="0" borderId="2" xfId="0" applyNumberFormat="1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44" fontId="0" fillId="0" borderId="48" xfId="0" applyNumberFormat="1" applyBorder="1" applyAlignment="1">
      <alignment vertical="center"/>
    </xf>
    <xf numFmtId="44" fontId="0" fillId="0" borderId="9" xfId="0" applyNumberFormat="1" applyBorder="1" applyAlignment="1">
      <alignment vertical="center"/>
    </xf>
    <xf numFmtId="0" fontId="0" fillId="0" borderId="0" xfId="0" applyAlignment="1">
      <alignment vertical="center"/>
    </xf>
    <xf numFmtId="164" fontId="2" fillId="0" borderId="25" xfId="0" applyNumberFormat="1" applyFont="1" applyBorder="1" applyAlignment="1">
      <alignment vertical="center"/>
    </xf>
    <xf numFmtId="164" fontId="2" fillId="0" borderId="25" xfId="0" applyNumberFormat="1" applyFont="1" applyFill="1" applyBorder="1" applyAlignment="1">
      <alignment vertical="center"/>
    </xf>
    <xf numFmtId="164" fontId="2" fillId="0" borderId="29" xfId="0" applyNumberFormat="1" applyFont="1" applyBorder="1" applyAlignment="1">
      <alignment vertical="center"/>
    </xf>
    <xf numFmtId="164" fontId="2" fillId="0" borderId="45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vertical="center"/>
    </xf>
    <xf numFmtId="164" fontId="2" fillId="0" borderId="23" xfId="0" applyNumberFormat="1" applyFont="1" applyFill="1" applyBorder="1" applyAlignment="1">
      <alignment vertical="center"/>
    </xf>
    <xf numFmtId="164" fontId="2" fillId="0" borderId="28" xfId="0" applyNumberFormat="1" applyFont="1" applyBorder="1" applyAlignment="1">
      <alignment vertical="center"/>
    </xf>
    <xf numFmtId="44" fontId="6" fillId="0" borderId="2" xfId="0" applyNumberFormat="1" applyFont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2" fillId="11" borderId="1" xfId="0" applyNumberFormat="1" applyFont="1" applyFill="1" applyBorder="1"/>
    <xf numFmtId="0" fontId="0" fillId="0" borderId="22" xfId="0" applyNumberFormat="1" applyBorder="1"/>
    <xf numFmtId="0" fontId="0" fillId="0" borderId="0" xfId="0" applyNumberFormat="1"/>
    <xf numFmtId="0" fontId="0" fillId="0" borderId="0" xfId="0" applyNumberFormat="1" applyBorder="1"/>
    <xf numFmtId="0" fontId="0" fillId="13" borderId="1" xfId="0" applyNumberFormat="1" applyFill="1" applyBorder="1"/>
    <xf numFmtId="0" fontId="8" fillId="3" borderId="1" xfId="0" applyNumberFormat="1" applyFont="1" applyFill="1" applyBorder="1"/>
    <xf numFmtId="0" fontId="2" fillId="0" borderId="22" xfId="0" applyNumberFormat="1" applyFont="1" applyBorder="1"/>
    <xf numFmtId="0" fontId="17" fillId="2" borderId="4" xfId="3" applyNumberFormat="1" applyFont="1" applyFill="1" applyBorder="1" applyAlignment="1">
      <alignment horizontal="center" vertical="center"/>
    </xf>
    <xf numFmtId="0" fontId="5" fillId="0" borderId="1" xfId="3" applyNumberFormat="1" applyFont="1" applyFill="1" applyBorder="1"/>
    <xf numFmtId="0" fontId="8" fillId="3" borderId="1" xfId="3" applyNumberFormat="1" applyFont="1" applyFill="1" applyBorder="1"/>
    <xf numFmtId="0" fontId="17" fillId="0" borderId="9" xfId="3" applyNumberFormat="1" applyFont="1" applyFill="1" applyBorder="1"/>
    <xf numFmtId="0" fontId="2" fillId="2" borderId="1" xfId="0" applyNumberFormat="1" applyFont="1" applyFill="1" applyBorder="1" applyAlignment="1">
      <alignment horizontal="center" vertical="center"/>
    </xf>
    <xf numFmtId="0" fontId="8" fillId="11" borderId="19" xfId="0" applyNumberFormat="1" applyFont="1" applyFill="1" applyBorder="1"/>
    <xf numFmtId="0" fontId="0" fillId="0" borderId="9" xfId="0" applyNumberFormat="1" applyBorder="1"/>
    <xf numFmtId="0" fontId="8" fillId="11" borderId="1" xfId="0" applyNumberFormat="1" applyFont="1" applyFill="1" applyBorder="1"/>
    <xf numFmtId="0" fontId="2" fillId="0" borderId="1" xfId="0" applyNumberFormat="1" applyFont="1" applyBorder="1"/>
    <xf numFmtId="0" fontId="2" fillId="0" borderId="9" xfId="0" applyNumberFormat="1" applyFont="1" applyBorder="1"/>
    <xf numFmtId="0" fontId="2" fillId="0" borderId="0" xfId="0" applyFont="1" applyFill="1" applyBorder="1" applyAlignment="1">
      <alignment horizontal="left"/>
    </xf>
    <xf numFmtId="0" fontId="13" fillId="15" borderId="0" xfId="3" applyFill="1"/>
    <xf numFmtId="164" fontId="0" fillId="0" borderId="0" xfId="0" applyNumberFormat="1" applyAlignment="1">
      <alignment horizontal="left"/>
    </xf>
    <xf numFmtId="0" fontId="8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2" fillId="9" borderId="0" xfId="2" applyAlignment="1">
      <alignment horizontal="center" vertical="center"/>
    </xf>
    <xf numFmtId="0" fontId="14" fillId="12" borderId="0" xfId="4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44" fontId="6" fillId="4" borderId="30" xfId="0" applyNumberFormat="1" applyFont="1" applyFill="1" applyBorder="1" applyAlignment="1">
      <alignment horizontal="center" vertical="center"/>
    </xf>
    <xf numFmtId="44" fontId="6" fillId="4" borderId="31" xfId="0" applyNumberFormat="1" applyFont="1" applyFill="1" applyBorder="1" applyAlignment="1">
      <alignment horizontal="center" vertical="center"/>
    </xf>
    <xf numFmtId="44" fontId="6" fillId="4" borderId="32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13" fillId="10" borderId="53" xfId="3" applyBorder="1"/>
    <xf numFmtId="0" fontId="13" fillId="10" borderId="54" xfId="3" applyBorder="1"/>
    <xf numFmtId="0" fontId="13" fillId="10" borderId="55" xfId="3" applyBorder="1"/>
    <xf numFmtId="0" fontId="13" fillId="10" borderId="56" xfId="3" applyBorder="1"/>
    <xf numFmtId="0" fontId="13" fillId="10" borderId="57" xfId="3" applyBorder="1" applyAlignment="1">
      <alignment horizontal="left"/>
    </xf>
    <xf numFmtId="0" fontId="13" fillId="10" borderId="46" xfId="3" applyBorder="1" applyAlignment="1">
      <alignment horizontal="center"/>
    </xf>
    <xf numFmtId="0" fontId="21" fillId="2" borderId="0" xfId="0" applyFont="1" applyFill="1" applyBorder="1" applyAlignment="1">
      <alignment horizontal="center" vertical="center"/>
    </xf>
    <xf numFmtId="0" fontId="8" fillId="11" borderId="3" xfId="0" applyFont="1" applyFill="1" applyBorder="1"/>
    <xf numFmtId="0" fontId="2" fillId="11" borderId="4" xfId="0" applyNumberFormat="1" applyFont="1" applyFill="1" applyBorder="1"/>
    <xf numFmtId="164" fontId="2" fillId="11" borderId="4" xfId="0" applyNumberFormat="1" applyFont="1" applyFill="1" applyBorder="1"/>
    <xf numFmtId="164" fontId="8" fillId="11" borderId="5" xfId="1" applyNumberFormat="1" applyFont="1" applyFill="1" applyBorder="1"/>
    <xf numFmtId="164" fontId="6" fillId="0" borderId="58" xfId="1" applyNumberFormat="1" applyFont="1" applyBorder="1"/>
    <xf numFmtId="164" fontId="17" fillId="11" borderId="59" xfId="1" applyNumberFormat="1" applyFont="1" applyFill="1" applyBorder="1"/>
    <xf numFmtId="0" fontId="2" fillId="0" borderId="0" xfId="0" applyFont="1" applyFill="1" applyBorder="1" applyAlignment="1">
      <alignment horizontal="left"/>
    </xf>
    <xf numFmtId="0" fontId="22" fillId="10" borderId="60" xfId="3" applyFont="1" applyBorder="1"/>
    <xf numFmtId="0" fontId="22" fillId="10" borderId="0" xfId="3" applyFont="1" applyBorder="1"/>
    <xf numFmtId="0" fontId="22" fillId="10" borderId="61" xfId="3" applyFont="1" applyBorder="1" applyAlignment="1">
      <alignment horizontal="left"/>
    </xf>
    <xf numFmtId="0" fontId="0" fillId="15" borderId="0" xfId="0" applyFill="1"/>
    <xf numFmtId="0" fontId="23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5" fillId="0" borderId="62" xfId="1" applyNumberFormat="1" applyFont="1" applyBorder="1"/>
    <xf numFmtId="164" fontId="0" fillId="0" borderId="62" xfId="1" applyNumberFormat="1" applyFont="1" applyBorder="1"/>
    <xf numFmtId="44" fontId="10" fillId="6" borderId="0" xfId="1" applyNumberFormat="1" applyFont="1" applyFill="1" applyBorder="1" applyAlignment="1">
      <alignment horizontal="center"/>
    </xf>
    <xf numFmtId="0" fontId="0" fillId="0" borderId="1" xfId="0" applyNumberFormat="1" applyFill="1" applyBorder="1"/>
    <xf numFmtId="164" fontId="0" fillId="0" borderId="1" xfId="0" applyNumberFormat="1" applyFill="1" applyBorder="1" applyAlignment="1">
      <alignment vertical="center"/>
    </xf>
    <xf numFmtId="0" fontId="22" fillId="0" borderId="0" xfId="3" applyFont="1" applyFill="1" applyBorder="1"/>
    <xf numFmtId="44" fontId="10" fillId="0" borderId="0" xfId="1" applyNumberFormat="1" applyFont="1" applyFill="1" applyBorder="1" applyAlignment="1">
      <alignment horizontal="center"/>
    </xf>
    <xf numFmtId="0" fontId="17" fillId="11" borderId="0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left"/>
    </xf>
    <xf numFmtId="0" fontId="12" fillId="0" borderId="0" xfId="2" applyFill="1" applyAlignment="1">
      <alignment vertical="center"/>
    </xf>
    <xf numFmtId="0" fontId="24" fillId="16" borderId="0" xfId="0" applyFont="1" applyFill="1" applyBorder="1" applyAlignment="1">
      <alignment horizontal="center" vertical="center"/>
    </xf>
    <xf numFmtId="0" fontId="14" fillId="16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12" fillId="0" borderId="3" xfId="2" applyFill="1" applyBorder="1" applyAlignment="1">
      <alignment horizontal="center" vertical="center"/>
    </xf>
    <xf numFmtId="0" fontId="12" fillId="0" borderId="4" xfId="2" applyFill="1" applyBorder="1" applyAlignment="1">
      <alignment horizontal="center" vertical="center"/>
    </xf>
    <xf numFmtId="0" fontId="12" fillId="0" borderId="8" xfId="2" applyFill="1" applyBorder="1" applyAlignment="1">
      <alignment horizontal="center" vertical="center"/>
    </xf>
    <xf numFmtId="0" fontId="12" fillId="0" borderId="9" xfId="2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5" fillId="4" borderId="32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164" fontId="0" fillId="0" borderId="43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Fill="1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164" fontId="2" fillId="0" borderId="45" xfId="0" applyNumberFormat="1" applyFont="1" applyBorder="1" applyAlignment="1">
      <alignment horizontal="right" vertical="center"/>
    </xf>
    <xf numFmtId="164" fontId="2" fillId="0" borderId="23" xfId="0" applyNumberFormat="1" applyFont="1" applyBorder="1" applyAlignment="1">
      <alignment horizontal="right" vertical="center"/>
    </xf>
    <xf numFmtId="164" fontId="2" fillId="0" borderId="23" xfId="0" applyNumberFormat="1" applyFont="1" applyFill="1" applyBorder="1" applyAlignment="1">
      <alignment horizontal="right" vertical="center"/>
    </xf>
    <xf numFmtId="164" fontId="2" fillId="0" borderId="28" xfId="0" applyNumberFormat="1" applyFont="1" applyBorder="1" applyAlignment="1">
      <alignment horizontal="right" vertical="center"/>
    </xf>
    <xf numFmtId="164" fontId="8" fillId="11" borderId="62" xfId="1" applyNumberFormat="1" applyFont="1" applyFill="1" applyBorder="1"/>
    <xf numFmtId="0" fontId="12" fillId="0" borderId="63" xfId="2" applyFill="1" applyBorder="1" applyAlignment="1">
      <alignment horizontal="center" vertical="center"/>
    </xf>
    <xf numFmtId="0" fontId="12" fillId="0" borderId="64" xfId="2" applyFill="1" applyBorder="1" applyAlignment="1">
      <alignment horizontal="center" vertical="center"/>
    </xf>
    <xf numFmtId="0" fontId="12" fillId="0" borderId="65" xfId="2" applyFill="1" applyBorder="1" applyAlignment="1">
      <alignment horizontal="center" vertical="center"/>
    </xf>
    <xf numFmtId="0" fontId="12" fillId="0" borderId="55" xfId="2" applyFill="1" applyBorder="1" applyAlignment="1">
      <alignment horizontal="center" vertical="center"/>
    </xf>
    <xf numFmtId="0" fontId="12" fillId="0" borderId="10" xfId="2" applyFill="1" applyBorder="1" applyAlignment="1">
      <alignment horizontal="center" vertical="center"/>
    </xf>
    <xf numFmtId="0" fontId="27" fillId="0" borderId="6" xfId="0" applyFont="1" applyBorder="1"/>
    <xf numFmtId="0" fontId="28" fillId="0" borderId="6" xfId="3" applyFont="1" applyFill="1" applyBorder="1"/>
    <xf numFmtId="44" fontId="0" fillId="0" borderId="46" xfId="0" applyNumberFormat="1" applyBorder="1" applyAlignment="1">
      <alignment horizontal="right" vertical="center"/>
    </xf>
    <xf numFmtId="164" fontId="0" fillId="0" borderId="46" xfId="0" applyNumberFormat="1" applyBorder="1" applyAlignment="1">
      <alignment horizontal="right" vertical="center"/>
    </xf>
    <xf numFmtId="44" fontId="0" fillId="0" borderId="43" xfId="0" applyNumberFormat="1" applyBorder="1" applyAlignment="1">
      <alignment horizontal="right" vertical="center"/>
    </xf>
    <xf numFmtId="44" fontId="0" fillId="0" borderId="44" xfId="0" applyNumberFormat="1" applyBorder="1" applyAlignment="1">
      <alignment horizontal="right" vertical="center"/>
    </xf>
    <xf numFmtId="44" fontId="0" fillId="0" borderId="47" xfId="0" applyNumberFormat="1" applyBorder="1" applyAlignment="1">
      <alignment horizontal="right" vertical="center"/>
    </xf>
    <xf numFmtId="164" fontId="0" fillId="0" borderId="47" xfId="0" applyNumberFormat="1" applyBorder="1" applyAlignment="1">
      <alignment horizontal="right" vertical="center"/>
    </xf>
    <xf numFmtId="44" fontId="0" fillId="0" borderId="1" xfId="0" applyNumberFormat="1" applyBorder="1" applyAlignment="1">
      <alignment horizontal="right" vertical="center"/>
    </xf>
    <xf numFmtId="44" fontId="0" fillId="0" borderId="47" xfId="0" applyNumberFormat="1" applyFill="1" applyBorder="1" applyAlignment="1">
      <alignment horizontal="right" vertical="center"/>
    </xf>
    <xf numFmtId="164" fontId="0" fillId="0" borderId="47" xfId="0" applyNumberFormat="1" applyFill="1" applyBorder="1" applyAlignment="1">
      <alignment horizontal="right" vertical="center"/>
    </xf>
    <xf numFmtId="44" fontId="0" fillId="0" borderId="1" xfId="0" applyNumberFormat="1" applyFill="1" applyBorder="1" applyAlignment="1">
      <alignment horizontal="right" vertical="center"/>
    </xf>
    <xf numFmtId="44" fontId="0" fillId="0" borderId="48" xfId="0" applyNumberFormat="1" applyBorder="1" applyAlignment="1">
      <alignment horizontal="right" vertical="center"/>
    </xf>
    <xf numFmtId="44" fontId="0" fillId="0" borderId="9" xfId="0" applyNumberFormat="1" applyBorder="1" applyAlignment="1">
      <alignment horizontal="right" vertic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4" fontId="10" fillId="3" borderId="38" xfId="1" applyNumberFormat="1" applyFont="1" applyFill="1" applyBorder="1" applyAlignment="1">
      <alignment horizontal="center" vertical="center"/>
    </xf>
    <xf numFmtId="44" fontId="0" fillId="3" borderId="38" xfId="0" applyNumberFormat="1" applyFill="1" applyBorder="1"/>
    <xf numFmtId="44" fontId="0" fillId="3" borderId="0" xfId="0" applyNumberFormat="1" applyFill="1" applyBorder="1"/>
    <xf numFmtId="44" fontId="0" fillId="3" borderId="34" xfId="0" applyNumberFormat="1" applyFill="1" applyBorder="1"/>
    <xf numFmtId="0" fontId="2" fillId="6" borderId="6" xfId="0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7" xfId="1" applyNumberFormat="1" applyFont="1" applyFill="1" applyBorder="1" applyAlignment="1">
      <alignment horizontal="center" vertical="center"/>
    </xf>
    <xf numFmtId="0" fontId="0" fillId="6" borderId="6" xfId="0" applyFill="1" applyBorder="1"/>
    <xf numFmtId="0" fontId="0" fillId="6" borderId="1" xfId="0" applyNumberFormat="1" applyFill="1" applyBorder="1"/>
    <xf numFmtId="164" fontId="0" fillId="6" borderId="1" xfId="0" applyNumberFormat="1" applyFill="1" applyBorder="1"/>
    <xf numFmtId="164" fontId="0" fillId="6" borderId="7" xfId="1" applyNumberFormat="1" applyFont="1" applyFill="1" applyBorder="1"/>
    <xf numFmtId="164" fontId="17" fillId="6" borderId="59" xfId="1" applyNumberFormat="1" applyFont="1" applyFill="1" applyBorder="1"/>
    <xf numFmtId="0" fontId="8" fillId="6" borderId="6" xfId="0" applyFont="1" applyFill="1" applyBorder="1"/>
    <xf numFmtId="0" fontId="8" fillId="6" borderId="1" xfId="0" applyNumberFormat="1" applyFont="1" applyFill="1" applyBorder="1"/>
    <xf numFmtId="164" fontId="8" fillId="6" borderId="1" xfId="0" applyNumberFormat="1" applyFont="1" applyFill="1" applyBorder="1"/>
    <xf numFmtId="164" fontId="8" fillId="6" borderId="11" xfId="1" applyNumberFormat="1" applyFont="1" applyFill="1" applyBorder="1"/>
    <xf numFmtId="0" fontId="2" fillId="6" borderId="8" xfId="0" applyFont="1" applyFill="1" applyBorder="1" applyAlignment="1">
      <alignment horizontal="left"/>
    </xf>
    <xf numFmtId="0" fontId="0" fillId="6" borderId="9" xfId="0" applyNumberFormat="1" applyFill="1" applyBorder="1"/>
    <xf numFmtId="164" fontId="0" fillId="6" borderId="10" xfId="0" applyNumberFormat="1" applyFill="1" applyBorder="1"/>
    <xf numFmtId="164" fontId="6" fillId="6" borderId="2" xfId="1" applyNumberFormat="1" applyFont="1" applyFill="1" applyBorder="1"/>
    <xf numFmtId="0" fontId="29" fillId="0" borderId="0" xfId="3" applyFont="1" applyFill="1" applyBorder="1"/>
    <xf numFmtId="0" fontId="0" fillId="0" borderId="0" xfId="0" applyAlignment="1"/>
    <xf numFmtId="16" fontId="8" fillId="0" borderId="6" xfId="0" applyNumberFormat="1" applyFont="1" applyBorder="1"/>
    <xf numFmtId="16" fontId="8" fillId="0" borderId="6" xfId="0" applyNumberFormat="1" applyFont="1" applyFill="1" applyBorder="1"/>
    <xf numFmtId="0" fontId="8" fillId="0" borderId="7" xfId="0" applyFont="1" applyBorder="1" applyAlignment="1">
      <alignment horizontal="center"/>
    </xf>
    <xf numFmtId="0" fontId="4" fillId="0" borderId="0" xfId="0" applyFont="1" applyFill="1" applyBorder="1"/>
    <xf numFmtId="44" fontId="0" fillId="11" borderId="47" xfId="0" applyNumberFormat="1" applyFill="1" applyBorder="1" applyAlignment="1">
      <alignment horizontal="right" vertical="center"/>
    </xf>
    <xf numFmtId="164" fontId="0" fillId="11" borderId="47" xfId="0" applyNumberFormat="1" applyFill="1" applyBorder="1" applyAlignment="1">
      <alignment horizontal="right" vertical="center"/>
    </xf>
    <xf numFmtId="44" fontId="0" fillId="11" borderId="1" xfId="0" applyNumberFormat="1" applyFill="1" applyBorder="1" applyAlignment="1">
      <alignment horizontal="right" vertical="center"/>
    </xf>
    <xf numFmtId="164" fontId="0" fillId="11" borderId="1" xfId="0" applyNumberFormat="1" applyFill="1" applyBorder="1" applyAlignment="1">
      <alignment horizontal="right" vertical="center"/>
    </xf>
    <xf numFmtId="44" fontId="0" fillId="11" borderId="44" xfId="0" applyNumberFormat="1" applyFill="1" applyBorder="1" applyAlignment="1">
      <alignment horizontal="right" vertical="center"/>
    </xf>
    <xf numFmtId="164" fontId="2" fillId="11" borderId="23" xfId="0" applyNumberFormat="1" applyFont="1" applyFill="1" applyBorder="1" applyAlignment="1">
      <alignment horizontal="right" vertical="center"/>
    </xf>
    <xf numFmtId="164" fontId="2" fillId="11" borderId="25" xfId="0" applyNumberFormat="1" applyFont="1" applyFill="1" applyBorder="1" applyAlignment="1">
      <alignment vertical="center"/>
    </xf>
    <xf numFmtId="44" fontId="2" fillId="11" borderId="2" xfId="0" applyNumberFormat="1" applyFont="1" applyFill="1" applyBorder="1" applyAlignment="1">
      <alignment horizontal="center" vertical="center"/>
    </xf>
    <xf numFmtId="16" fontId="8" fillId="0" borderId="18" xfId="4" applyNumberFormat="1" applyFont="1" applyFill="1" applyBorder="1" applyAlignment="1">
      <alignment vertical="center" wrapText="1"/>
    </xf>
    <xf numFmtId="0" fontId="8" fillId="0" borderId="1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16" fontId="0" fillId="0" borderId="6" xfId="0" applyNumberFormat="1" applyBorder="1"/>
    <xf numFmtId="0" fontId="16" fillId="0" borderId="0" xfId="0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164" fontId="2" fillId="0" borderId="41" xfId="0" applyNumberFormat="1" applyFont="1" applyBorder="1" applyAlignment="1">
      <alignment horizontal="center" vertical="center"/>
    </xf>
    <xf numFmtId="0" fontId="20" fillId="0" borderId="0" xfId="3" applyFont="1" applyFill="1" applyBorder="1" applyAlignment="1">
      <alignment horizontal="center"/>
    </xf>
    <xf numFmtId="164" fontId="5" fillId="0" borderId="0" xfId="3" applyNumberFormat="1" applyFont="1" applyFill="1" applyBorder="1"/>
    <xf numFmtId="0" fontId="3" fillId="0" borderId="0" xfId="0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164" fontId="17" fillId="0" borderId="34" xfId="1" applyNumberFormat="1" applyFont="1" applyFill="1" applyBorder="1"/>
    <xf numFmtId="164" fontId="8" fillId="0" borderId="34" xfId="1" applyNumberFormat="1" applyFont="1" applyFill="1" applyBorder="1"/>
    <xf numFmtId="164" fontId="6" fillId="0" borderId="0" xfId="1" applyNumberFormat="1" applyFont="1" applyFill="1" applyBorder="1"/>
    <xf numFmtId="164" fontId="0" fillId="0" borderId="0" xfId="1" applyNumberFormat="1" applyFont="1" applyFill="1"/>
    <xf numFmtId="164" fontId="17" fillId="0" borderId="0" xfId="1" applyNumberFormat="1" applyFont="1" applyFill="1" applyBorder="1"/>
    <xf numFmtId="164" fontId="8" fillId="0" borderId="0" xfId="1" applyNumberFormat="1" applyFont="1" applyFill="1" applyBorder="1"/>
    <xf numFmtId="164" fontId="17" fillId="0" borderId="0" xfId="3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31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4" fillId="0" borderId="0" xfId="0" applyFont="1" applyAlignment="1">
      <alignment vertical="center" wrapText="1"/>
    </xf>
    <xf numFmtId="0" fontId="2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1" xfId="0" applyFont="1" applyFill="1" applyBorder="1" applyAlignment="1">
      <alignment horizontal="center"/>
    </xf>
    <xf numFmtId="164" fontId="2" fillId="0" borderId="41" xfId="0" applyNumberFormat="1" applyFont="1" applyBorder="1" applyAlignment="1">
      <alignment horizontal="right" vertical="center"/>
    </xf>
    <xf numFmtId="0" fontId="15" fillId="0" borderId="6" xfId="0" applyFont="1" applyBorder="1"/>
    <xf numFmtId="0" fontId="2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164" fontId="16" fillId="0" borderId="0" xfId="1" applyNumberFormat="1" applyFont="1" applyFill="1" applyBorder="1"/>
    <xf numFmtId="0" fontId="2" fillId="5" borderId="29" xfId="0" applyFont="1" applyFill="1" applyBorder="1" applyAlignment="1">
      <alignment horizontal="center" vertical="center"/>
    </xf>
    <xf numFmtId="164" fontId="0" fillId="0" borderId="54" xfId="0" applyNumberFormat="1" applyBorder="1" applyAlignment="1">
      <alignment horizontal="right" vertical="center"/>
    </xf>
    <xf numFmtId="164" fontId="0" fillId="0" borderId="19" xfId="0" applyNumberFormat="1" applyBorder="1" applyAlignment="1">
      <alignment horizontal="right" vertical="center"/>
    </xf>
    <xf numFmtId="44" fontId="2" fillId="0" borderId="44" xfId="0" applyNumberFormat="1" applyFont="1" applyBorder="1" applyAlignment="1">
      <alignment horizontal="right" vertical="center"/>
    </xf>
    <xf numFmtId="164" fontId="2" fillId="0" borderId="44" xfId="0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6" fillId="0" borderId="0" xfId="1" applyNumberFormat="1" applyFont="1" applyBorder="1"/>
    <xf numFmtId="0" fontId="0" fillId="0" borderId="18" xfId="0" applyBorder="1"/>
    <xf numFmtId="0" fontId="0" fillId="0" borderId="19" xfId="0" applyNumberFormat="1" applyBorder="1"/>
    <xf numFmtId="164" fontId="0" fillId="0" borderId="53" xfId="0" applyNumberFormat="1" applyBorder="1"/>
    <xf numFmtId="164" fontId="4" fillId="0" borderId="7" xfId="1" applyNumberFormat="1" applyFont="1" applyBorder="1"/>
    <xf numFmtId="164" fontId="0" fillId="0" borderId="48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8" fillId="3" borderId="62" xfId="1" applyNumberFormat="1" applyFont="1" applyFill="1" applyBorder="1"/>
    <xf numFmtId="164" fontId="2" fillId="0" borderId="39" xfId="0" applyNumberFormat="1" applyFont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5" fillId="0" borderId="11" xfId="1" applyNumberFormat="1" applyFont="1" applyBorder="1"/>
    <xf numFmtId="164" fontId="8" fillId="3" borderId="44" xfId="1" applyNumberFormat="1" applyFont="1" applyFill="1" applyBorder="1"/>
    <xf numFmtId="0" fontId="4" fillId="0" borderId="63" xfId="0" applyFont="1" applyBorder="1"/>
    <xf numFmtId="0" fontId="4" fillId="0" borderId="64" xfId="0" applyNumberFormat="1" applyFont="1" applyBorder="1"/>
    <xf numFmtId="164" fontId="4" fillId="0" borderId="55" xfId="0" applyNumberFormat="1" applyFont="1" applyBorder="1"/>
    <xf numFmtId="164" fontId="4" fillId="0" borderId="21" xfId="1" applyNumberFormat="1" applyFont="1" applyBorder="1"/>
    <xf numFmtId="164" fontId="17" fillId="11" borderId="14" xfId="1" applyNumberFormat="1" applyFont="1" applyFill="1" applyBorder="1"/>
    <xf numFmtId="0" fontId="2" fillId="0" borderId="6" xfId="0" applyFont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7" fillId="3" borderId="62" xfId="1" applyNumberFormat="1" applyFont="1" applyFill="1" applyBorder="1"/>
    <xf numFmtId="164" fontId="0" fillId="0" borderId="57" xfId="0" applyNumberFormat="1" applyBorder="1" applyAlignment="1">
      <alignment horizontal="right" vertical="center"/>
    </xf>
    <xf numFmtId="164" fontId="0" fillId="11" borderId="46" xfId="0" applyNumberFormat="1" applyFill="1" applyBorder="1" applyAlignment="1">
      <alignment horizontal="right" vertical="center"/>
    </xf>
    <xf numFmtId="164" fontId="0" fillId="11" borderId="54" xfId="0" applyNumberFormat="1" applyFill="1" applyBorder="1" applyAlignment="1">
      <alignment horizontal="right" vertical="center"/>
    </xf>
    <xf numFmtId="164" fontId="0" fillId="11" borderId="48" xfId="0" applyNumberFormat="1" applyFill="1" applyBorder="1" applyAlignment="1">
      <alignment horizontal="right" vertical="center"/>
    </xf>
    <xf numFmtId="164" fontId="8" fillId="3" borderId="58" xfId="3" applyNumberFormat="1" applyFont="1" applyFill="1" applyBorder="1"/>
    <xf numFmtId="164" fontId="6" fillId="0" borderId="2" xfId="0" applyNumberFormat="1" applyFont="1" applyBorder="1" applyAlignment="1">
      <alignment vertical="center"/>
    </xf>
    <xf numFmtId="164" fontId="17" fillId="11" borderId="2" xfId="1" applyNumberFormat="1" applyFont="1" applyFill="1" applyBorder="1"/>
    <xf numFmtId="164" fontId="8" fillId="11" borderId="38" xfId="1" applyNumberFormat="1" applyFont="1" applyFill="1" applyBorder="1"/>
    <xf numFmtId="164" fontId="8" fillId="11" borderId="25" xfId="1" applyNumberFormat="1" applyFont="1" applyFill="1" applyBorder="1"/>
    <xf numFmtId="0" fontId="2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3" borderId="16" xfId="0" applyFont="1" applyFill="1" applyBorder="1" applyAlignment="1">
      <alignment horizontal="left"/>
    </xf>
    <xf numFmtId="164" fontId="2" fillId="5" borderId="25" xfId="0" applyNumberFormat="1" applyFont="1" applyFill="1" applyBorder="1" applyAlignment="1">
      <alignment horizontal="center" vertical="center"/>
    </xf>
    <xf numFmtId="0" fontId="0" fillId="0" borderId="73" xfId="0" applyNumberFormat="1" applyBorder="1"/>
    <xf numFmtId="164" fontId="0" fillId="0" borderId="73" xfId="0" applyNumberFormat="1" applyFont="1" applyBorder="1"/>
    <xf numFmtId="164" fontId="0" fillId="0" borderId="72" xfId="1" applyNumberFormat="1" applyFont="1" applyBorder="1"/>
    <xf numFmtId="14" fontId="0" fillId="0" borderId="0" xfId="0" applyNumberFormat="1"/>
    <xf numFmtId="0" fontId="17" fillId="3" borderId="0" xfId="0" applyFont="1" applyFill="1" applyBorder="1" applyAlignment="1">
      <alignment horizontal="center"/>
    </xf>
    <xf numFmtId="0" fontId="8" fillId="3" borderId="33" xfId="0" applyFont="1" applyFill="1" applyBorder="1" applyAlignment="1">
      <alignment horizontal="left"/>
    </xf>
    <xf numFmtId="0" fontId="8" fillId="3" borderId="45" xfId="3" applyFont="1" applyFill="1" applyBorder="1" applyAlignment="1">
      <alignment horizontal="left"/>
    </xf>
    <xf numFmtId="0" fontId="8" fillId="3" borderId="61" xfId="3" applyFont="1" applyFill="1" applyBorder="1" applyAlignment="1">
      <alignment horizontal="left"/>
    </xf>
    <xf numFmtId="164" fontId="17" fillId="11" borderId="24" xfId="1" applyNumberFormat="1" applyFont="1" applyFill="1" applyBorder="1"/>
    <xf numFmtId="164" fontId="6" fillId="0" borderId="21" xfId="1" applyNumberFormat="1" applyFont="1" applyBorder="1"/>
    <xf numFmtId="164" fontId="8" fillId="3" borderId="5" xfId="1" applyNumberFormat="1" applyFont="1" applyFill="1" applyBorder="1"/>
    <xf numFmtId="164" fontId="8" fillId="3" borderId="58" xfId="1" applyNumberFormat="1" applyFont="1" applyFill="1" applyBorder="1"/>
    <xf numFmtId="164" fontId="6" fillId="0" borderId="75" xfId="1" applyNumberFormat="1" applyFont="1" applyBorder="1"/>
    <xf numFmtId="0" fontId="8" fillId="3" borderId="15" xfId="0" applyFont="1" applyFill="1" applyBorder="1" applyAlignment="1">
      <alignment horizontal="left"/>
    </xf>
    <xf numFmtId="164" fontId="8" fillId="3" borderId="14" xfId="1" applyNumberFormat="1" applyFont="1" applyFill="1" applyBorder="1"/>
    <xf numFmtId="0" fontId="0" fillId="0" borderId="72" xfId="0" applyNumberFormat="1" applyBorder="1"/>
    <xf numFmtId="0" fontId="2" fillId="2" borderId="12" xfId="0" applyFont="1" applyFill="1" applyBorder="1" applyAlignment="1">
      <alignment horizontal="center" vertical="center"/>
    </xf>
    <xf numFmtId="0" fontId="2" fillId="2" borderId="13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1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NumberFormat="1" applyBorder="1"/>
    <xf numFmtId="164" fontId="0" fillId="0" borderId="4" xfId="0" applyNumberFormat="1" applyBorder="1"/>
    <xf numFmtId="164" fontId="0" fillId="0" borderId="5" xfId="1" applyNumberFormat="1" applyFont="1" applyBorder="1"/>
    <xf numFmtId="0" fontId="4" fillId="0" borderId="6" xfId="0" applyFont="1" applyBorder="1"/>
    <xf numFmtId="0" fontId="0" fillId="0" borderId="7" xfId="0" applyNumberFormat="1" applyBorder="1"/>
    <xf numFmtId="0" fontId="0" fillId="0" borderId="8" xfId="0" applyBorder="1"/>
    <xf numFmtId="164" fontId="0" fillId="0" borderId="58" xfId="1" applyNumberFormat="1" applyFont="1" applyBorder="1"/>
    <xf numFmtId="0" fontId="0" fillId="0" borderId="9" xfId="0" applyNumberFormat="1" applyFill="1" applyBorder="1"/>
    <xf numFmtId="164" fontId="0" fillId="0" borderId="9" xfId="0" applyNumberFormat="1" applyFont="1" applyBorder="1"/>
    <xf numFmtId="44" fontId="2" fillId="2" borderId="44" xfId="0" applyNumberFormat="1" applyFont="1" applyFill="1" applyBorder="1" applyAlignment="1">
      <alignment horizontal="right" vertical="center"/>
    </xf>
    <xf numFmtId="164" fontId="2" fillId="2" borderId="44" xfId="0" applyNumberFormat="1" applyFont="1" applyFill="1" applyBorder="1" applyAlignment="1">
      <alignment horizontal="right" vertical="center"/>
    </xf>
    <xf numFmtId="44" fontId="2" fillId="17" borderId="39" xfId="0" applyNumberFormat="1" applyFont="1" applyFill="1" applyBorder="1" applyAlignment="1">
      <alignment horizontal="center" vertical="center"/>
    </xf>
    <xf numFmtId="164" fontId="22" fillId="0" borderId="0" xfId="3" applyNumberFormat="1" applyFont="1" applyFill="1" applyBorder="1"/>
    <xf numFmtId="44" fontId="0" fillId="0" borderId="54" xfId="0" applyNumberFormat="1" applyBorder="1" applyAlignment="1">
      <alignment horizontal="right" vertical="center"/>
    </xf>
    <xf numFmtId="0" fontId="2" fillId="5" borderId="21" xfId="0" applyFont="1" applyFill="1" applyBorder="1" applyAlignment="1">
      <alignment horizontal="center" vertical="center"/>
    </xf>
    <xf numFmtId="164" fontId="0" fillId="0" borderId="74" xfId="0" applyNumberFormat="1" applyBorder="1" applyAlignment="1">
      <alignment horizontal="right" vertical="center"/>
    </xf>
    <xf numFmtId="164" fontId="0" fillId="11" borderId="74" xfId="0" applyNumberFormat="1" applyFill="1" applyBorder="1" applyAlignment="1">
      <alignment horizontal="right" vertical="center"/>
    </xf>
    <xf numFmtId="164" fontId="0" fillId="0" borderId="22" xfId="0" applyNumberFormat="1" applyBorder="1" applyAlignment="1">
      <alignment horizontal="right" vertical="center"/>
    </xf>
    <xf numFmtId="164" fontId="2" fillId="17" borderId="39" xfId="0" applyNumberFormat="1" applyFont="1" applyFill="1" applyBorder="1" applyAlignment="1">
      <alignment horizontal="center" vertical="center"/>
    </xf>
    <xf numFmtId="164" fontId="2" fillId="17" borderId="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3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0" fillId="15" borderId="1" xfId="0" applyNumberFormat="1" applyFill="1" applyBorder="1"/>
    <xf numFmtId="16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3" borderId="28" xfId="0" applyFont="1" applyFill="1" applyBorder="1" applyAlignment="1">
      <alignment horizontal="left"/>
    </xf>
    <xf numFmtId="0" fontId="8" fillId="3" borderId="60" xfId="0" applyFont="1" applyFill="1" applyBorder="1" applyAlignment="1">
      <alignment horizontal="left"/>
    </xf>
    <xf numFmtId="164" fontId="8" fillId="3" borderId="34" xfId="1" applyNumberFormat="1" applyFont="1" applyFill="1" applyBorder="1"/>
    <xf numFmtId="0" fontId="0" fillId="0" borderId="35" xfId="0" applyBorder="1"/>
    <xf numFmtId="0" fontId="0" fillId="0" borderId="37" xfId="0" applyNumberFormat="1" applyBorder="1"/>
    <xf numFmtId="164" fontId="0" fillId="0" borderId="37" xfId="0" applyNumberFormat="1" applyBorder="1"/>
    <xf numFmtId="164" fontId="0" fillId="0" borderId="75" xfId="1" applyNumberFormat="1" applyFont="1" applyBorder="1"/>
    <xf numFmtId="0" fontId="0" fillId="0" borderId="1" xfId="0" applyBorder="1" applyAlignment="1">
      <alignment horizontal="center"/>
    </xf>
    <xf numFmtId="17" fontId="2" fillId="0" borderId="0" xfId="0" applyNumberFormat="1" applyFont="1"/>
    <xf numFmtId="0" fontId="17" fillId="3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164" fontId="17" fillId="0" borderId="21" xfId="3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3" borderId="1" xfId="3" applyFont="1" applyFill="1" applyBorder="1" applyAlignment="1">
      <alignment horizontal="left"/>
    </xf>
    <xf numFmtId="44" fontId="0" fillId="0" borderId="7" xfId="0" applyNumberFormat="1" applyBorder="1"/>
    <xf numFmtId="44" fontId="2" fillId="2" borderId="14" xfId="1" applyNumberFormat="1" applyFont="1" applyFill="1" applyBorder="1" applyAlignment="1">
      <alignment horizontal="center" vertical="center"/>
    </xf>
    <xf numFmtId="44" fontId="0" fillId="0" borderId="5" xfId="1" applyNumberFormat="1" applyFont="1" applyBorder="1"/>
    <xf numFmtId="44" fontId="6" fillId="0" borderId="58" xfId="1" applyNumberFormat="1" applyFont="1" applyBorder="1"/>
    <xf numFmtId="0" fontId="17" fillId="0" borderId="6" xfId="0" applyFont="1" applyBorder="1"/>
    <xf numFmtId="17" fontId="33" fillId="0" borderId="0" xfId="0" applyNumberFormat="1" applyFont="1"/>
    <xf numFmtId="0" fontId="2" fillId="0" borderId="0" xfId="0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1" xfId="0" applyNumberFormat="1" applyBorder="1"/>
    <xf numFmtId="17" fontId="34" fillId="0" borderId="0" xfId="0" applyNumberFormat="1" applyFont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17" fontId="0" fillId="0" borderId="0" xfId="0" applyNumberFormat="1"/>
    <xf numFmtId="0" fontId="26" fillId="2" borderId="4" xfId="0" applyNumberFormat="1" applyFont="1" applyFill="1" applyBorder="1" applyAlignment="1">
      <alignment horizontal="center" vertical="center"/>
    </xf>
    <xf numFmtId="164" fontId="16" fillId="2" borderId="4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12" fillId="0" borderId="69" xfId="2" applyFill="1" applyBorder="1" applyAlignment="1">
      <alignment horizontal="center" vertical="center"/>
    </xf>
    <xf numFmtId="0" fontId="12" fillId="0" borderId="56" xfId="2" applyFill="1" applyBorder="1" applyAlignment="1">
      <alignment horizontal="center" vertical="center"/>
    </xf>
    <xf numFmtId="0" fontId="12" fillId="0" borderId="48" xfId="2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17" fillId="0" borderId="0" xfId="3" applyFont="1" applyFill="1" applyBorder="1" applyAlignment="1">
      <alignment horizontal="center"/>
    </xf>
    <xf numFmtId="164" fontId="17" fillId="0" borderId="0" xfId="3" applyNumberFormat="1" applyFont="1" applyFill="1" applyBorder="1"/>
    <xf numFmtId="0" fontId="17" fillId="0" borderId="0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164" fontId="17" fillId="11" borderId="1" xfId="1" applyNumberFormat="1" applyFont="1" applyFill="1" applyBorder="1"/>
    <xf numFmtId="164" fontId="8" fillId="3" borderId="1" xfId="1" applyNumberFormat="1" applyFont="1" applyFill="1" applyBorder="1"/>
    <xf numFmtId="164" fontId="6" fillId="0" borderId="1" xfId="1" applyNumberFormat="1" applyFont="1" applyBorder="1"/>
    <xf numFmtId="164" fontId="6" fillId="14" borderId="1" xfId="1" applyNumberFormat="1" applyFont="1" applyFill="1" applyBorder="1"/>
    <xf numFmtId="164" fontId="6" fillId="18" borderId="1" xfId="1" applyNumberFormat="1" applyFont="1" applyFill="1" applyBorder="1"/>
    <xf numFmtId="0" fontId="17" fillId="2" borderId="1" xfId="3" applyFont="1" applyFill="1" applyBorder="1" applyAlignment="1">
      <alignment horizontal="center" vertical="center"/>
    </xf>
    <xf numFmtId="0" fontId="17" fillId="2" borderId="1" xfId="3" applyNumberFormat="1" applyFont="1" applyFill="1" applyBorder="1" applyAlignment="1">
      <alignment horizontal="center" vertical="center"/>
    </xf>
    <xf numFmtId="164" fontId="17" fillId="2" borderId="1" xfId="3" applyNumberFormat="1" applyFont="1" applyFill="1" applyBorder="1" applyAlignment="1">
      <alignment horizontal="center" vertical="center"/>
    </xf>
    <xf numFmtId="0" fontId="5" fillId="0" borderId="1" xfId="3" applyFont="1" applyFill="1" applyBorder="1"/>
    <xf numFmtId="164" fontId="17" fillId="18" borderId="1" xfId="3" applyNumberFormat="1" applyFont="1" applyFill="1" applyBorder="1"/>
    <xf numFmtId="164" fontId="5" fillId="0" borderId="1" xfId="1" applyNumberFormat="1" applyFont="1" applyBorder="1"/>
    <xf numFmtId="0" fontId="2" fillId="0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0" fillId="18" borderId="1" xfId="0" applyNumberFormat="1" applyFill="1" applyBorder="1"/>
    <xf numFmtId="164" fontId="0" fillId="18" borderId="1" xfId="0" applyNumberFormat="1" applyFill="1" applyBorder="1"/>
    <xf numFmtId="0" fontId="0" fillId="0" borderId="1" xfId="0" applyFont="1" applyBorder="1"/>
    <xf numFmtId="0" fontId="5" fillId="0" borderId="1" xfId="0" applyFont="1" applyBorder="1"/>
    <xf numFmtId="44" fontId="2" fillId="0" borderId="1" xfId="0" applyNumberFormat="1" applyFont="1" applyBorder="1"/>
    <xf numFmtId="0" fontId="0" fillId="0" borderId="1" xfId="0" applyNumberFormat="1" applyFont="1" applyBorder="1"/>
    <xf numFmtId="0" fontId="5" fillId="0" borderId="0" xfId="0" applyFont="1"/>
    <xf numFmtId="0" fontId="5" fillId="0" borderId="1" xfId="0" applyNumberFormat="1" applyFont="1" applyBorder="1"/>
    <xf numFmtId="44" fontId="5" fillId="0" borderId="1" xfId="0" applyNumberFormat="1" applyFont="1" applyBorder="1"/>
    <xf numFmtId="0" fontId="5" fillId="18" borderId="1" xfId="0" applyFont="1" applyFill="1" applyBorder="1"/>
    <xf numFmtId="0" fontId="5" fillId="18" borderId="1" xfId="0" applyNumberFormat="1" applyFont="1" applyFill="1" applyBorder="1"/>
    <xf numFmtId="44" fontId="5" fillId="18" borderId="1" xfId="0" applyNumberFormat="1" applyFont="1" applyFill="1" applyBorder="1"/>
    <xf numFmtId="0" fontId="0" fillId="18" borderId="0" xfId="0" applyFill="1"/>
    <xf numFmtId="0" fontId="0" fillId="18" borderId="1" xfId="0" applyFill="1" applyBorder="1"/>
    <xf numFmtId="164" fontId="0" fillId="18" borderId="1" xfId="1" applyNumberFormat="1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center"/>
    </xf>
    <xf numFmtId="164" fontId="5" fillId="18" borderId="1" xfId="0" applyNumberFormat="1" applyFont="1" applyFill="1" applyBorder="1"/>
    <xf numFmtId="0" fontId="36" fillId="0" borderId="1" xfId="0" applyFont="1" applyBorder="1"/>
    <xf numFmtId="17" fontId="35" fillId="0" borderId="0" xfId="0" applyNumberFormat="1" applyFont="1"/>
    <xf numFmtId="0" fontId="35" fillId="0" borderId="1" xfId="0" applyFont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37" fillId="0" borderId="0" xfId="0" applyFont="1"/>
    <xf numFmtId="17" fontId="38" fillId="0" borderId="0" xfId="0" applyNumberFormat="1" applyFont="1"/>
    <xf numFmtId="0" fontId="38" fillId="0" borderId="0" xfId="0" applyFont="1"/>
    <xf numFmtId="164" fontId="0" fillId="0" borderId="0" xfId="0" applyNumberFormat="1" applyAlignment="1">
      <alignment horizontal="center"/>
    </xf>
    <xf numFmtId="0" fontId="39" fillId="0" borderId="1" xfId="0" applyFont="1" applyBorder="1"/>
    <xf numFmtId="44" fontId="0" fillId="0" borderId="1" xfId="0" applyNumberFormat="1" applyBorder="1" applyAlignment="1">
      <alignment horizontal="center"/>
    </xf>
    <xf numFmtId="44" fontId="39" fillId="0" borderId="1" xfId="0" applyNumberFormat="1" applyFont="1" applyBorder="1"/>
    <xf numFmtId="44" fontId="38" fillId="0" borderId="0" xfId="0" applyNumberFormat="1" applyFont="1"/>
    <xf numFmtId="44" fontId="33" fillId="0" borderId="1" xfId="0" applyNumberFormat="1" applyFont="1" applyBorder="1" applyAlignment="1">
      <alignment horizontal="center"/>
    </xf>
    <xf numFmtId="44" fontId="7" fillId="0" borderId="1" xfId="0" applyNumberFormat="1" applyFont="1" applyBorder="1"/>
    <xf numFmtId="44" fontId="7" fillId="0" borderId="1" xfId="0" applyNumberFormat="1" applyFont="1" applyFill="1" applyBorder="1"/>
    <xf numFmtId="44" fontId="34" fillId="0" borderId="0" xfId="0" applyNumberFormat="1" applyFont="1"/>
    <xf numFmtId="0" fontId="34" fillId="0" borderId="0" xfId="0" applyFont="1"/>
    <xf numFmtId="164" fontId="5" fillId="0" borderId="1" xfId="0" applyNumberFormat="1" applyFont="1" applyBorder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8" fillId="3" borderId="76" xfId="0" applyFont="1" applyFill="1" applyBorder="1" applyAlignment="1">
      <alignment horizontal="left"/>
    </xf>
    <xf numFmtId="0" fontId="2" fillId="13" borderId="0" xfId="0" applyFont="1" applyFill="1"/>
    <xf numFmtId="0" fontId="2" fillId="11" borderId="76" xfId="0" applyFont="1" applyFill="1" applyBorder="1"/>
    <xf numFmtId="0" fontId="2" fillId="11" borderId="66" xfId="0" applyNumberFormat="1" applyFont="1" applyFill="1" applyBorder="1"/>
    <xf numFmtId="164" fontId="2" fillId="11" borderId="47" xfId="0" applyNumberFormat="1" applyFont="1" applyFill="1" applyBorder="1"/>
    <xf numFmtId="164" fontId="2" fillId="11" borderId="1" xfId="1" applyNumberFormat="1" applyFont="1" applyFill="1" applyBorder="1"/>
    <xf numFmtId="0" fontId="17" fillId="0" borderId="1" xfId="0" applyFont="1" applyFill="1" applyBorder="1" applyAlignment="1">
      <alignment horizontal="center"/>
    </xf>
    <xf numFmtId="164" fontId="17" fillId="0" borderId="1" xfId="1" applyNumberFormat="1" applyFont="1" applyFill="1" applyBorder="1"/>
    <xf numFmtId="0" fontId="17" fillId="0" borderId="19" xfId="0" applyFont="1" applyFill="1" applyBorder="1" applyAlignment="1">
      <alignment horizontal="center"/>
    </xf>
    <xf numFmtId="0" fontId="2" fillId="0" borderId="0" xfId="0" applyFont="1" applyFill="1"/>
    <xf numFmtId="0" fontId="5" fillId="11" borderId="1" xfId="0" applyFont="1" applyFill="1" applyBorder="1"/>
    <xf numFmtId="0" fontId="0" fillId="11" borderId="1" xfId="0" applyNumberFormat="1" applyFill="1" applyBorder="1"/>
    <xf numFmtId="164" fontId="0" fillId="11" borderId="1" xfId="0" applyNumberFormat="1" applyFill="1" applyBorder="1"/>
    <xf numFmtId="0" fontId="8" fillId="3" borderId="19" xfId="0" applyFont="1" applyFill="1" applyBorder="1" applyAlignment="1">
      <alignment horizontal="left"/>
    </xf>
    <xf numFmtId="0" fontId="40" fillId="11" borderId="76" xfId="0" applyFont="1" applyFill="1" applyBorder="1" applyAlignment="1">
      <alignment horizontal="left"/>
    </xf>
    <xf numFmtId="0" fontId="40" fillId="11" borderId="66" xfId="0" applyFont="1" applyFill="1" applyBorder="1" applyAlignment="1">
      <alignment horizontal="left"/>
    </xf>
    <xf numFmtId="0" fontId="40" fillId="11" borderId="47" xfId="0" applyFont="1" applyFill="1" applyBorder="1" applyAlignment="1">
      <alignment horizontal="left"/>
    </xf>
    <xf numFmtId="164" fontId="40" fillId="11" borderId="1" xfId="1" applyNumberFormat="1" applyFont="1" applyFill="1" applyBorder="1"/>
    <xf numFmtId="164" fontId="17" fillId="13" borderId="0" xfId="1" applyNumberFormat="1" applyFont="1" applyFill="1" applyBorder="1"/>
    <xf numFmtId="0" fontId="17" fillId="13" borderId="0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13" borderId="0" xfId="0" applyFont="1" applyFill="1" applyBorder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11" borderId="76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8" fillId="3" borderId="76" xfId="0" applyFont="1" applyFill="1" applyBorder="1" applyAlignment="1">
      <alignment horizontal="left"/>
    </xf>
    <xf numFmtId="0" fontId="24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/>
    </xf>
    <xf numFmtId="0" fontId="12" fillId="0" borderId="1" xfId="2" applyFill="1" applyBorder="1" applyAlignment="1">
      <alignment horizontal="center" vertical="center"/>
    </xf>
    <xf numFmtId="0" fontId="2" fillId="19" borderId="1" xfId="0" applyFont="1" applyFill="1" applyBorder="1" applyAlignment="1">
      <alignment horizontal="right"/>
    </xf>
    <xf numFmtId="0" fontId="2" fillId="18" borderId="76" xfId="0" applyFont="1" applyFill="1" applyBorder="1" applyAlignment="1">
      <alignment horizontal="left"/>
    </xf>
    <xf numFmtId="164" fontId="0" fillId="18" borderId="47" xfId="0" applyNumberFormat="1" applyFill="1" applyBorder="1"/>
    <xf numFmtId="164" fontId="0" fillId="18" borderId="66" xfId="0" applyNumberFormat="1" applyFill="1" applyBorder="1"/>
    <xf numFmtId="0" fontId="0" fillId="18" borderId="66" xfId="0" applyNumberFormat="1" applyFill="1" applyBorder="1"/>
    <xf numFmtId="0" fontId="5" fillId="0" borderId="19" xfId="0" applyNumberFormat="1" applyFont="1" applyBorder="1"/>
    <xf numFmtId="164" fontId="4" fillId="0" borderId="1" xfId="0" applyNumberFormat="1" applyFont="1" applyBorder="1"/>
    <xf numFmtId="164" fontId="4" fillId="0" borderId="1" xfId="1" applyNumberFormat="1" applyFont="1" applyBorder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8" fillId="3" borderId="76" xfId="0" applyFont="1" applyFill="1" applyBorder="1" applyAlignment="1">
      <alignment horizontal="left"/>
    </xf>
    <xf numFmtId="49" fontId="34" fillId="0" borderId="0" xfId="0" applyNumberFormat="1" applyFont="1"/>
    <xf numFmtId="49" fontId="38" fillId="0" borderId="0" xfId="0" applyNumberFormat="1" applyFont="1"/>
    <xf numFmtId="0" fontId="17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164" fontId="8" fillId="13" borderId="1" xfId="1" applyNumberFormat="1" applyFont="1" applyFill="1" applyBorder="1"/>
    <xf numFmtId="0" fontId="8" fillId="13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3" applyNumberFormat="1" applyFont="1" applyFill="1" applyBorder="1"/>
    <xf numFmtId="164" fontId="8" fillId="0" borderId="1" xfId="3" applyNumberFormat="1" applyFont="1" applyFill="1" applyBorder="1"/>
    <xf numFmtId="0" fontId="8" fillId="13" borderId="1" xfId="0" applyFont="1" applyFill="1" applyBorder="1" applyAlignment="1">
      <alignment horizontal="right"/>
    </xf>
    <xf numFmtId="0" fontId="2" fillId="0" borderId="0" xfId="0" applyFont="1" applyFill="1" applyBorder="1"/>
    <xf numFmtId="0" fontId="8" fillId="0" borderId="1" xfId="0" applyNumberFormat="1" applyFont="1" applyBorder="1"/>
    <xf numFmtId="164" fontId="8" fillId="0" borderId="1" xfId="0" applyNumberFormat="1" applyFont="1" applyBorder="1"/>
    <xf numFmtId="164" fontId="8" fillId="0" borderId="1" xfId="1" applyNumberFormat="1" applyFont="1" applyBorder="1"/>
    <xf numFmtId="0" fontId="4" fillId="13" borderId="1" xfId="0" applyFont="1" applyFill="1" applyBorder="1" applyAlignment="1">
      <alignment horizontal="right"/>
    </xf>
    <xf numFmtId="164" fontId="4" fillId="13" borderId="1" xfId="1" applyNumberFormat="1" applyFont="1" applyFill="1" applyBorder="1"/>
    <xf numFmtId="0" fontId="8" fillId="0" borderId="1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center"/>
    </xf>
    <xf numFmtId="164" fontId="8" fillId="0" borderId="1" xfId="1" applyNumberFormat="1" applyFont="1" applyFill="1" applyBorder="1"/>
    <xf numFmtId="0" fontId="4" fillId="13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8" fillId="3" borderId="76" xfId="0" applyFont="1" applyFill="1" applyBorder="1" applyAlignment="1">
      <alignment horizontal="left"/>
    </xf>
    <xf numFmtId="0" fontId="8" fillId="11" borderId="76" xfId="0" applyFont="1" applyFill="1" applyBorder="1"/>
    <xf numFmtId="0" fontId="2" fillId="11" borderId="66" xfId="3" applyNumberFormat="1" applyFont="1" applyFill="1" applyBorder="1"/>
    <xf numFmtId="164" fontId="8" fillId="11" borderId="47" xfId="3" applyNumberFormat="1" applyFont="1" applyFill="1" applyBorder="1"/>
    <xf numFmtId="164" fontId="2" fillId="11" borderId="1" xfId="3" applyNumberFormat="1" applyFont="1" applyFill="1" applyBorder="1"/>
    <xf numFmtId="164" fontId="41" fillId="18" borderId="1" xfId="3" applyNumberFormat="1" applyFont="1" applyFill="1" applyBorder="1"/>
    <xf numFmtId="0" fontId="36" fillId="11" borderId="1" xfId="0" applyFont="1" applyFill="1" applyBorder="1"/>
    <xf numFmtId="0" fontId="36" fillId="11" borderId="1" xfId="0" applyNumberFormat="1" applyFont="1" applyFill="1" applyBorder="1"/>
    <xf numFmtId="164" fontId="36" fillId="11" borderId="1" xfId="0" applyNumberFormat="1" applyFont="1" applyFill="1" applyBorder="1"/>
    <xf numFmtId="164" fontId="36" fillId="11" borderId="1" xfId="1" applyNumberFormat="1" applyFont="1" applyFill="1" applyBorder="1"/>
    <xf numFmtId="0" fontId="3" fillId="0" borderId="0" xfId="0" applyFont="1"/>
    <xf numFmtId="0" fontId="35" fillId="11" borderId="76" xfId="0" applyFont="1" applyFill="1" applyBorder="1"/>
    <xf numFmtId="0" fontId="35" fillId="11" borderId="66" xfId="0" applyNumberFormat="1" applyFont="1" applyFill="1" applyBorder="1"/>
    <xf numFmtId="164" fontId="35" fillId="11" borderId="47" xfId="0" applyNumberFormat="1" applyFont="1" applyFill="1" applyBorder="1"/>
    <xf numFmtId="164" fontId="35" fillId="11" borderId="1" xfId="1" applyNumberFormat="1" applyFont="1" applyFill="1" applyBorder="1"/>
    <xf numFmtId="0" fontId="42" fillId="0" borderId="0" xfId="0" applyFont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13" borderId="0" xfId="0" applyFill="1"/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8" fillId="3" borderId="76" xfId="0" applyFont="1" applyFill="1" applyBorder="1" applyAlignment="1">
      <alignment horizontal="left"/>
    </xf>
    <xf numFmtId="164" fontId="2" fillId="13" borderId="0" xfId="0" applyNumberFormat="1" applyFont="1" applyFill="1"/>
    <xf numFmtId="164" fontId="0" fillId="13" borderId="0" xfId="0" applyNumberFormat="1" applyFill="1"/>
    <xf numFmtId="164" fontId="3" fillId="0" borderId="0" xfId="0" applyNumberFormat="1" applyFont="1"/>
    <xf numFmtId="0" fontId="0" fillId="0" borderId="0" xfId="0"/>
    <xf numFmtId="0" fontId="0" fillId="0" borderId="1" xfId="0" applyBorder="1"/>
    <xf numFmtId="44" fontId="0" fillId="0" borderId="1" xfId="0" applyNumberFormat="1" applyBorder="1"/>
    <xf numFmtId="164" fontId="0" fillId="0" borderId="0" xfId="0" applyNumberFormat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11" borderId="1" xfId="0" applyFont="1" applyFill="1" applyBorder="1" applyAlignment="1">
      <alignment horizontal="center"/>
    </xf>
    <xf numFmtId="164" fontId="17" fillId="11" borderId="19" xfId="1" applyNumberFormat="1" applyFont="1" applyFill="1" applyBorder="1"/>
    <xf numFmtId="0" fontId="17" fillId="0" borderId="1" xfId="3" applyFont="1" applyFill="1" applyBorder="1" applyAlignment="1">
      <alignment horizontal="center"/>
    </xf>
    <xf numFmtId="164" fontId="17" fillId="0" borderId="1" xfId="3" applyNumberFormat="1" applyFont="1" applyFill="1" applyBorder="1"/>
    <xf numFmtId="0" fontId="17" fillId="11" borderId="1" xfId="3" applyFont="1" applyFill="1" applyBorder="1" applyAlignment="1">
      <alignment horizontal="center"/>
    </xf>
    <xf numFmtId="164" fontId="17" fillId="11" borderId="1" xfId="3" applyNumberFormat="1" applyFont="1" applyFill="1" applyBorder="1"/>
    <xf numFmtId="0" fontId="17" fillId="0" borderId="1" xfId="3" applyFont="1" applyFill="1" applyBorder="1" applyAlignment="1">
      <alignment horizontal="left"/>
    </xf>
    <xf numFmtId="0" fontId="17" fillId="11" borderId="1" xfId="3" applyFont="1" applyFill="1" applyBorder="1" applyAlignment="1">
      <alignment horizontal="left"/>
    </xf>
    <xf numFmtId="0" fontId="17" fillId="11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8" fillId="3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164" fontId="16" fillId="0" borderId="0" xfId="0" applyNumberFormat="1" applyFont="1" applyFill="1" applyBorder="1" applyAlignment="1">
      <alignment horizontal="right"/>
    </xf>
    <xf numFmtId="164" fontId="42" fillId="0" borderId="0" xfId="0" applyNumberFormat="1" applyFont="1"/>
    <xf numFmtId="0" fontId="7" fillId="0" borderId="0" xfId="0" applyFont="1" applyFill="1" applyBorder="1"/>
    <xf numFmtId="44" fontId="7" fillId="0" borderId="0" xfId="0" applyNumberFormat="1" applyFont="1" applyBorder="1"/>
    <xf numFmtId="0" fontId="43" fillId="13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2" fillId="11" borderId="1" xfId="1" applyNumberFormat="1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left" vertical="center"/>
    </xf>
    <xf numFmtId="0" fontId="0" fillId="13" borderId="1" xfId="0" applyNumberFormat="1" applyFont="1" applyFill="1" applyBorder="1" applyAlignment="1">
      <alignment horizontal="right" vertical="center"/>
    </xf>
    <xf numFmtId="164" fontId="0" fillId="13" borderId="1" xfId="0" applyNumberFormat="1" applyFont="1" applyFill="1" applyBorder="1" applyAlignment="1">
      <alignment horizontal="right" vertical="center"/>
    </xf>
    <xf numFmtId="164" fontId="1" fillId="13" borderId="1" xfId="1" applyNumberFormat="1" applyFont="1" applyFill="1" applyBorder="1" applyAlignment="1">
      <alignment horizontal="right" vertical="center"/>
    </xf>
    <xf numFmtId="0" fontId="0" fillId="13" borderId="1" xfId="0" applyNumberFormat="1" applyFont="1" applyFill="1" applyBorder="1" applyAlignment="1">
      <alignment horizontal="center" vertical="center"/>
    </xf>
    <xf numFmtId="164" fontId="0" fillId="13" borderId="1" xfId="0" applyNumberFormat="1" applyFont="1" applyFill="1" applyBorder="1" applyAlignment="1">
      <alignment horizontal="center" vertical="center"/>
    </xf>
    <xf numFmtId="164" fontId="1" fillId="0" borderId="1" xfId="1" applyNumberFormat="1" applyFont="1" applyBorder="1"/>
    <xf numFmtId="0" fontId="0" fillId="0" borderId="76" xfId="0" applyFont="1" applyBorder="1"/>
    <xf numFmtId="0" fontId="0" fillId="0" borderId="66" xfId="0" applyNumberFormat="1" applyFont="1" applyBorder="1"/>
    <xf numFmtId="164" fontId="0" fillId="0" borderId="47" xfId="0" applyNumberFormat="1" applyFont="1" applyBorder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8" fillId="3" borderId="76" xfId="0" applyFont="1" applyFill="1" applyBorder="1" applyAlignment="1">
      <alignment horizontal="left"/>
    </xf>
    <xf numFmtId="164" fontId="8" fillId="13" borderId="47" xfId="3" applyNumberFormat="1" applyFont="1" applyFill="1" applyBorder="1"/>
    <xf numFmtId="164" fontId="2" fillId="13" borderId="1" xfId="3" applyNumberFormat="1" applyFont="1" applyFill="1" applyBorder="1"/>
    <xf numFmtId="0" fontId="8" fillId="13" borderId="1" xfId="0" applyFont="1" applyFill="1" applyBorder="1"/>
    <xf numFmtId="0" fontId="2" fillId="13" borderId="1" xfId="3" applyNumberFormat="1" applyFont="1" applyFill="1" applyBorder="1"/>
    <xf numFmtId="0" fontId="17" fillId="11" borderId="1" xfId="0" applyFont="1" applyFill="1" applyBorder="1" applyAlignment="1">
      <alignment horizontal="left"/>
    </xf>
    <xf numFmtId="164" fontId="1" fillId="13" borderId="1" xfId="1" applyNumberFormat="1" applyFont="1" applyFill="1" applyBorder="1" applyAlignment="1">
      <alignment horizontal="right"/>
    </xf>
    <xf numFmtId="0" fontId="2" fillId="13" borderId="1" xfId="0" applyFont="1" applyFill="1" applyBorder="1" applyAlignment="1">
      <alignment horizontal="center"/>
    </xf>
    <xf numFmtId="164" fontId="6" fillId="13" borderId="1" xfId="1" applyNumberFormat="1" applyFont="1" applyFill="1" applyBorder="1"/>
    <xf numFmtId="0" fontId="2" fillId="13" borderId="1" xfId="0" applyFont="1" applyFill="1" applyBorder="1" applyAlignment="1">
      <alignment horizontal="left"/>
    </xf>
    <xf numFmtId="164" fontId="10" fillId="13" borderId="1" xfId="1" applyNumberFormat="1" applyFont="1" applyFill="1" applyBorder="1"/>
    <xf numFmtId="164" fontId="0" fillId="13" borderId="1" xfId="1" applyNumberFormat="1" applyFont="1" applyFill="1" applyBorder="1" applyAlignment="1">
      <alignment horizontal="right" vertical="center"/>
    </xf>
    <xf numFmtId="164" fontId="0" fillId="13" borderId="1" xfId="1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8" fillId="3" borderId="76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left"/>
    </xf>
    <xf numFmtId="164" fontId="2" fillId="13" borderId="1" xfId="1" applyNumberFormat="1" applyFont="1" applyFill="1" applyBorder="1"/>
    <xf numFmtId="0" fontId="2" fillId="1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1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8" fillId="3" borderId="76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40" fillId="11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0" fillId="3" borderId="0" xfId="0" applyFill="1"/>
    <xf numFmtId="0" fontId="17" fillId="3" borderId="1" xfId="0" applyFont="1" applyFill="1" applyBorder="1" applyAlignment="1">
      <alignment horizontal="center"/>
    </xf>
    <xf numFmtId="164" fontId="17" fillId="3" borderId="1" xfId="1" applyNumberFormat="1" applyFont="1" applyFill="1" applyBorder="1"/>
    <xf numFmtId="164" fontId="0" fillId="3" borderId="0" xfId="0" applyNumberFormat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44" fillId="11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43" fontId="0" fillId="3" borderId="0" xfId="1" applyFont="1" applyFill="1" applyBorder="1"/>
    <xf numFmtId="43" fontId="2" fillId="3" borderId="0" xfId="1" applyFont="1" applyFill="1" applyBorder="1"/>
    <xf numFmtId="0" fontId="16" fillId="3" borderId="0" xfId="0" applyFont="1" applyFill="1" applyBorder="1"/>
    <xf numFmtId="0" fontId="5" fillId="3" borderId="1" xfId="0" applyFont="1" applyFill="1" applyBorder="1" applyAlignment="1">
      <alignment horizontal="left"/>
    </xf>
    <xf numFmtId="0" fontId="17" fillId="3" borderId="47" xfId="0" applyFont="1" applyFill="1" applyBorder="1" applyAlignment="1">
      <alignment horizontal="left"/>
    </xf>
    <xf numFmtId="0" fontId="8" fillId="13" borderId="76" xfId="0" applyFont="1" applyFill="1" applyBorder="1" applyAlignment="1">
      <alignment horizontal="left"/>
    </xf>
    <xf numFmtId="0" fontId="8" fillId="13" borderId="66" xfId="0" applyFont="1" applyFill="1" applyBorder="1" applyAlignment="1">
      <alignment horizontal="right"/>
    </xf>
    <xf numFmtId="0" fontId="8" fillId="13" borderId="47" xfId="0" applyFont="1" applyFill="1" applyBorder="1" applyAlignment="1">
      <alignment horizontal="right"/>
    </xf>
    <xf numFmtId="0" fontId="0" fillId="3" borderId="0" xfId="0" applyFill="1" applyBorder="1"/>
    <xf numFmtId="0" fontId="17" fillId="3" borderId="66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/>
    </xf>
    <xf numFmtId="0" fontId="17" fillId="3" borderId="76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NumberFormat="1" applyFont="1" applyFill="1" applyBorder="1"/>
    <xf numFmtId="164" fontId="5" fillId="3" borderId="1" xfId="0" applyNumberFormat="1" applyFont="1" applyFill="1" applyBorder="1"/>
    <xf numFmtId="0" fontId="5" fillId="20" borderId="1" xfId="0" applyFont="1" applyFill="1" applyBorder="1"/>
    <xf numFmtId="0" fontId="5" fillId="20" borderId="1" xfId="0" applyNumberFormat="1" applyFont="1" applyFill="1" applyBorder="1"/>
    <xf numFmtId="164" fontId="5" fillId="20" borderId="1" xfId="0" applyNumberFormat="1" applyFont="1" applyFill="1" applyBorder="1"/>
    <xf numFmtId="0" fontId="17" fillId="13" borderId="66" xfId="0" applyFont="1" applyFill="1" applyBorder="1" applyAlignment="1">
      <alignment horizontal="center"/>
    </xf>
    <xf numFmtId="0" fontId="17" fillId="13" borderId="47" xfId="0" applyFont="1" applyFill="1" applyBorder="1" applyAlignment="1">
      <alignment horizontal="center"/>
    </xf>
    <xf numFmtId="164" fontId="17" fillId="13" borderId="1" xfId="1" applyNumberFormat="1" applyFont="1" applyFill="1" applyBorder="1"/>
    <xf numFmtId="0" fontId="17" fillId="13" borderId="76" xfId="0" applyFont="1" applyFill="1" applyBorder="1" applyAlignment="1">
      <alignment horizontal="left"/>
    </xf>
    <xf numFmtId="0" fontId="0" fillId="0" borderId="76" xfId="0" applyBorder="1"/>
    <xf numFmtId="0" fontId="0" fillId="0" borderId="66" xfId="0" applyNumberFormat="1" applyBorder="1"/>
    <xf numFmtId="0" fontId="17" fillId="1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8" fillId="3" borderId="76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left"/>
    </xf>
    <xf numFmtId="0" fontId="45" fillId="0" borderId="64" xfId="2" applyFont="1" applyFill="1" applyBorder="1" applyAlignment="1">
      <alignment horizontal="center" vertical="center"/>
    </xf>
    <xf numFmtId="0" fontId="46" fillId="0" borderId="1" xfId="0" applyFont="1" applyFill="1" applyBorder="1"/>
    <xf numFmtId="44" fontId="46" fillId="0" borderId="1" xfId="0" applyNumberFormat="1" applyFont="1" applyBorder="1"/>
    <xf numFmtId="0" fontId="47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center"/>
    </xf>
    <xf numFmtId="164" fontId="16" fillId="0" borderId="0" xfId="0" applyNumberFormat="1" applyFont="1" applyFill="1" applyBorder="1"/>
    <xf numFmtId="164" fontId="17" fillId="13" borderId="1" xfId="0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5" fillId="13" borderId="1" xfId="0" applyFont="1" applyFill="1" applyBorder="1" applyAlignment="1">
      <alignment horizontal="left"/>
    </xf>
    <xf numFmtId="43" fontId="0" fillId="13" borderId="0" xfId="1" applyFont="1" applyFill="1" applyBorder="1"/>
    <xf numFmtId="43" fontId="2" fillId="13" borderId="0" xfId="1" applyFont="1" applyFill="1" applyBorder="1"/>
    <xf numFmtId="0" fontId="16" fillId="13" borderId="0" xfId="0" applyFont="1" applyFill="1" applyBorder="1"/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164" fontId="40" fillId="13" borderId="1" xfId="1" applyNumberFormat="1" applyFont="1" applyFill="1" applyBorder="1"/>
    <xf numFmtId="0" fontId="48" fillId="13" borderId="1" xfId="0" applyFont="1" applyFill="1" applyBorder="1" applyAlignment="1">
      <alignment horizontal="left"/>
    </xf>
    <xf numFmtId="164" fontId="49" fillId="1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" fillId="18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164" fontId="8" fillId="13" borderId="1" xfId="3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" fillId="18" borderId="76" xfId="0" applyFont="1" applyFill="1" applyBorder="1" applyAlignment="1">
      <alignment horizontal="left"/>
    </xf>
    <xf numFmtId="17" fontId="50" fillId="0" borderId="0" xfId="0" applyNumberFormat="1" applyFont="1"/>
    <xf numFmtId="0" fontId="2" fillId="1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" fillId="18" borderId="76" xfId="0" applyFont="1" applyFill="1" applyBorder="1" applyAlignment="1">
      <alignment horizontal="left"/>
    </xf>
    <xf numFmtId="44" fontId="35" fillId="0" borderId="0" xfId="0" applyNumberFormat="1" applyFont="1"/>
    <xf numFmtId="0" fontId="35" fillId="0" borderId="0" xfId="0" applyFont="1"/>
    <xf numFmtId="49" fontId="35" fillId="0" borderId="0" xfId="0" applyNumberFormat="1" applyFont="1"/>
    <xf numFmtId="44" fontId="42" fillId="0" borderId="0" xfId="0" applyNumberFormat="1" applyFont="1"/>
    <xf numFmtId="0" fontId="42" fillId="0" borderId="1" xfId="0" applyFont="1" applyBorder="1"/>
    <xf numFmtId="44" fontId="42" fillId="0" borderId="1" xfId="0" applyNumberFormat="1" applyFont="1" applyBorder="1"/>
    <xf numFmtId="0" fontId="42" fillId="0" borderId="0" xfId="0" applyFont="1" applyFill="1" applyBorder="1"/>
    <xf numFmtId="0" fontId="51" fillId="0" borderId="1" xfId="0" applyFont="1" applyFill="1" applyBorder="1"/>
    <xf numFmtId="44" fontId="51" fillId="0" borderId="1" xfId="0" applyNumberFormat="1" applyFont="1" applyBorder="1"/>
    <xf numFmtId="49" fontId="42" fillId="0" borderId="0" xfId="0" applyNumberFormat="1" applyFont="1"/>
    <xf numFmtId="0" fontId="0" fillId="0" borderId="0" xfId="0" applyAlignment="1">
      <alignment horizontal="center"/>
    </xf>
    <xf numFmtId="0" fontId="48" fillId="13" borderId="76" xfId="0" applyFont="1" applyFill="1" applyBorder="1" applyAlignment="1">
      <alignment horizontal="left"/>
    </xf>
    <xf numFmtId="164" fontId="49" fillId="13" borderId="66" xfId="0" applyNumberFormat="1" applyFont="1" applyFill="1" applyBorder="1" applyAlignment="1">
      <alignment horizontal="center"/>
    </xf>
    <xf numFmtId="0" fontId="8" fillId="13" borderId="66" xfId="0" applyFont="1" applyFill="1" applyBorder="1" applyAlignment="1">
      <alignment horizontal="center"/>
    </xf>
    <xf numFmtId="0" fontId="8" fillId="13" borderId="47" xfId="0" applyFont="1" applyFill="1" applyBorder="1" applyAlignment="1">
      <alignment horizontal="center"/>
    </xf>
    <xf numFmtId="0" fontId="5" fillId="0" borderId="60" xfId="0" applyNumberFormat="1" applyFont="1" applyBorder="1"/>
    <xf numFmtId="0" fontId="5" fillId="0" borderId="47" xfId="0" applyNumberFormat="1" applyFont="1" applyBorder="1"/>
    <xf numFmtId="0" fontId="4" fillId="0" borderId="1" xfId="0" applyFont="1" applyBorder="1"/>
    <xf numFmtId="0" fontId="4" fillId="0" borderId="76" xfId="0" applyFont="1" applyBorder="1"/>
    <xf numFmtId="0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" fillId="18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" fillId="18" borderId="76" xfId="0" applyFont="1" applyFill="1" applyBorder="1" applyAlignment="1">
      <alignment horizontal="left"/>
    </xf>
    <xf numFmtId="164" fontId="0" fillId="0" borderId="47" xfId="0" applyNumberFormat="1" applyBorder="1"/>
    <xf numFmtId="0" fontId="0" fillId="0" borderId="0" xfId="0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center"/>
    </xf>
    <xf numFmtId="44" fontId="42" fillId="0" borderId="1" xfId="0" applyNumberFormat="1" applyFont="1" applyBorder="1" applyAlignment="1">
      <alignment horizontal="center"/>
    </xf>
    <xf numFmtId="164" fontId="35" fillId="0" borderId="0" xfId="0" applyNumberFormat="1" applyFont="1"/>
    <xf numFmtId="164" fontId="42" fillId="0" borderId="1" xfId="0" applyNumberFormat="1" applyFont="1" applyBorder="1" applyAlignment="1">
      <alignment horizontal="center"/>
    </xf>
    <xf numFmtId="164" fontId="42" fillId="0" borderId="1" xfId="0" applyNumberFormat="1" applyFont="1" applyBorder="1"/>
    <xf numFmtId="164" fontId="35" fillId="0" borderId="1" xfId="0" applyNumberFormat="1" applyFont="1" applyBorder="1"/>
    <xf numFmtId="164" fontId="33" fillId="0" borderId="1" xfId="0" applyNumberFormat="1" applyFont="1" applyBorder="1" applyAlignment="1">
      <alignment horizontal="center"/>
    </xf>
    <xf numFmtId="164" fontId="7" fillId="0" borderId="1" xfId="0" applyNumberFormat="1" applyFont="1" applyBorder="1"/>
    <xf numFmtId="164" fontId="7" fillId="0" borderId="1" xfId="0" applyNumberFormat="1" applyFont="1" applyFill="1" applyBorder="1"/>
    <xf numFmtId="164" fontId="7" fillId="0" borderId="0" xfId="0" applyNumberFormat="1" applyFont="1" applyFill="1" applyBorder="1"/>
    <xf numFmtId="164" fontId="2" fillId="19" borderId="1" xfId="0" applyNumberFormat="1" applyFont="1" applyFill="1" applyBorder="1" applyAlignment="1">
      <alignment horizontal="right"/>
    </xf>
    <xf numFmtId="0" fontId="6" fillId="11" borderId="1" xfId="0" applyFont="1" applyFill="1" applyBorder="1"/>
    <xf numFmtId="0" fontId="6" fillId="11" borderId="1" xfId="0" applyNumberFormat="1" applyFont="1" applyFill="1" applyBorder="1"/>
    <xf numFmtId="164" fontId="6" fillId="11" borderId="1" xfId="0" applyNumberFormat="1" applyFont="1" applyFill="1" applyBorder="1"/>
    <xf numFmtId="164" fontId="6" fillId="11" borderId="1" xfId="1" applyNumberFormat="1" applyFont="1" applyFill="1" applyBorder="1"/>
    <xf numFmtId="164" fontId="9" fillId="0" borderId="0" xfId="0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2" fillId="18" borderId="76" xfId="0" applyFont="1" applyFill="1" applyBorder="1" applyAlignment="1">
      <alignment horizontal="left"/>
    </xf>
    <xf numFmtId="164" fontId="2" fillId="1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center"/>
    </xf>
    <xf numFmtId="164" fontId="51" fillId="0" borderId="1" xfId="0" applyNumberFormat="1" applyFont="1" applyBorder="1"/>
    <xf numFmtId="164" fontId="7" fillId="0" borderId="0" xfId="0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4" fillId="16" borderId="1" xfId="0" applyNumberFormat="1" applyFont="1" applyFill="1" applyBorder="1" applyAlignment="1">
      <alignment horizontal="center"/>
    </xf>
    <xf numFmtId="0" fontId="12" fillId="0" borderId="0" xfId="2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NumberFormat="1" applyFont="1" applyFill="1" applyBorder="1"/>
    <xf numFmtId="164" fontId="2" fillId="0" borderId="1" xfId="1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6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1" fillId="0" borderId="0" xfId="0" applyFont="1"/>
    <xf numFmtId="0" fontId="0" fillId="11" borderId="1" xfId="0" applyFill="1" applyBorder="1"/>
    <xf numFmtId="164" fontId="0" fillId="11" borderId="1" xfId="0" applyNumberFormat="1" applyFont="1" applyFill="1" applyBorder="1"/>
    <xf numFmtId="164" fontId="0" fillId="11" borderId="1" xfId="1" applyNumberFormat="1" applyFont="1" applyFill="1" applyBorder="1"/>
    <xf numFmtId="164" fontId="34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13" borderId="0" xfId="0" applyNumberFormat="1" applyFont="1" applyFill="1"/>
    <xf numFmtId="0" fontId="16" fillId="0" borderId="0" xfId="0" applyNumberFormat="1" applyFont="1" applyFill="1" applyBorder="1" applyAlignment="1">
      <alignment horizontal="right"/>
    </xf>
    <xf numFmtId="0" fontId="6" fillId="0" borderId="0" xfId="0" applyNumberFormat="1" applyFont="1"/>
    <xf numFmtId="0" fontId="49" fillId="0" borderId="0" xfId="3" applyFont="1" applyFill="1" applyBorder="1" applyAlignment="1">
      <alignment horizontal="center"/>
    </xf>
    <xf numFmtId="17" fontId="21" fillId="0" borderId="0" xfId="0" applyNumberFormat="1" applyFont="1"/>
    <xf numFmtId="164" fontId="5" fillId="13" borderId="1" xfId="0" applyNumberFormat="1" applyFont="1" applyFill="1" applyBorder="1"/>
    <xf numFmtId="164" fontId="0" fillId="13" borderId="1" xfId="1" applyNumberFormat="1" applyFont="1" applyFill="1" applyBorder="1"/>
    <xf numFmtId="164" fontId="2" fillId="0" borderId="0" xfId="1" applyNumberFormat="1" applyFont="1"/>
    <xf numFmtId="164" fontId="2" fillId="0" borderId="1" xfId="0" applyNumberFormat="1" applyFont="1" applyBorder="1" applyAlignment="1">
      <alignment horizontal="center"/>
    </xf>
    <xf numFmtId="0" fontId="16" fillId="13" borderId="0" xfId="0" applyFont="1" applyFill="1" applyBorder="1" applyAlignment="1">
      <alignment horizontal="center"/>
    </xf>
    <xf numFmtId="0" fontId="2" fillId="13" borderId="0" xfId="0" applyFont="1" applyFill="1" applyBorder="1" applyAlignment="1">
      <alignment horizontal="center"/>
    </xf>
    <xf numFmtId="164" fontId="6" fillId="13" borderId="0" xfId="1" applyNumberFormat="1" applyFont="1" applyFill="1" applyBorder="1"/>
    <xf numFmtId="0" fontId="36" fillId="0" borderId="0" xfId="0" applyFont="1"/>
    <xf numFmtId="0" fontId="0" fillId="0" borderId="0" xfId="0" applyAlignment="1">
      <alignment horizontal="center"/>
    </xf>
    <xf numFmtId="164" fontId="5" fillId="20" borderId="1" xfId="1" applyNumberFormat="1" applyFont="1" applyFill="1" applyBorder="1"/>
    <xf numFmtId="0" fontId="2" fillId="20" borderId="1" xfId="0" applyFont="1" applyFill="1" applyBorder="1" applyAlignment="1">
      <alignment horizontal="left"/>
    </xf>
    <xf numFmtId="0" fontId="0" fillId="20" borderId="1" xfId="0" applyNumberFormat="1" applyFill="1" applyBorder="1"/>
    <xf numFmtId="164" fontId="0" fillId="20" borderId="1" xfId="0" applyNumberForma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76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0" fillId="0" borderId="0" xfId="0" applyFont="1"/>
    <xf numFmtId="0" fontId="8" fillId="0" borderId="0" xfId="0" applyFont="1"/>
    <xf numFmtId="0" fontId="2" fillId="20" borderId="1" xfId="0" applyFont="1" applyFill="1" applyBorder="1"/>
    <xf numFmtId="164" fontId="2" fillId="11" borderId="47" xfId="3" applyNumberFormat="1" applyFont="1" applyFill="1" applyBorder="1"/>
    <xf numFmtId="0" fontId="8" fillId="0" borderId="0" xfId="0" applyNumberFormat="1" applyFont="1"/>
    <xf numFmtId="0" fontId="2" fillId="20" borderId="1" xfId="0" applyNumberFormat="1" applyFont="1" applyFill="1" applyBorder="1"/>
    <xf numFmtId="164" fontId="2" fillId="20" borderId="1" xfId="1" applyNumberFormat="1" applyFont="1" applyFill="1" applyBorder="1"/>
    <xf numFmtId="44" fontId="2" fillId="0" borderId="0" xfId="5" applyFont="1"/>
    <xf numFmtId="44" fontId="2" fillId="20" borderId="1" xfId="5" applyFont="1" applyFill="1" applyBorder="1"/>
    <xf numFmtId="164" fontId="2" fillId="0" borderId="0" xfId="5" applyNumberFormat="1" applyFont="1"/>
    <xf numFmtId="0" fontId="2" fillId="13" borderId="76" xfId="0" applyFont="1" applyFill="1" applyBorder="1"/>
    <xf numFmtId="0" fontId="2" fillId="13" borderId="66" xfId="0" applyNumberFormat="1" applyFont="1" applyFill="1" applyBorder="1"/>
    <xf numFmtId="164" fontId="2" fillId="13" borderId="47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2" fillId="13" borderId="0" xfId="0" applyNumberFormat="1" applyFont="1" applyFill="1" applyBorder="1"/>
    <xf numFmtId="164" fontId="2" fillId="13" borderId="0" xfId="1" applyNumberFormat="1" applyFont="1" applyFill="1" applyBorder="1"/>
    <xf numFmtId="44" fontId="2" fillId="0" borderId="0" xfId="0" applyNumberFormat="1" applyFont="1"/>
    <xf numFmtId="164" fontId="24" fillId="19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11" borderId="1" xfId="0" applyNumberFormat="1" applyFont="1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6" fillId="11" borderId="1" xfId="0" applyNumberFormat="1" applyFont="1" applyFill="1" applyBorder="1" applyAlignment="1">
      <alignment horizontal="left"/>
    </xf>
    <xf numFmtId="0" fontId="23" fillId="0" borderId="1" xfId="0" applyFont="1" applyBorder="1"/>
    <xf numFmtId="0" fontId="15" fillId="0" borderId="1" xfId="0" applyFont="1" applyBorder="1"/>
    <xf numFmtId="0" fontId="0" fillId="0" borderId="64" xfId="0" applyNumberFormat="1" applyFill="1" applyBorder="1"/>
    <xf numFmtId="164" fontId="2" fillId="0" borderId="1" xfId="1" applyNumberFormat="1" applyFont="1" applyBorder="1" applyAlignment="1">
      <alignment horizontal="center"/>
    </xf>
    <xf numFmtId="0" fontId="0" fillId="0" borderId="19" xfId="0" applyNumberFormat="1" applyFill="1" applyBorder="1"/>
    <xf numFmtId="0" fontId="0" fillId="0" borderId="43" xfId="0" applyNumberForma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Fill="1" applyBorder="1"/>
    <xf numFmtId="49" fontId="36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16" fillId="0" borderId="1" xfId="0" applyFont="1" applyBorder="1"/>
    <xf numFmtId="164" fontId="17" fillId="0" borderId="1" xfId="1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3" fillId="0" borderId="0" xfId="0" applyFont="1"/>
    <xf numFmtId="0" fontId="17" fillId="0" borderId="1" xfId="3" applyFont="1" applyFill="1" applyBorder="1"/>
    <xf numFmtId="0" fontId="17" fillId="0" borderId="1" xfId="3" applyNumberFormat="1" applyFont="1" applyFill="1" applyBorder="1"/>
    <xf numFmtId="16" fontId="2" fillId="0" borderId="0" xfId="0" applyNumberFormat="1" applyFont="1" applyFill="1" applyBorder="1" applyAlignment="1">
      <alignment horizontal="center"/>
    </xf>
    <xf numFmtId="0" fontId="2" fillId="0" borderId="76" xfId="0" applyFont="1" applyBorder="1"/>
    <xf numFmtId="0" fontId="2" fillId="0" borderId="66" xfId="0" applyNumberFormat="1" applyFont="1" applyBorder="1"/>
    <xf numFmtId="164" fontId="2" fillId="0" borderId="47" xfId="0" applyNumberFormat="1" applyFont="1" applyBorder="1"/>
    <xf numFmtId="0" fontId="0" fillId="0" borderId="64" xfId="0" applyFont="1" applyFill="1" applyBorder="1"/>
    <xf numFmtId="0" fontId="52" fillId="0" borderId="1" xfId="0" applyFont="1" applyBorder="1"/>
    <xf numFmtId="0" fontId="52" fillId="0" borderId="1" xfId="0" applyNumberFormat="1" applyFont="1" applyBorder="1"/>
    <xf numFmtId="164" fontId="52" fillId="0" borderId="1" xfId="0" applyNumberFormat="1" applyFont="1" applyBorder="1"/>
    <xf numFmtId="164" fontId="52" fillId="0" borderId="1" xfId="1" applyNumberFormat="1" applyFont="1" applyBorder="1"/>
    <xf numFmtId="164" fontId="2" fillId="0" borderId="0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2" fillId="13" borderId="0" xfId="0" applyNumberFormat="1" applyFont="1" applyFill="1" applyBorder="1"/>
    <xf numFmtId="0" fontId="52" fillId="13" borderId="0" xfId="0" applyNumberFormat="1" applyFont="1" applyFill="1" applyBorder="1" applyAlignment="1">
      <alignment horizontal="left"/>
    </xf>
    <xf numFmtId="0" fontId="53" fillId="1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6" fillId="20" borderId="1" xfId="1" applyNumberFormat="1" applyFont="1" applyFill="1" applyBorder="1"/>
    <xf numFmtId="0" fontId="2" fillId="21" borderId="1" xfId="0" applyFont="1" applyFill="1" applyBorder="1"/>
    <xf numFmtId="0" fontId="2" fillId="21" borderId="1" xfId="0" applyNumberFormat="1" applyFont="1" applyFill="1" applyBorder="1"/>
    <xf numFmtId="164" fontId="2" fillId="21" borderId="1" xfId="0" applyNumberFormat="1" applyFont="1" applyFill="1" applyBorder="1"/>
    <xf numFmtId="164" fontId="2" fillId="21" borderId="1" xfId="1" applyNumberFormat="1" applyFont="1" applyFill="1" applyBorder="1"/>
    <xf numFmtId="164" fontId="2" fillId="20" borderId="1" xfId="0" applyNumberFormat="1" applyFont="1" applyFill="1" applyBorder="1"/>
    <xf numFmtId="164" fontId="17" fillId="20" borderId="1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6" fillId="11" borderId="1" xfId="0" applyNumberFormat="1" applyFont="1" applyFill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52" fillId="0" borderId="0" xfId="0" applyNumberFormat="1" applyFont="1"/>
    <xf numFmtId="0" fontId="52" fillId="0" borderId="0" xfId="0" applyFont="1" applyFill="1" applyBorder="1"/>
    <xf numFmtId="0" fontId="52" fillId="0" borderId="0" xfId="0" applyFont="1"/>
    <xf numFmtId="0" fontId="52" fillId="0" borderId="0" xfId="0" applyFont="1" applyAlignment="1">
      <alignment horizontal="center"/>
    </xf>
    <xf numFmtId="0" fontId="52" fillId="0" borderId="0" xfId="0" applyNumberFormat="1" applyFont="1" applyAlignment="1">
      <alignment horizontal="center"/>
    </xf>
    <xf numFmtId="43" fontId="52" fillId="0" borderId="0" xfId="1" applyFont="1" applyFill="1" applyBorder="1" applyAlignment="1">
      <alignment horizontal="center"/>
    </xf>
    <xf numFmtId="0" fontId="54" fillId="0" borderId="1" xfId="3" applyNumberFormat="1" applyFont="1" applyFill="1" applyBorder="1"/>
    <xf numFmtId="164" fontId="54" fillId="0" borderId="1" xfId="3" applyNumberFormat="1" applyFont="1" applyFill="1" applyBorder="1"/>
    <xf numFmtId="43" fontId="52" fillId="0" borderId="0" xfId="1" applyFont="1" applyFill="1" applyBorder="1"/>
    <xf numFmtId="164" fontId="52" fillId="0" borderId="0" xfId="0" applyNumberFormat="1" applyFont="1"/>
    <xf numFmtId="0" fontId="52" fillId="0" borderId="76" xfId="0" applyFont="1" applyBorder="1"/>
    <xf numFmtId="0" fontId="52" fillId="0" borderId="66" xfId="0" applyNumberFormat="1" applyFont="1" applyFill="1" applyBorder="1"/>
    <xf numFmtId="164" fontId="52" fillId="0" borderId="47" xfId="0" applyNumberFormat="1" applyFont="1" applyBorder="1"/>
    <xf numFmtId="164" fontId="52" fillId="0" borderId="0" xfId="1" applyNumberFormat="1" applyFont="1" applyFill="1" applyBorder="1"/>
    <xf numFmtId="0" fontId="21" fillId="13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right"/>
    </xf>
    <xf numFmtId="0" fontId="0" fillId="0" borderId="0" xfId="0" applyFont="1" applyFill="1" applyBorder="1"/>
    <xf numFmtId="0" fontId="0" fillId="0" borderId="0" xfId="0" applyFont="1" applyAlignment="1">
      <alignment horizontal="center"/>
    </xf>
    <xf numFmtId="0" fontId="52" fillId="0" borderId="66" xfId="0" applyNumberFormat="1" applyFont="1" applyBorder="1"/>
    <xf numFmtId="0" fontId="2" fillId="11" borderId="66" xfId="0" applyNumberFormat="1" applyFont="1" applyFill="1" applyBorder="1" applyAlignment="1">
      <alignment horizontal="left"/>
    </xf>
    <xf numFmtId="164" fontId="54" fillId="0" borderId="1" xfId="1" applyNumberFormat="1" applyFont="1" applyBorder="1"/>
    <xf numFmtId="0" fontId="5" fillId="0" borderId="1" xfId="0" applyFont="1" applyFill="1" applyBorder="1"/>
    <xf numFmtId="0" fontId="5" fillId="0" borderId="1" xfId="0" applyNumberFormat="1" applyFont="1" applyFill="1" applyBorder="1"/>
    <xf numFmtId="164" fontId="5" fillId="0" borderId="1" xfId="0" applyNumberFormat="1" applyFont="1" applyFill="1" applyBorder="1"/>
    <xf numFmtId="164" fontId="5" fillId="0" borderId="1" xfId="1" applyNumberFormat="1" applyFont="1" applyFill="1" applyBorder="1"/>
    <xf numFmtId="0" fontId="8" fillId="0" borderId="1" xfId="0" applyNumberFormat="1" applyFont="1" applyFill="1" applyBorder="1"/>
    <xf numFmtId="164" fontId="8" fillId="0" borderId="1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0" borderId="66" xfId="3" applyNumberFormat="1" applyFont="1" applyFill="1" applyBorder="1"/>
    <xf numFmtId="164" fontId="54" fillId="0" borderId="47" xfId="3" applyNumberFormat="1" applyFont="1" applyFill="1" applyBorder="1"/>
    <xf numFmtId="0" fontId="0" fillId="0" borderId="0" xfId="0" applyAlignment="1">
      <alignment horizontal="center"/>
    </xf>
    <xf numFmtId="0" fontId="55" fillId="0" borderId="1" xfId="0" applyFont="1" applyBorder="1"/>
    <xf numFmtId="0" fontId="52" fillId="13" borderId="1" xfId="0" applyNumberFormat="1" applyFont="1" applyFill="1" applyBorder="1" applyAlignment="1">
      <alignment horizontal="left"/>
    </xf>
    <xf numFmtId="0" fontId="53" fillId="13" borderId="1" xfId="0" applyFont="1" applyFill="1" applyBorder="1" applyAlignment="1">
      <alignment horizontal="center"/>
    </xf>
    <xf numFmtId="164" fontId="2" fillId="13" borderId="1" xfId="0" applyNumberFormat="1" applyFont="1" applyFill="1" applyBorder="1"/>
    <xf numFmtId="0" fontId="0" fillId="0" borderId="66" xfId="0" applyBorder="1"/>
    <xf numFmtId="0" fontId="0" fillId="0" borderId="47" xfId="0" applyBorder="1"/>
    <xf numFmtId="0" fontId="52" fillId="11" borderId="1" xfId="0" applyFont="1" applyFill="1" applyBorder="1"/>
    <xf numFmtId="164" fontId="52" fillId="11" borderId="1" xfId="0" applyNumberFormat="1" applyFont="1" applyFill="1" applyBorder="1"/>
    <xf numFmtId="164" fontId="2" fillId="11" borderId="1" xfId="0" applyNumberFormat="1" applyFont="1" applyFill="1" applyBorder="1" applyAlignment="1">
      <alignment horizontal="right"/>
    </xf>
    <xf numFmtId="0" fontId="52" fillId="0" borderId="1" xfId="0" applyNumberFormat="1" applyFont="1" applyFill="1" applyBorder="1"/>
    <xf numFmtId="164" fontId="52" fillId="0" borderId="0" xfId="0" applyNumberFormat="1" applyFont="1" applyAlignment="1">
      <alignment horizontal="center"/>
    </xf>
    <xf numFmtId="164" fontId="8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36" fillId="0" borderId="0" xfId="0" applyNumberFormat="1" applyFont="1"/>
    <xf numFmtId="164" fontId="0" fillId="0" borderId="1" xfId="0" applyNumberFormat="1" applyFill="1" applyBorder="1"/>
    <xf numFmtId="164" fontId="2" fillId="0" borderId="1" xfId="0" applyNumberFormat="1" applyFont="1" applyFill="1" applyBorder="1"/>
    <xf numFmtId="164" fontId="0" fillId="0" borderId="0" xfId="0" applyNumberFormat="1" applyFill="1" applyBorder="1"/>
    <xf numFmtId="164" fontId="14" fillId="16" borderId="1" xfId="0" applyNumberFormat="1" applyFont="1" applyFill="1" applyBorder="1" applyAlignment="1">
      <alignment horizontal="center"/>
    </xf>
    <xf numFmtId="164" fontId="12" fillId="0" borderId="1" xfId="2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8" fillId="0" borderId="1" xfId="0" applyFont="1" applyBorder="1"/>
    <xf numFmtId="0" fontId="0" fillId="0" borderId="0" xfId="0" applyAlignment="1">
      <alignment horizontal="center"/>
    </xf>
    <xf numFmtId="0" fontId="2" fillId="0" borderId="53" xfId="0" applyFont="1" applyBorder="1"/>
    <xf numFmtId="0" fontId="0" fillId="0" borderId="60" xfId="0" applyBorder="1"/>
    <xf numFmtId="0" fontId="0" fillId="0" borderId="54" xfId="0" applyBorder="1"/>
    <xf numFmtId="164" fontId="2" fillId="0" borderId="0" xfId="0" applyNumberFormat="1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18" borderId="1" xfId="0" applyFont="1" applyFill="1" applyBorder="1" applyAlignment="1">
      <alignment horizontal="left"/>
    </xf>
    <xf numFmtId="164" fontId="26" fillId="0" borderId="0" xfId="0" applyNumberFormat="1" applyFont="1"/>
    <xf numFmtId="0" fontId="0" fillId="0" borderId="0" xfId="0" applyAlignment="1">
      <alignment horizontal="center"/>
    </xf>
    <xf numFmtId="0" fontId="2" fillId="18" borderId="1" xfId="0" applyFont="1" applyFill="1" applyBorder="1" applyAlignment="1">
      <alignment horizontal="left"/>
    </xf>
    <xf numFmtId="164" fontId="52" fillId="0" borderId="1" xfId="0" applyNumberFormat="1" applyFont="1" applyFill="1" applyBorder="1"/>
    <xf numFmtId="0" fontId="0" fillId="0" borderId="0" xfId="0" applyAlignment="1">
      <alignment horizontal="center"/>
    </xf>
    <xf numFmtId="0" fontId="2" fillId="18" borderId="1" xfId="0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18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18" borderId="1" xfId="0" applyFont="1" applyFill="1" applyBorder="1" applyAlignment="1">
      <alignment horizontal="left"/>
    </xf>
    <xf numFmtId="0" fontId="8" fillId="13" borderId="47" xfId="0" applyFont="1" applyFill="1" applyBorder="1" applyAlignment="1">
      <alignment horizontal="left"/>
    </xf>
    <xf numFmtId="43" fontId="4" fillId="0" borderId="0" xfId="1" applyFont="1" applyFill="1" applyBorder="1"/>
    <xf numFmtId="43" fontId="8" fillId="0" borderId="0" xfId="1" applyFont="1" applyFill="1" applyBorder="1"/>
    <xf numFmtId="0" fontId="0" fillId="0" borderId="0" xfId="0" applyAlignment="1">
      <alignment horizontal="center"/>
    </xf>
    <xf numFmtId="0" fontId="2" fillId="18" borderId="1" xfId="0" applyFont="1" applyFill="1" applyBorder="1" applyAlignment="1">
      <alignment horizontal="left"/>
    </xf>
    <xf numFmtId="164" fontId="0" fillId="13" borderId="1" xfId="0" applyNumberFormat="1" applyFill="1" applyBorder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8" fillId="2" borderId="0" xfId="0" applyFont="1" applyFill="1" applyAlignment="1">
      <alignment horizontal="center"/>
    </xf>
    <xf numFmtId="44" fontId="6" fillId="0" borderId="30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44" fontId="6" fillId="0" borderId="30" xfId="0" applyNumberFormat="1" applyFont="1" applyBorder="1" applyAlignment="1">
      <alignment horizontal="center" vertical="center"/>
    </xf>
    <xf numFmtId="44" fontId="6" fillId="0" borderId="31" xfId="0" applyNumberFormat="1" applyFont="1" applyBorder="1" applyAlignment="1">
      <alignment horizontal="center" vertical="center"/>
    </xf>
    <xf numFmtId="44" fontId="6" fillId="0" borderId="32" xfId="0" applyNumberFormat="1" applyFont="1" applyBorder="1" applyAlignment="1">
      <alignment horizontal="center" vertical="center"/>
    </xf>
    <xf numFmtId="0" fontId="2" fillId="0" borderId="50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2" fillId="0" borderId="52" xfId="0" applyFont="1" applyFill="1" applyBorder="1" applyAlignment="1">
      <alignment horizontal="center"/>
    </xf>
    <xf numFmtId="0" fontId="13" fillId="10" borderId="15" xfId="3" applyBorder="1" applyAlignment="1">
      <alignment horizontal="center"/>
    </xf>
    <xf numFmtId="0" fontId="13" fillId="10" borderId="16" xfId="3" applyBorder="1" applyAlignment="1">
      <alignment horizontal="center"/>
    </xf>
    <xf numFmtId="0" fontId="13" fillId="10" borderId="17" xfId="3" applyBorder="1" applyAlignment="1">
      <alignment horizontal="center"/>
    </xf>
    <xf numFmtId="0" fontId="12" fillId="9" borderId="0" xfId="2" applyAlignment="1">
      <alignment horizontal="center" vertic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2" fillId="0" borderId="35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14" fillId="12" borderId="0" xfId="4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5" fillId="4" borderId="30" xfId="2" applyFont="1" applyFill="1" applyBorder="1" applyAlignment="1">
      <alignment horizontal="center" vertical="center"/>
    </xf>
    <xf numFmtId="0" fontId="25" fillId="4" borderId="32" xfId="2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0" fillId="0" borderId="15" xfId="3" applyFont="1" applyFill="1" applyBorder="1" applyAlignment="1">
      <alignment horizontal="center"/>
    </xf>
    <xf numFmtId="0" fontId="20" fillId="0" borderId="16" xfId="3" applyFont="1" applyFill="1" applyBorder="1" applyAlignment="1">
      <alignment horizontal="center"/>
    </xf>
    <xf numFmtId="0" fontId="20" fillId="0" borderId="17" xfId="3" applyFont="1" applyFill="1" applyBorder="1" applyAlignment="1">
      <alignment horizontal="center"/>
    </xf>
    <xf numFmtId="44" fontId="6" fillId="4" borderId="30" xfId="0" applyNumberFormat="1" applyFont="1" applyFill="1" applyBorder="1" applyAlignment="1">
      <alignment horizontal="center" vertical="center"/>
    </xf>
    <xf numFmtId="44" fontId="6" fillId="4" borderId="31" xfId="0" applyNumberFormat="1" applyFont="1" applyFill="1" applyBorder="1" applyAlignment="1">
      <alignment horizontal="center" vertical="center"/>
    </xf>
    <xf numFmtId="44" fontId="6" fillId="4" borderId="3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4" applyFill="1" applyAlignment="1">
      <alignment horizontal="center" vertical="center" wrapText="1"/>
    </xf>
    <xf numFmtId="0" fontId="17" fillId="11" borderId="30" xfId="0" applyFont="1" applyFill="1" applyBorder="1" applyAlignment="1">
      <alignment horizontal="center"/>
    </xf>
    <xf numFmtId="0" fontId="17" fillId="11" borderId="31" xfId="0" applyFont="1" applyFill="1" applyBorder="1" applyAlignment="1">
      <alignment horizontal="center"/>
    </xf>
    <xf numFmtId="0" fontId="0" fillId="0" borderId="34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3" borderId="67" xfId="0" applyFont="1" applyFill="1" applyBorder="1" applyAlignment="1">
      <alignment horizontal="center"/>
    </xf>
    <xf numFmtId="0" fontId="8" fillId="3" borderId="68" xfId="0" applyFont="1" applyFill="1" applyBorder="1" applyAlignment="1">
      <alignment horizontal="center"/>
    </xf>
    <xf numFmtId="0" fontId="8" fillId="3" borderId="69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8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/>
    </xf>
    <xf numFmtId="0" fontId="8" fillId="11" borderId="66" xfId="0" applyFont="1" applyFill="1" applyBorder="1" applyAlignment="1">
      <alignment horizontal="center"/>
    </xf>
    <xf numFmtId="0" fontId="8" fillId="11" borderId="47" xfId="0" applyFont="1" applyFill="1" applyBorder="1" applyAlignment="1">
      <alignment horizontal="center"/>
    </xf>
    <xf numFmtId="0" fontId="8" fillId="11" borderId="67" xfId="0" applyFont="1" applyFill="1" applyBorder="1" applyAlignment="1">
      <alignment horizontal="center"/>
    </xf>
    <xf numFmtId="0" fontId="8" fillId="11" borderId="68" xfId="0" applyFont="1" applyFill="1" applyBorder="1" applyAlignment="1">
      <alignment horizontal="center"/>
    </xf>
    <xf numFmtId="0" fontId="8" fillId="11" borderId="69" xfId="0" applyFont="1" applyFill="1" applyBorder="1" applyAlignment="1">
      <alignment horizontal="center"/>
    </xf>
    <xf numFmtId="0" fontId="17" fillId="6" borderId="30" xfId="0" applyFont="1" applyFill="1" applyBorder="1" applyAlignment="1">
      <alignment horizontal="center"/>
    </xf>
    <xf numFmtId="0" fontId="17" fillId="6" borderId="3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8" fillId="0" borderId="30" xfId="4" applyFont="1" applyFill="1" applyBorder="1" applyAlignment="1">
      <alignment horizontal="center" vertical="center" wrapText="1"/>
    </xf>
    <xf numFmtId="0" fontId="8" fillId="0" borderId="31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3" borderId="67" xfId="3" applyFont="1" applyFill="1" applyBorder="1" applyAlignment="1">
      <alignment horizontal="center"/>
    </xf>
    <xf numFmtId="0" fontId="8" fillId="3" borderId="68" xfId="3" applyFont="1" applyFill="1" applyBorder="1" applyAlignment="1">
      <alignment horizontal="center"/>
    </xf>
    <xf numFmtId="0" fontId="8" fillId="3" borderId="69" xfId="3" applyFont="1" applyFill="1" applyBorder="1" applyAlignment="1">
      <alignment horizontal="center"/>
    </xf>
    <xf numFmtId="0" fontId="17" fillId="0" borderId="50" xfId="3" applyFont="1" applyFill="1" applyBorder="1" applyAlignment="1">
      <alignment horizontal="center"/>
    </xf>
    <xf numFmtId="0" fontId="17" fillId="0" borderId="51" xfId="3" applyFont="1" applyFill="1" applyBorder="1" applyAlignment="1">
      <alignment horizontal="center"/>
    </xf>
    <xf numFmtId="0" fontId="17" fillId="0" borderId="52" xfId="3" applyFont="1" applyFill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8" fillId="0" borderId="32" xfId="4" applyFont="1" applyFill="1" applyBorder="1" applyAlignment="1">
      <alignment horizontal="center" vertical="center" wrapText="1"/>
    </xf>
    <xf numFmtId="16" fontId="30" fillId="0" borderId="23" xfId="0" applyNumberFormat="1" applyFont="1" applyBorder="1" applyAlignment="1">
      <alignment horizontal="center" vertical="center"/>
    </xf>
    <xf numFmtId="16" fontId="30" fillId="0" borderId="40" xfId="0" applyNumberFormat="1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/>
    </xf>
    <xf numFmtId="0" fontId="17" fillId="3" borderId="70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left"/>
    </xf>
    <xf numFmtId="0" fontId="8" fillId="11" borderId="66" xfId="0" applyFont="1" applyFill="1" applyBorder="1" applyAlignment="1">
      <alignment horizontal="left"/>
    </xf>
    <xf numFmtId="0" fontId="8" fillId="11" borderId="47" xfId="0" applyFont="1" applyFill="1" applyBorder="1" applyAlignment="1">
      <alignment horizontal="left"/>
    </xf>
    <xf numFmtId="0" fontId="8" fillId="11" borderId="6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/>
    </xf>
    <xf numFmtId="0" fontId="8" fillId="11" borderId="67" xfId="0" applyFont="1" applyFill="1" applyBorder="1" applyAlignment="1">
      <alignment horizontal="left"/>
    </xf>
    <xf numFmtId="0" fontId="8" fillId="11" borderId="68" xfId="0" applyFont="1" applyFill="1" applyBorder="1" applyAlignment="1">
      <alignment horizontal="left"/>
    </xf>
    <xf numFmtId="0" fontId="8" fillId="11" borderId="69" xfId="0" applyFont="1" applyFill="1" applyBorder="1" applyAlignment="1">
      <alignment horizontal="left"/>
    </xf>
    <xf numFmtId="0" fontId="8" fillId="11" borderId="6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/>
    </xf>
    <xf numFmtId="0" fontId="17" fillId="11" borderId="16" xfId="0" applyFont="1" applyFill="1" applyBorder="1" applyAlignment="1">
      <alignment horizontal="center"/>
    </xf>
    <xf numFmtId="0" fontId="8" fillId="3" borderId="23" xfId="3" applyFont="1" applyFill="1" applyBorder="1" applyAlignment="1">
      <alignment horizontal="center"/>
    </xf>
    <xf numFmtId="0" fontId="8" fillId="3" borderId="66" xfId="3" applyFont="1" applyFill="1" applyBorder="1" applyAlignment="1">
      <alignment horizontal="center"/>
    </xf>
    <xf numFmtId="0" fontId="17" fillId="3" borderId="15" xfId="0" applyFont="1" applyFill="1" applyBorder="1" applyAlignment="1">
      <alignment horizontal="left"/>
    </xf>
    <xf numFmtId="0" fontId="17" fillId="3" borderId="16" xfId="0" applyFont="1" applyFill="1" applyBorder="1" applyAlignment="1">
      <alignment horizontal="left"/>
    </xf>
    <xf numFmtId="0" fontId="17" fillId="3" borderId="71" xfId="0" applyFont="1" applyFill="1" applyBorder="1" applyAlignment="1">
      <alignment horizontal="left"/>
    </xf>
    <xf numFmtId="0" fontId="8" fillId="3" borderId="45" xfId="0" applyFont="1" applyFill="1" applyBorder="1" applyAlignment="1">
      <alignment horizontal="left"/>
    </xf>
    <xf numFmtId="0" fontId="8" fillId="3" borderId="61" xfId="0" applyFont="1" applyFill="1" applyBorder="1" applyAlignment="1">
      <alignment horizontal="left"/>
    </xf>
    <xf numFmtId="0" fontId="8" fillId="3" borderId="4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32" fillId="0" borderId="30" xfId="0" applyFont="1" applyBorder="1" applyAlignment="1">
      <alignment horizontal="center"/>
    </xf>
    <xf numFmtId="0" fontId="32" fillId="0" borderId="31" xfId="0" applyFont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8" fillId="3" borderId="23" xfId="0" applyFont="1" applyFill="1" applyBorder="1" applyAlignment="1">
      <alignment horizontal="left"/>
    </xf>
    <xf numFmtId="0" fontId="8" fillId="3" borderId="66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2" fillId="0" borderId="35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8" fillId="3" borderId="67" xfId="3" applyFont="1" applyFill="1" applyBorder="1" applyAlignment="1">
      <alignment horizontal="left"/>
    </xf>
    <xf numFmtId="0" fontId="8" fillId="3" borderId="68" xfId="3" applyFont="1" applyFill="1" applyBorder="1" applyAlignment="1">
      <alignment horizontal="left"/>
    </xf>
    <xf numFmtId="0" fontId="8" fillId="3" borderId="69" xfId="3" applyFont="1" applyFill="1" applyBorder="1" applyAlignment="1">
      <alignment horizontal="left"/>
    </xf>
    <xf numFmtId="0" fontId="8" fillId="3" borderId="23" xfId="3" applyFont="1" applyFill="1" applyBorder="1" applyAlignment="1">
      <alignment horizontal="left"/>
    </xf>
    <xf numFmtId="0" fontId="8" fillId="3" borderId="66" xfId="3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71" xfId="0" applyFont="1" applyFill="1" applyBorder="1" applyAlignment="1">
      <alignment horizontal="left"/>
    </xf>
    <xf numFmtId="0" fontId="8" fillId="3" borderId="50" xfId="0" applyFont="1" applyFill="1" applyBorder="1" applyAlignment="1">
      <alignment horizontal="left"/>
    </xf>
    <xf numFmtId="0" fontId="8" fillId="3" borderId="51" xfId="0" applyFont="1" applyFill="1" applyBorder="1" applyAlignment="1">
      <alignment horizontal="left"/>
    </xf>
    <xf numFmtId="0" fontId="8" fillId="3" borderId="48" xfId="0" applyFont="1" applyFill="1" applyBorder="1" applyAlignment="1">
      <alignment horizontal="left"/>
    </xf>
    <xf numFmtId="0" fontId="2" fillId="0" borderId="74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67" xfId="0" applyFont="1" applyFill="1" applyBorder="1" applyAlignment="1">
      <alignment horizontal="left"/>
    </xf>
    <xf numFmtId="0" fontId="8" fillId="3" borderId="68" xfId="0" applyFont="1" applyFill="1" applyBorder="1" applyAlignment="1">
      <alignment horizontal="left"/>
    </xf>
    <xf numFmtId="0" fontId="8" fillId="3" borderId="69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20" fillId="0" borderId="30" xfId="3" applyFont="1" applyFill="1" applyBorder="1" applyAlignment="1">
      <alignment horizontal="center"/>
    </xf>
    <xf numFmtId="0" fontId="20" fillId="0" borderId="31" xfId="3" applyFont="1" applyFill="1" applyBorder="1" applyAlignment="1">
      <alignment horizontal="center"/>
    </xf>
    <xf numFmtId="0" fontId="20" fillId="0" borderId="32" xfId="3" applyFont="1" applyFill="1" applyBorder="1" applyAlignment="1">
      <alignment horizontal="center"/>
    </xf>
    <xf numFmtId="0" fontId="17" fillId="11" borderId="67" xfId="0" applyFont="1" applyFill="1" applyBorder="1" applyAlignment="1">
      <alignment horizontal="center"/>
    </xf>
    <xf numFmtId="0" fontId="17" fillId="11" borderId="68" xfId="0" applyFont="1" applyFill="1" applyBorder="1" applyAlignment="1">
      <alignment horizontal="center"/>
    </xf>
    <xf numFmtId="0" fontId="17" fillId="11" borderId="69" xfId="0" applyFont="1" applyFill="1" applyBorder="1" applyAlignment="1">
      <alignment horizontal="center"/>
    </xf>
    <xf numFmtId="0" fontId="8" fillId="3" borderId="76" xfId="3" applyFont="1" applyFill="1" applyBorder="1" applyAlignment="1">
      <alignment horizontal="left"/>
    </xf>
    <xf numFmtId="0" fontId="8" fillId="3" borderId="47" xfId="3" applyFont="1" applyFill="1" applyBorder="1" applyAlignment="1">
      <alignment horizontal="left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7" fillId="11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0" fillId="0" borderId="1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left"/>
    </xf>
    <xf numFmtId="0" fontId="17" fillId="18" borderId="1" xfId="3" applyFont="1" applyFill="1" applyBorder="1" applyAlignment="1">
      <alignment horizontal="center"/>
    </xf>
    <xf numFmtId="0" fontId="17" fillId="11" borderId="76" xfId="0" applyFont="1" applyFill="1" applyBorder="1" applyAlignment="1">
      <alignment horizontal="center"/>
    </xf>
    <xf numFmtId="0" fontId="17" fillId="11" borderId="66" xfId="0" applyFont="1" applyFill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3" fillId="0" borderId="76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8" fillId="3" borderId="76" xfId="0" applyFont="1" applyFill="1" applyBorder="1" applyAlignment="1">
      <alignment horizontal="left"/>
    </xf>
    <xf numFmtId="0" fontId="2" fillId="18" borderId="76" xfId="0" applyFont="1" applyFill="1" applyBorder="1" applyAlignment="1">
      <alignment horizontal="center"/>
    </xf>
    <xf numFmtId="0" fontId="2" fillId="18" borderId="66" xfId="0" applyFont="1" applyFill="1" applyBorder="1" applyAlignment="1">
      <alignment horizontal="center"/>
    </xf>
    <xf numFmtId="0" fontId="2" fillId="18" borderId="47" xfId="0" applyFont="1" applyFill="1" applyBorder="1" applyAlignment="1">
      <alignment horizontal="center"/>
    </xf>
    <xf numFmtId="0" fontId="17" fillId="0" borderId="61" xfId="0" applyFont="1" applyFill="1" applyBorder="1" applyAlignment="1">
      <alignment horizontal="center"/>
    </xf>
    <xf numFmtId="0" fontId="20" fillId="0" borderId="76" xfId="3" applyFont="1" applyFill="1" applyBorder="1" applyAlignment="1">
      <alignment horizontal="center"/>
    </xf>
    <xf numFmtId="0" fontId="20" fillId="0" borderId="66" xfId="3" applyFont="1" applyFill="1" applyBorder="1" applyAlignment="1">
      <alignment horizontal="center"/>
    </xf>
    <xf numFmtId="0" fontId="20" fillId="0" borderId="47" xfId="3" applyFont="1" applyFill="1" applyBorder="1" applyAlignment="1">
      <alignment horizontal="center"/>
    </xf>
    <xf numFmtId="0" fontId="17" fillId="18" borderId="76" xfId="3" applyFont="1" applyFill="1" applyBorder="1" applyAlignment="1">
      <alignment horizontal="center"/>
    </xf>
    <xf numFmtId="0" fontId="17" fillId="18" borderId="66" xfId="3" applyFont="1" applyFill="1" applyBorder="1" applyAlignment="1">
      <alignment horizontal="center"/>
    </xf>
    <xf numFmtId="0" fontId="17" fillId="18" borderId="47" xfId="3" applyFont="1" applyFill="1" applyBorder="1" applyAlignment="1">
      <alignment horizontal="center"/>
    </xf>
    <xf numFmtId="0" fontId="17" fillId="11" borderId="60" xfId="0" applyFont="1" applyFill="1" applyBorder="1" applyAlignment="1">
      <alignment horizontal="center"/>
    </xf>
    <xf numFmtId="0" fontId="17" fillId="11" borderId="53" xfId="0" applyFont="1" applyFill="1" applyBorder="1" applyAlignment="1">
      <alignment horizontal="center"/>
    </xf>
    <xf numFmtId="0" fontId="17" fillId="11" borderId="54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2" fillId="18" borderId="76" xfId="0" applyFont="1" applyFill="1" applyBorder="1" applyAlignment="1">
      <alignment horizontal="left"/>
    </xf>
    <xf numFmtId="0" fontId="2" fillId="18" borderId="66" xfId="0" applyFont="1" applyFill="1" applyBorder="1" applyAlignment="1">
      <alignment horizontal="left"/>
    </xf>
    <xf numFmtId="0" fontId="2" fillId="18" borderId="47" xfId="0" applyFont="1" applyFill="1" applyBorder="1" applyAlignment="1">
      <alignment horizontal="left"/>
    </xf>
    <xf numFmtId="0" fontId="17" fillId="11" borderId="76" xfId="0" applyFont="1" applyFill="1" applyBorder="1" applyAlignment="1">
      <alignment horizontal="left"/>
    </xf>
    <xf numFmtId="0" fontId="17" fillId="11" borderId="66" xfId="0" applyFont="1" applyFill="1" applyBorder="1" applyAlignment="1">
      <alignment horizontal="left"/>
    </xf>
    <xf numFmtId="0" fontId="17" fillId="11" borderId="47" xfId="0" applyFont="1" applyFill="1" applyBorder="1" applyAlignment="1">
      <alignment horizontal="left"/>
    </xf>
    <xf numFmtId="0" fontId="36" fillId="0" borderId="1" xfId="0" applyFont="1" applyBorder="1" applyAlignment="1">
      <alignment horizontal="center" vertical="center"/>
    </xf>
    <xf numFmtId="0" fontId="36" fillId="0" borderId="76" xfId="0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17" fillId="11" borderId="1" xfId="0" applyFont="1" applyFill="1" applyBorder="1" applyAlignment="1"/>
    <xf numFmtId="0" fontId="2" fillId="18" borderId="1" xfId="0" applyFont="1" applyFill="1" applyBorder="1" applyAlignment="1">
      <alignment horizontal="left"/>
    </xf>
  </cellXfs>
  <cellStyles count="6">
    <cellStyle name="Bueno" xfId="2" builtinId="26"/>
    <cellStyle name="Énfasis2" xfId="4" builtinId="33"/>
    <cellStyle name="Incorrecto" xfId="3" builtinId="27"/>
    <cellStyle name="Millares" xfId="1" builtinId="3"/>
    <cellStyle name="Moneda" xfId="5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19</xdr:row>
      <xdr:rowOff>104775</xdr:rowOff>
    </xdr:from>
    <xdr:to>
      <xdr:col>6</xdr:col>
      <xdr:colOff>762000</xdr:colOff>
      <xdr:row>19</xdr:row>
      <xdr:rowOff>104775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334250" y="450532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15</xdr:row>
      <xdr:rowOff>114300</xdr:rowOff>
    </xdr:from>
    <xdr:to>
      <xdr:col>7</xdr:col>
      <xdr:colOff>1352550</xdr:colOff>
      <xdr:row>17</xdr:row>
      <xdr:rowOff>38100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467850" y="3600450"/>
          <a:ext cx="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22</xdr:row>
      <xdr:rowOff>104775</xdr:rowOff>
    </xdr:from>
    <xdr:to>
      <xdr:col>6</xdr:col>
      <xdr:colOff>762000</xdr:colOff>
      <xdr:row>22</xdr:row>
      <xdr:rowOff>104775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7334250" y="450532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18</xdr:row>
      <xdr:rowOff>114300</xdr:rowOff>
    </xdr:from>
    <xdr:to>
      <xdr:col>7</xdr:col>
      <xdr:colOff>1352550</xdr:colOff>
      <xdr:row>20</xdr:row>
      <xdr:rowOff>38100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9467850" y="3600450"/>
          <a:ext cx="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22</xdr:row>
      <xdr:rowOff>104775</xdr:rowOff>
    </xdr:from>
    <xdr:to>
      <xdr:col>6</xdr:col>
      <xdr:colOff>762000</xdr:colOff>
      <xdr:row>22</xdr:row>
      <xdr:rowOff>104775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7372350" y="5543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18</xdr:row>
      <xdr:rowOff>114300</xdr:rowOff>
    </xdr:from>
    <xdr:to>
      <xdr:col>7</xdr:col>
      <xdr:colOff>1352550</xdr:colOff>
      <xdr:row>20</xdr:row>
      <xdr:rowOff>38100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9096375" y="4448175"/>
          <a:ext cx="0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22</xdr:row>
      <xdr:rowOff>104775</xdr:rowOff>
    </xdr:from>
    <xdr:to>
      <xdr:col>6</xdr:col>
      <xdr:colOff>762000</xdr:colOff>
      <xdr:row>22</xdr:row>
      <xdr:rowOff>104775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7372350" y="5543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18</xdr:row>
      <xdr:rowOff>114300</xdr:rowOff>
    </xdr:from>
    <xdr:to>
      <xdr:col>7</xdr:col>
      <xdr:colOff>1352550</xdr:colOff>
      <xdr:row>20</xdr:row>
      <xdr:rowOff>38100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9096375" y="4448175"/>
          <a:ext cx="0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24</xdr:row>
      <xdr:rowOff>104775</xdr:rowOff>
    </xdr:from>
    <xdr:to>
      <xdr:col>8</xdr:col>
      <xdr:colOff>762000</xdr:colOff>
      <xdr:row>24</xdr:row>
      <xdr:rowOff>104775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7410450" y="5543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1352550</xdr:colOff>
      <xdr:row>20</xdr:row>
      <xdr:rowOff>114300</xdr:rowOff>
    </xdr:from>
    <xdr:to>
      <xdr:col>9</xdr:col>
      <xdr:colOff>1352550</xdr:colOff>
      <xdr:row>22</xdr:row>
      <xdr:rowOff>38100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9134475" y="4448175"/>
          <a:ext cx="0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24</xdr:row>
      <xdr:rowOff>104775</xdr:rowOff>
    </xdr:from>
    <xdr:to>
      <xdr:col>8</xdr:col>
      <xdr:colOff>762000</xdr:colOff>
      <xdr:row>24</xdr:row>
      <xdr:rowOff>104775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 flipH="1">
          <a:off x="7410450" y="5543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1352550</xdr:colOff>
      <xdr:row>20</xdr:row>
      <xdr:rowOff>114300</xdr:rowOff>
    </xdr:from>
    <xdr:to>
      <xdr:col>9</xdr:col>
      <xdr:colOff>1352550</xdr:colOff>
      <xdr:row>22</xdr:row>
      <xdr:rowOff>38100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 flipV="1">
          <a:off x="9134475" y="4448175"/>
          <a:ext cx="0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24</xdr:row>
      <xdr:rowOff>104775</xdr:rowOff>
    </xdr:from>
    <xdr:to>
      <xdr:col>8</xdr:col>
      <xdr:colOff>762000</xdr:colOff>
      <xdr:row>24</xdr:row>
      <xdr:rowOff>104775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 flipH="1">
          <a:off x="7515225" y="5543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1352550</xdr:colOff>
      <xdr:row>20</xdr:row>
      <xdr:rowOff>114300</xdr:rowOff>
    </xdr:from>
    <xdr:to>
      <xdr:col>9</xdr:col>
      <xdr:colOff>1352550</xdr:colOff>
      <xdr:row>22</xdr:row>
      <xdr:rowOff>38100</xdr:rowOff>
    </xdr:to>
    <xdr:cxnSp macro="">
      <xdr:nvCxnSpPr>
        <xdr:cNvPr id="7" name="6 Conector recto de flecha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V="1">
          <a:off x="9239250" y="4448175"/>
          <a:ext cx="0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24</xdr:row>
      <xdr:rowOff>104775</xdr:rowOff>
    </xdr:from>
    <xdr:to>
      <xdr:col>8</xdr:col>
      <xdr:colOff>762000</xdr:colOff>
      <xdr:row>24</xdr:row>
      <xdr:rowOff>104775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H="1">
          <a:off x="7515225" y="5543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1352550</xdr:colOff>
      <xdr:row>20</xdr:row>
      <xdr:rowOff>114300</xdr:rowOff>
    </xdr:from>
    <xdr:to>
      <xdr:col>9</xdr:col>
      <xdr:colOff>1352550</xdr:colOff>
      <xdr:row>22</xdr:row>
      <xdr:rowOff>38100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V="1">
          <a:off x="9239250" y="4448175"/>
          <a:ext cx="0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21</xdr:row>
      <xdr:rowOff>104775</xdr:rowOff>
    </xdr:from>
    <xdr:to>
      <xdr:col>6</xdr:col>
      <xdr:colOff>762000</xdr:colOff>
      <xdr:row>21</xdr:row>
      <xdr:rowOff>104775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6191250" y="667702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17</xdr:row>
      <xdr:rowOff>114300</xdr:rowOff>
    </xdr:from>
    <xdr:to>
      <xdr:col>7</xdr:col>
      <xdr:colOff>1352550</xdr:colOff>
      <xdr:row>19</xdr:row>
      <xdr:rowOff>38100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7915275" y="5467350"/>
          <a:ext cx="0" cy="5334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21</xdr:row>
      <xdr:rowOff>104775</xdr:rowOff>
    </xdr:from>
    <xdr:to>
      <xdr:col>6</xdr:col>
      <xdr:colOff>762000</xdr:colOff>
      <xdr:row>21</xdr:row>
      <xdr:rowOff>104775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H="1">
          <a:off x="6191250" y="667702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17</xdr:row>
      <xdr:rowOff>114300</xdr:rowOff>
    </xdr:from>
    <xdr:to>
      <xdr:col>7</xdr:col>
      <xdr:colOff>1352550</xdr:colOff>
      <xdr:row>19</xdr:row>
      <xdr:rowOff>38100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V="1">
          <a:off x="7915275" y="5467350"/>
          <a:ext cx="0" cy="5334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21</xdr:row>
      <xdr:rowOff>104775</xdr:rowOff>
    </xdr:from>
    <xdr:to>
      <xdr:col>6</xdr:col>
      <xdr:colOff>762000</xdr:colOff>
      <xdr:row>21</xdr:row>
      <xdr:rowOff>104775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6191250" y="667702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17</xdr:row>
      <xdr:rowOff>114300</xdr:rowOff>
    </xdr:from>
    <xdr:to>
      <xdr:col>7</xdr:col>
      <xdr:colOff>1352550</xdr:colOff>
      <xdr:row>19</xdr:row>
      <xdr:rowOff>38100</xdr:rowOff>
    </xdr:to>
    <xdr:cxnSp macro="">
      <xdr:nvCxnSpPr>
        <xdr:cNvPr id="7" name="6 Conector recto de flecha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V="1">
          <a:off x="7915275" y="5467350"/>
          <a:ext cx="0" cy="5334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21</xdr:row>
      <xdr:rowOff>104775</xdr:rowOff>
    </xdr:from>
    <xdr:to>
      <xdr:col>6</xdr:col>
      <xdr:colOff>762000</xdr:colOff>
      <xdr:row>21</xdr:row>
      <xdr:rowOff>104775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 flipH="1">
          <a:off x="6191250" y="667702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17</xdr:row>
      <xdr:rowOff>114300</xdr:rowOff>
    </xdr:from>
    <xdr:to>
      <xdr:col>7</xdr:col>
      <xdr:colOff>1352550</xdr:colOff>
      <xdr:row>19</xdr:row>
      <xdr:rowOff>38100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V="1">
          <a:off x="7915275" y="5467350"/>
          <a:ext cx="0" cy="5334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7581900" y="57054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 flipV="1">
          <a:off x="9305925" y="46482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>
          <a:off x="7581900" y="57054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9305925" y="46482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7581900" y="57054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7" name="6 Conector recto de flecha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9305925" y="46482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 flipH="1">
          <a:off x="7581900" y="57054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 flipV="1">
          <a:off x="9305925" y="46482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7581900" y="62388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 flipV="1">
          <a:off x="9305925" y="51816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H="1">
          <a:off x="7581900" y="62388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 flipV="1">
          <a:off x="9305925" y="51816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H="1">
          <a:off x="7581900" y="62388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7" name="6 Conector recto de flecha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9305925" y="51816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23</xdr:row>
      <xdr:rowOff>104775</xdr:rowOff>
    </xdr:from>
    <xdr:to>
      <xdr:col>6</xdr:col>
      <xdr:colOff>762000</xdr:colOff>
      <xdr:row>23</xdr:row>
      <xdr:rowOff>104775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 flipH="1">
          <a:off x="7581900" y="6238875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19</xdr:row>
      <xdr:rowOff>114300</xdr:rowOff>
    </xdr:from>
    <xdr:to>
      <xdr:col>7</xdr:col>
      <xdr:colOff>1352550</xdr:colOff>
      <xdr:row>21</xdr:row>
      <xdr:rowOff>38100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9305925" y="5181600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23</xdr:row>
      <xdr:rowOff>104775</xdr:rowOff>
    </xdr:from>
    <xdr:to>
      <xdr:col>7</xdr:col>
      <xdr:colOff>762000</xdr:colOff>
      <xdr:row>23</xdr:row>
      <xdr:rowOff>104775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7581900" y="6305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1352550</xdr:colOff>
      <xdr:row>19</xdr:row>
      <xdr:rowOff>114300</xdr:rowOff>
    </xdr:from>
    <xdr:to>
      <xdr:col>8</xdr:col>
      <xdr:colOff>1352550</xdr:colOff>
      <xdr:row>21</xdr:row>
      <xdr:rowOff>38100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9305925" y="5248275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23</xdr:row>
      <xdr:rowOff>104775</xdr:rowOff>
    </xdr:from>
    <xdr:to>
      <xdr:col>7</xdr:col>
      <xdr:colOff>762000</xdr:colOff>
      <xdr:row>23</xdr:row>
      <xdr:rowOff>104775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 flipH="1">
          <a:off x="7581900" y="6305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1352550</xdr:colOff>
      <xdr:row>19</xdr:row>
      <xdr:rowOff>114300</xdr:rowOff>
    </xdr:from>
    <xdr:to>
      <xdr:col>8</xdr:col>
      <xdr:colOff>1352550</xdr:colOff>
      <xdr:row>21</xdr:row>
      <xdr:rowOff>38100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 flipV="1">
          <a:off x="9305925" y="5248275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23</xdr:row>
      <xdr:rowOff>104775</xdr:rowOff>
    </xdr:from>
    <xdr:to>
      <xdr:col>7</xdr:col>
      <xdr:colOff>762000</xdr:colOff>
      <xdr:row>23</xdr:row>
      <xdr:rowOff>104775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 flipH="1">
          <a:off x="7581900" y="6305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1352550</xdr:colOff>
      <xdr:row>19</xdr:row>
      <xdr:rowOff>114300</xdr:rowOff>
    </xdr:from>
    <xdr:to>
      <xdr:col>8</xdr:col>
      <xdr:colOff>1352550</xdr:colOff>
      <xdr:row>21</xdr:row>
      <xdr:rowOff>38100</xdr:rowOff>
    </xdr:to>
    <xdr:cxnSp macro="">
      <xdr:nvCxnSpPr>
        <xdr:cNvPr id="7" name="6 Conector recto de flecha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V="1">
          <a:off x="9305925" y="5248275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23</xdr:row>
      <xdr:rowOff>104775</xdr:rowOff>
    </xdr:from>
    <xdr:to>
      <xdr:col>7</xdr:col>
      <xdr:colOff>762000</xdr:colOff>
      <xdr:row>23</xdr:row>
      <xdr:rowOff>104775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 flipH="1">
          <a:off x="7581900" y="6305550"/>
          <a:ext cx="600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1352550</xdr:colOff>
      <xdr:row>19</xdr:row>
      <xdr:rowOff>114300</xdr:rowOff>
    </xdr:from>
    <xdr:to>
      <xdr:col>8</xdr:col>
      <xdr:colOff>1352550</xdr:colOff>
      <xdr:row>21</xdr:row>
      <xdr:rowOff>38100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V="1">
          <a:off x="9305925" y="5248275"/>
          <a:ext cx="0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LALIQUIDACIONSUELDOS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CIEMBRE"/>
      <sheetName val="ENERO"/>
      <sheetName val="FEB"/>
      <sheetName val="MARZO"/>
      <sheetName val="ABRIL"/>
      <sheetName val="MAYO"/>
      <sheetName val="JUNIO"/>
      <sheetName val="JULIO"/>
      <sheetName val="AGOSTO"/>
      <sheetName val="SEPT"/>
      <sheetName val="OCTUBRE"/>
      <sheetName val="NOVIEMBRE"/>
      <sheetName val="DICIEMBRE21"/>
      <sheetName val="ENE22"/>
      <sheetName val="MARZO2022"/>
      <sheetName val="RES422"/>
      <sheetName val="ABRIL2022"/>
      <sheetName val="JUNIO2022"/>
      <sheetName val="JULIO2022"/>
      <sheetName val="RESUMEN0722"/>
      <sheetName val="RESUMEN0822 "/>
      <sheetName val="AGOSTO2022"/>
      <sheetName val="SETIEMBRE2022"/>
      <sheetName val="RESUMENSET2022"/>
      <sheetName val="OCTUBRE2022"/>
      <sheetName val="RES102022"/>
      <sheetName val="NOVIEMBRE2022"/>
      <sheetName val="RES112022"/>
      <sheetName val="DICYSA22022"/>
      <sheetName val="RES122022"/>
      <sheetName val="ENERO2023"/>
      <sheetName val="RESUMEN012023"/>
      <sheetName val="FEBRERO2023"/>
      <sheetName val="RESUMEN022023"/>
      <sheetName val="MARZO2023"/>
      <sheetName val="RESUMEN032023"/>
      <sheetName val="RESUMEN042023"/>
      <sheetName val="ABRIL2023"/>
      <sheetName val="RESUMEN0523"/>
      <sheetName val="MAYO2023"/>
      <sheetName val="Hoja1"/>
      <sheetName val="JUNIOYSAC1"/>
      <sheetName val="RESUMENJULIO2023"/>
      <sheetName val="JULIO2023"/>
      <sheetName val="AGOSTO2023"/>
      <sheetName val="BAJAS AGOSTO2023"/>
      <sheetName val="RESUMEN0823"/>
      <sheetName val="SETIEMBRE2023"/>
      <sheetName val="RESUMEN0923"/>
      <sheetName val="OCTUBRE2023"/>
      <sheetName val="RESUMEN1023"/>
      <sheetName val="NOVIEMBRE2023"/>
      <sheetName val="RESUMEN122023"/>
      <sheetName val="DICIEMBRE2023"/>
      <sheetName val="SACCTA22023"/>
      <sheetName val="ENERO2024"/>
      <sheetName val="RESUMEN012024"/>
      <sheetName val="FEBRERO2024"/>
      <sheetName val="RESUMEN022024"/>
      <sheetName val="MARZO2024"/>
      <sheetName val="RESUMEN032024"/>
      <sheetName val="ABRIL2024"/>
      <sheetName val="RESUMEN042024"/>
      <sheetName val="MAYO2024"/>
      <sheetName val="RESUMEN052024"/>
      <sheetName val="JUNIO2024+SAC"/>
      <sheetName val="JULIO2024"/>
      <sheetName val="AGO24"/>
      <sheetName val="SET24"/>
      <sheetName val="OCT24"/>
      <sheetName val="RESUMENOCT2024 "/>
      <sheetName val="NOV24"/>
      <sheetName val="RESUMEN112024"/>
      <sheetName val="RESUMEN122024"/>
      <sheetName val="DICYvac2024"/>
      <sheetName val="ENE2025"/>
      <sheetName val="RESUMEN 012025"/>
      <sheetName val="FEBRERO2025"/>
      <sheetName val="RESUMEN 022025"/>
      <sheetName val="MARZO2025"/>
      <sheetName val="RESUMEN032025"/>
      <sheetName val="ABRIL2025"/>
      <sheetName val="RESUMEN 042025"/>
      <sheetName val="MAYO2025"/>
      <sheetName val="JUNIO2025"/>
      <sheetName val="RESUMEN 052025"/>
      <sheetName val="RESUMEN062025+SAC"/>
      <sheetName val="JULIO2025"/>
      <sheetName val="RESUMEN072025"/>
      <sheetName val="AGOSTO2025"/>
      <sheetName val="RESUMEN082025"/>
      <sheetName val="SETIEMBRE2025"/>
      <sheetName val="RESUMEN0825"/>
      <sheetName val="OCTUBRE2025"/>
      <sheetName val="RESUMEN102025"/>
      <sheetName val="NOV2025"/>
      <sheetName val="RESUMEN11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4">
          <cell r="D14">
            <v>1244752.25</v>
          </cell>
        </row>
      </sheetData>
      <sheetData sheetId="9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1:P86"/>
  <sheetViews>
    <sheetView topLeftCell="A16" workbookViewId="0">
      <selection activeCell="A6" sqref="A6"/>
    </sheetView>
  </sheetViews>
  <sheetFormatPr baseColWidth="10" defaultRowHeight="18" customHeight="1" x14ac:dyDescent="0.35"/>
  <cols>
    <col min="2" max="2" width="21.54296875" customWidth="1"/>
    <col min="3" max="3" width="24.08984375" customWidth="1"/>
    <col min="4" max="4" width="16.90625" customWidth="1"/>
    <col min="5" max="5" width="22.08984375" style="5" customWidth="1"/>
    <col min="7" max="7" width="14.08984375" bestFit="1" customWidth="1"/>
    <col min="8" max="8" width="25.453125" bestFit="1" customWidth="1"/>
    <col min="9" max="9" width="18.6328125" bestFit="1" customWidth="1"/>
    <col min="10" max="10" width="24.6328125" bestFit="1" customWidth="1"/>
    <col min="11" max="11" width="15.453125" bestFit="1" customWidth="1"/>
    <col min="12" max="12" width="16.08984375" bestFit="1" customWidth="1"/>
    <col min="13" max="13" width="13.90625" bestFit="1" customWidth="1"/>
    <col min="14" max="14" width="12.6328125" bestFit="1" customWidth="1"/>
    <col min="15" max="15" width="13" bestFit="1" customWidth="1"/>
    <col min="16" max="16" width="18" bestFit="1" customWidth="1"/>
  </cols>
  <sheetData>
    <row r="1" spans="2:16" ht="20.25" customHeight="1" thickBot="1" x14ac:dyDescent="0.5">
      <c r="B1" s="1273" t="s">
        <v>10</v>
      </c>
      <c r="C1" s="1274"/>
      <c r="D1" s="1274"/>
      <c r="E1" s="1275"/>
      <c r="G1" s="29" t="s">
        <v>20</v>
      </c>
      <c r="H1" s="31" t="s">
        <v>21</v>
      </c>
      <c r="I1" s="31" t="s">
        <v>22</v>
      </c>
      <c r="J1" s="31" t="s">
        <v>6</v>
      </c>
      <c r="K1" s="31" t="s">
        <v>1</v>
      </c>
      <c r="L1" s="31" t="s">
        <v>2</v>
      </c>
      <c r="M1" s="31" t="s">
        <v>19</v>
      </c>
      <c r="N1" s="31" t="s">
        <v>18</v>
      </c>
      <c r="O1" s="31" t="s">
        <v>23</v>
      </c>
      <c r="P1" s="31" t="s">
        <v>24</v>
      </c>
    </row>
    <row r="2" spans="2:16" s="1" customFormat="1" ht="18" customHeight="1" x14ac:dyDescent="0.35">
      <c r="B2" s="16" t="s">
        <v>7</v>
      </c>
      <c r="C2" s="17" t="s">
        <v>8</v>
      </c>
      <c r="D2" s="17" t="s">
        <v>4</v>
      </c>
      <c r="E2" s="18" t="s">
        <v>9</v>
      </c>
      <c r="G2" s="30" t="s">
        <v>10</v>
      </c>
      <c r="H2" s="32">
        <f>+E3</f>
        <v>28059</v>
      </c>
      <c r="I2" s="32">
        <f>+E4</f>
        <v>0</v>
      </c>
      <c r="J2" s="32">
        <f>+E7</f>
        <v>8000</v>
      </c>
      <c r="K2" s="32">
        <f>+E5</f>
        <v>14029.5</v>
      </c>
      <c r="L2" s="32">
        <f>+E6</f>
        <v>15792</v>
      </c>
      <c r="M2" s="33">
        <f>+E8</f>
        <v>20000</v>
      </c>
      <c r="N2" s="33">
        <f>+E9</f>
        <v>38888.07</v>
      </c>
      <c r="O2" s="37">
        <f>+H2+I2+J2+K2+L2-M2-N2</f>
        <v>6992.43</v>
      </c>
      <c r="P2" s="32">
        <f t="shared" ref="P2:P8" si="0">+O2+N2+M2</f>
        <v>65880.5</v>
      </c>
    </row>
    <row r="3" spans="2:16" ht="18" customHeight="1" x14ac:dyDescent="0.35">
      <c r="B3" s="10" t="s">
        <v>3</v>
      </c>
      <c r="C3" s="3">
        <v>199</v>
      </c>
      <c r="D3" s="3">
        <v>141</v>
      </c>
      <c r="E3" s="11">
        <f>C3*D3</f>
        <v>28059</v>
      </c>
      <c r="G3" s="30" t="s">
        <v>13</v>
      </c>
      <c r="H3" s="34">
        <f>+E14</f>
        <v>28059</v>
      </c>
      <c r="I3" s="34">
        <f>+E15</f>
        <v>1269</v>
      </c>
      <c r="J3" s="34">
        <f>+E18</f>
        <v>8000</v>
      </c>
      <c r="K3" s="34">
        <f>+E16</f>
        <v>14029.5</v>
      </c>
      <c r="L3" s="34">
        <f>+E17</f>
        <v>15792</v>
      </c>
      <c r="M3" s="35">
        <f>+E19</f>
        <v>20000</v>
      </c>
      <c r="N3" s="35">
        <f>+E20</f>
        <v>33799.31</v>
      </c>
      <c r="O3" s="37">
        <f t="shared" ref="O3:O8" si="1">+H3+I3+J3+K3+L3-M3-N3</f>
        <v>13350.190000000002</v>
      </c>
      <c r="P3" s="32">
        <f t="shared" si="0"/>
        <v>67149.5</v>
      </c>
    </row>
    <row r="4" spans="2:16" ht="18" customHeight="1" x14ac:dyDescent="0.35">
      <c r="B4" s="10" t="s">
        <v>5</v>
      </c>
      <c r="C4" s="3">
        <v>0</v>
      </c>
      <c r="D4" s="3">
        <f>+D3*1.5</f>
        <v>211.5</v>
      </c>
      <c r="E4" s="11">
        <f>C4*D4</f>
        <v>0</v>
      </c>
      <c r="G4" s="30" t="s">
        <v>15</v>
      </c>
      <c r="H4" s="34">
        <f>+E25</f>
        <v>32238</v>
      </c>
      <c r="I4" s="34">
        <f>+E26</f>
        <v>4860</v>
      </c>
      <c r="J4" s="34">
        <f>+E29</f>
        <v>8000</v>
      </c>
      <c r="K4" s="34">
        <f>+E27</f>
        <v>16119</v>
      </c>
      <c r="L4" s="34">
        <f>+E28</f>
        <v>0</v>
      </c>
      <c r="M4" s="35">
        <f>+E30</f>
        <v>20000</v>
      </c>
      <c r="N4" s="36">
        <v>0</v>
      </c>
      <c r="O4" s="37">
        <f t="shared" si="1"/>
        <v>41217</v>
      </c>
      <c r="P4" s="32">
        <f t="shared" si="0"/>
        <v>61217</v>
      </c>
    </row>
    <row r="5" spans="2:16" ht="18" customHeight="1" x14ac:dyDescent="0.35">
      <c r="B5" s="10" t="s">
        <v>1</v>
      </c>
      <c r="C5" s="3">
        <f>+E3/2</f>
        <v>14029.5</v>
      </c>
      <c r="D5" s="3"/>
      <c r="E5" s="11">
        <f>+C5</f>
        <v>14029.5</v>
      </c>
      <c r="G5" s="30" t="s">
        <v>16</v>
      </c>
      <c r="H5" s="34">
        <f>+E35</f>
        <v>25870</v>
      </c>
      <c r="I5" s="34">
        <f>+E36</f>
        <v>975</v>
      </c>
      <c r="J5" s="34">
        <f>+E39</f>
        <v>8000</v>
      </c>
      <c r="K5" s="34">
        <f>+E37</f>
        <v>12935</v>
      </c>
      <c r="L5" s="34">
        <f>+E38</f>
        <v>0</v>
      </c>
      <c r="M5" s="35">
        <f>+E40</f>
        <v>20000</v>
      </c>
      <c r="N5" s="36">
        <v>0</v>
      </c>
      <c r="O5" s="37">
        <f t="shared" si="1"/>
        <v>27780</v>
      </c>
      <c r="P5" s="32">
        <f t="shared" si="0"/>
        <v>47780</v>
      </c>
    </row>
    <row r="6" spans="2:16" ht="18" customHeight="1" x14ac:dyDescent="0.35">
      <c r="B6" s="10" t="s">
        <v>2</v>
      </c>
      <c r="C6" s="3">
        <f>+D3*8*14</f>
        <v>15792</v>
      </c>
      <c r="D6" s="3"/>
      <c r="E6" s="11">
        <f>+C6</f>
        <v>15792</v>
      </c>
      <c r="G6" s="30" t="s">
        <v>0</v>
      </c>
      <c r="H6" s="34">
        <f>+E45</f>
        <v>32238</v>
      </c>
      <c r="I6" s="34">
        <f>+E46</f>
        <v>3280.5</v>
      </c>
      <c r="J6" s="34">
        <f>+E49</f>
        <v>8500</v>
      </c>
      <c r="K6" s="34">
        <f>+E47</f>
        <v>16120</v>
      </c>
      <c r="L6" s="34">
        <f>+E48</f>
        <v>0</v>
      </c>
      <c r="M6" s="35">
        <f>+E50</f>
        <v>20000</v>
      </c>
      <c r="N6" s="35">
        <f>+E51</f>
        <v>29219.96</v>
      </c>
      <c r="O6" s="37">
        <f t="shared" si="1"/>
        <v>10918.54</v>
      </c>
      <c r="P6" s="32">
        <f t="shared" si="0"/>
        <v>60138.5</v>
      </c>
    </row>
    <row r="7" spans="2:16" ht="18" customHeight="1" x14ac:dyDescent="0.35">
      <c r="B7" s="10" t="s">
        <v>6</v>
      </c>
      <c r="C7" s="3">
        <v>8000</v>
      </c>
      <c r="D7" s="3"/>
      <c r="E7" s="11">
        <f>+C7</f>
        <v>8000</v>
      </c>
      <c r="G7" s="30" t="s">
        <v>14</v>
      </c>
      <c r="H7" s="34">
        <f>+E56</f>
        <v>29949.5</v>
      </c>
      <c r="I7" s="34">
        <f>+E57</f>
        <v>0</v>
      </c>
      <c r="J7" s="34">
        <f>+E60</f>
        <v>8000</v>
      </c>
      <c r="K7" s="34">
        <f>+E58</f>
        <v>14974</v>
      </c>
      <c r="L7" s="34">
        <f>+E59</f>
        <v>0</v>
      </c>
      <c r="M7" s="35">
        <f>+E61</f>
        <v>20000</v>
      </c>
      <c r="N7" s="36">
        <v>0</v>
      </c>
      <c r="O7" s="37">
        <f t="shared" si="1"/>
        <v>32923.5</v>
      </c>
      <c r="P7" s="32">
        <f t="shared" si="0"/>
        <v>52923.5</v>
      </c>
    </row>
    <row r="8" spans="2:16" ht="18" customHeight="1" thickBot="1" x14ac:dyDescent="0.4">
      <c r="B8" s="19" t="s">
        <v>19</v>
      </c>
      <c r="C8" s="3">
        <v>20000</v>
      </c>
      <c r="D8" s="3"/>
      <c r="E8" s="11">
        <f>+C8</f>
        <v>20000</v>
      </c>
      <c r="G8" s="40" t="s">
        <v>17</v>
      </c>
      <c r="H8" s="41">
        <f>+E66</f>
        <v>21890</v>
      </c>
      <c r="I8" s="41">
        <f>+E67</f>
        <v>990</v>
      </c>
      <c r="J8" s="41">
        <f>+E70</f>
        <v>5000</v>
      </c>
      <c r="K8" s="41">
        <f>+E68</f>
        <v>10945</v>
      </c>
      <c r="L8" s="41">
        <f>+E69</f>
        <v>0</v>
      </c>
      <c r="M8" s="42">
        <f>+E71</f>
        <v>15000</v>
      </c>
      <c r="N8" s="43">
        <v>0</v>
      </c>
      <c r="O8" s="44">
        <f t="shared" si="1"/>
        <v>23825</v>
      </c>
      <c r="P8" s="38">
        <f t="shared" si="0"/>
        <v>38825</v>
      </c>
    </row>
    <row r="9" spans="2:16" ht="18" customHeight="1" thickBot="1" x14ac:dyDescent="0.4">
      <c r="B9" s="20" t="s">
        <v>18</v>
      </c>
      <c r="C9" s="3">
        <v>38888.07</v>
      </c>
      <c r="D9" s="3"/>
      <c r="E9" s="15">
        <f>+C9</f>
        <v>38888.07</v>
      </c>
      <c r="G9" s="1279" t="s">
        <v>24</v>
      </c>
      <c r="H9" s="1280"/>
      <c r="I9" s="1280"/>
      <c r="J9" s="1280"/>
      <c r="K9" s="1280"/>
      <c r="L9" s="1281"/>
      <c r="M9" s="45">
        <f>SUM(M2:M8)</f>
        <v>135000</v>
      </c>
      <c r="N9" s="45">
        <f>SUM(N2:N8)</f>
        <v>101907.34</v>
      </c>
      <c r="O9" s="46">
        <f>SUM(O2:O8)</f>
        <v>157006.66</v>
      </c>
      <c r="P9" s="39">
        <f>+M9+N9+O9</f>
        <v>393914</v>
      </c>
    </row>
    <row r="10" spans="2:16" ht="18" customHeight="1" thickBot="1" x14ac:dyDescent="0.4">
      <c r="B10" s="12" t="s">
        <v>11</v>
      </c>
      <c r="C10" s="26"/>
      <c r="D10" s="25"/>
      <c r="E10" s="27">
        <f>+E3+E4+E5+E6+E7-E8-E9</f>
        <v>6992.43</v>
      </c>
    </row>
    <row r="11" spans="2:16" ht="18" customHeight="1" thickBot="1" x14ac:dyDescent="0.4"/>
    <row r="12" spans="2:16" ht="20.25" customHeight="1" thickBot="1" x14ac:dyDescent="0.4">
      <c r="B12" s="1273" t="s">
        <v>13</v>
      </c>
      <c r="C12" s="1274"/>
      <c r="D12" s="1274"/>
      <c r="E12" s="1275"/>
    </row>
    <row r="13" spans="2:16" s="1" customFormat="1" ht="18" customHeight="1" x14ac:dyDescent="0.35">
      <c r="B13" s="16" t="s">
        <v>7</v>
      </c>
      <c r="C13" s="17" t="s">
        <v>8</v>
      </c>
      <c r="D13" s="17" t="s">
        <v>4</v>
      </c>
      <c r="E13" s="18" t="s">
        <v>9</v>
      </c>
    </row>
    <row r="14" spans="2:16" ht="18" customHeight="1" x14ac:dyDescent="0.35">
      <c r="B14" s="10" t="s">
        <v>3</v>
      </c>
      <c r="C14" s="3">
        <v>199</v>
      </c>
      <c r="D14" s="3">
        <v>141</v>
      </c>
      <c r="E14" s="11">
        <f>C14*D14</f>
        <v>28059</v>
      </c>
    </row>
    <row r="15" spans="2:16" ht="18" customHeight="1" x14ac:dyDescent="0.35">
      <c r="B15" s="10" t="s">
        <v>5</v>
      </c>
      <c r="C15" s="3">
        <v>6</v>
      </c>
      <c r="D15" s="3">
        <f>+D14*1.5</f>
        <v>211.5</v>
      </c>
      <c r="E15" s="11">
        <f>C15*D15</f>
        <v>1269</v>
      </c>
    </row>
    <row r="16" spans="2:16" ht="18" customHeight="1" x14ac:dyDescent="0.35">
      <c r="B16" s="10" t="s">
        <v>1</v>
      </c>
      <c r="C16" s="3">
        <f>+E14/2</f>
        <v>14029.5</v>
      </c>
      <c r="D16" s="3"/>
      <c r="E16" s="11">
        <f>+C16</f>
        <v>14029.5</v>
      </c>
      <c r="G16" s="1282" t="s">
        <v>25</v>
      </c>
      <c r="H16" s="1282" t="s">
        <v>26</v>
      </c>
    </row>
    <row r="17" spans="2:10" ht="18" customHeight="1" x14ac:dyDescent="0.35">
      <c r="B17" s="10" t="s">
        <v>2</v>
      </c>
      <c r="C17" s="3">
        <f>+D14*8*14</f>
        <v>15792</v>
      </c>
      <c r="D17" s="3"/>
      <c r="E17" s="11">
        <f>+C17</f>
        <v>15792</v>
      </c>
      <c r="G17" s="1282"/>
      <c r="H17" s="1282"/>
    </row>
    <row r="18" spans="2:10" ht="18" customHeight="1" x14ac:dyDescent="0.35">
      <c r="B18" s="10" t="s">
        <v>6</v>
      </c>
      <c r="C18" s="3">
        <v>8000</v>
      </c>
      <c r="D18" s="3"/>
      <c r="E18" s="11">
        <f>+C18</f>
        <v>8000</v>
      </c>
      <c r="G18" s="1282"/>
      <c r="H18" s="1282"/>
    </row>
    <row r="19" spans="2:10" ht="18" customHeight="1" x14ac:dyDescent="0.35">
      <c r="B19" s="19" t="s">
        <v>19</v>
      </c>
      <c r="C19" s="3">
        <v>20000</v>
      </c>
      <c r="D19" s="3"/>
      <c r="E19" s="11">
        <f>+C19</f>
        <v>20000</v>
      </c>
      <c r="G19" s="1282"/>
      <c r="H19" s="1283" t="s">
        <v>27</v>
      </c>
    </row>
    <row r="20" spans="2:10" ht="18" customHeight="1" thickBot="1" x14ac:dyDescent="0.4">
      <c r="B20" s="20" t="s">
        <v>18</v>
      </c>
      <c r="C20" s="3">
        <v>33799.31</v>
      </c>
      <c r="D20" s="3"/>
      <c r="E20" s="15">
        <f>+C20</f>
        <v>33799.31</v>
      </c>
      <c r="G20" s="1282"/>
      <c r="H20" s="1283"/>
    </row>
    <row r="21" spans="2:10" ht="18" customHeight="1" thickBot="1" x14ac:dyDescent="0.4">
      <c r="B21" s="12" t="s">
        <v>11</v>
      </c>
      <c r="C21" s="26"/>
      <c r="D21" s="25"/>
      <c r="E21" s="27">
        <f>+E14+E15+E16+E17+E18-E19-E20</f>
        <v>13350.190000000002</v>
      </c>
      <c r="G21" s="1282"/>
      <c r="H21" s="1283"/>
      <c r="J21" s="5"/>
    </row>
    <row r="22" spans="2:10" s="4" customFormat="1" ht="18" customHeight="1" thickBot="1" x14ac:dyDescent="0.4">
      <c r="B22" s="6"/>
      <c r="E22" s="7"/>
      <c r="G22" s="1282"/>
      <c r="H22" s="1283"/>
      <c r="J22" s="7"/>
    </row>
    <row r="23" spans="2:10" ht="20.25" customHeight="1" thickBot="1" x14ac:dyDescent="0.4">
      <c r="B23" s="1273" t="s">
        <v>15</v>
      </c>
      <c r="C23" s="1274"/>
      <c r="D23" s="1274"/>
      <c r="E23" s="1275"/>
      <c r="G23" s="47"/>
      <c r="J23" s="5"/>
    </row>
    <row r="24" spans="2:10" ht="18" customHeight="1" x14ac:dyDescent="0.35">
      <c r="B24" s="16" t="s">
        <v>7</v>
      </c>
      <c r="C24" s="17" t="s">
        <v>8</v>
      </c>
      <c r="D24" s="17" t="s">
        <v>4</v>
      </c>
      <c r="E24" s="18" t="s">
        <v>9</v>
      </c>
    </row>
    <row r="25" spans="2:10" s="1" customFormat="1" ht="18" customHeight="1" x14ac:dyDescent="0.35">
      <c r="B25" s="10" t="s">
        <v>3</v>
      </c>
      <c r="C25" s="3">
        <v>199</v>
      </c>
      <c r="D25" s="3">
        <v>162</v>
      </c>
      <c r="E25" s="11">
        <f>C25*D25</f>
        <v>32238</v>
      </c>
    </row>
    <row r="26" spans="2:10" ht="18" customHeight="1" x14ac:dyDescent="0.35">
      <c r="B26" s="10" t="s">
        <v>5</v>
      </c>
      <c r="C26" s="3">
        <v>20</v>
      </c>
      <c r="D26" s="3">
        <f>+D25*1.5</f>
        <v>243</v>
      </c>
      <c r="E26" s="11">
        <f>C26*D26</f>
        <v>4860</v>
      </c>
    </row>
    <row r="27" spans="2:10" ht="18" customHeight="1" x14ac:dyDescent="0.35">
      <c r="B27" s="10" t="s">
        <v>1</v>
      </c>
      <c r="C27" s="3">
        <f>+E25/2</f>
        <v>16119</v>
      </c>
      <c r="D27" s="3"/>
      <c r="E27" s="11">
        <f>+C27</f>
        <v>16119</v>
      </c>
    </row>
    <row r="28" spans="2:10" ht="18" customHeight="1" x14ac:dyDescent="0.35">
      <c r="B28" s="10" t="s">
        <v>2</v>
      </c>
      <c r="C28" s="3">
        <v>0</v>
      </c>
      <c r="D28" s="3"/>
      <c r="E28" s="11">
        <f>+C28</f>
        <v>0</v>
      </c>
    </row>
    <row r="29" spans="2:10" ht="18" customHeight="1" x14ac:dyDescent="0.35">
      <c r="B29" s="10" t="s">
        <v>6</v>
      </c>
      <c r="C29" s="3">
        <v>8000</v>
      </c>
      <c r="D29" s="3"/>
      <c r="E29" s="11">
        <f>+C29</f>
        <v>8000</v>
      </c>
    </row>
    <row r="30" spans="2:10" ht="18" customHeight="1" thickBot="1" x14ac:dyDescent="0.4">
      <c r="B30" s="19" t="s">
        <v>12</v>
      </c>
      <c r="C30" s="3">
        <v>20000</v>
      </c>
      <c r="D30" s="3"/>
      <c r="E30" s="23">
        <f>+C30</f>
        <v>20000</v>
      </c>
    </row>
    <row r="31" spans="2:10" ht="18" customHeight="1" thickBot="1" x14ac:dyDescent="0.4">
      <c r="B31" s="12" t="s">
        <v>11</v>
      </c>
      <c r="C31" s="13"/>
      <c r="D31" s="14"/>
      <c r="E31" s="27">
        <f>+E25+E26+E27+E28+E29-E30</f>
        <v>41217</v>
      </c>
    </row>
    <row r="32" spans="2:10" ht="18" customHeight="1" thickBot="1" x14ac:dyDescent="0.4"/>
    <row r="33" spans="2:10" ht="20.25" customHeight="1" thickBot="1" x14ac:dyDescent="0.6">
      <c r="B33" s="1284" t="s">
        <v>16</v>
      </c>
      <c r="C33" s="1285"/>
      <c r="D33" s="1285"/>
      <c r="E33" s="1286"/>
    </row>
    <row r="34" spans="2:10" ht="18" customHeight="1" x14ac:dyDescent="0.35">
      <c r="B34" s="16" t="s">
        <v>7</v>
      </c>
      <c r="C34" s="17" t="s">
        <v>8</v>
      </c>
      <c r="D34" s="17" t="s">
        <v>4</v>
      </c>
      <c r="E34" s="18" t="s">
        <v>9</v>
      </c>
    </row>
    <row r="35" spans="2:10" ht="18" customHeight="1" x14ac:dyDescent="0.35">
      <c r="B35" s="10" t="s">
        <v>3</v>
      </c>
      <c r="C35" s="3">
        <v>199</v>
      </c>
      <c r="D35" s="3">
        <v>130</v>
      </c>
      <c r="E35" s="11">
        <f>C35*D35</f>
        <v>25870</v>
      </c>
    </row>
    <row r="36" spans="2:10" s="1" customFormat="1" ht="18" customHeight="1" x14ac:dyDescent="0.35">
      <c r="B36" s="10" t="s">
        <v>5</v>
      </c>
      <c r="C36" s="3">
        <v>5</v>
      </c>
      <c r="D36" s="3">
        <f>+D35*1.5</f>
        <v>195</v>
      </c>
      <c r="E36" s="11">
        <f>C36*D36</f>
        <v>975</v>
      </c>
      <c r="G36"/>
      <c r="H36"/>
      <c r="I36"/>
      <c r="J36"/>
    </row>
    <row r="37" spans="2:10" ht="18" customHeight="1" x14ac:dyDescent="0.35">
      <c r="B37" s="10" t="s">
        <v>1</v>
      </c>
      <c r="C37" s="3">
        <f>+E35/2</f>
        <v>12935</v>
      </c>
      <c r="D37" s="3"/>
      <c r="E37" s="11">
        <f>+C37</f>
        <v>12935</v>
      </c>
      <c r="G37" s="1"/>
      <c r="H37" s="1"/>
      <c r="I37" s="1"/>
      <c r="J37" s="1"/>
    </row>
    <row r="38" spans="2:10" ht="18" customHeight="1" x14ac:dyDescent="0.35">
      <c r="B38" s="10" t="s">
        <v>2</v>
      </c>
      <c r="C38" s="3">
        <v>0</v>
      </c>
      <c r="D38" s="3"/>
      <c r="E38" s="11">
        <f>+C38</f>
        <v>0</v>
      </c>
    </row>
    <row r="39" spans="2:10" ht="18" customHeight="1" x14ac:dyDescent="0.35">
      <c r="B39" s="10" t="s">
        <v>6</v>
      </c>
      <c r="C39" s="3">
        <v>8000</v>
      </c>
      <c r="D39" s="3"/>
      <c r="E39" s="11">
        <f>+C39</f>
        <v>8000</v>
      </c>
    </row>
    <row r="40" spans="2:10" ht="18" customHeight="1" thickBot="1" x14ac:dyDescent="0.4">
      <c r="B40" s="19" t="s">
        <v>19</v>
      </c>
      <c r="C40" s="3">
        <v>20000</v>
      </c>
      <c r="D40" s="3"/>
      <c r="E40" s="23">
        <f>+C40</f>
        <v>20000</v>
      </c>
    </row>
    <row r="41" spans="2:10" ht="18" customHeight="1" thickBot="1" x14ac:dyDescent="0.4">
      <c r="B41" s="12" t="s">
        <v>11</v>
      </c>
      <c r="C41" s="13"/>
      <c r="D41" s="14"/>
      <c r="E41" s="27">
        <f>+E35+E36+E37+E38+E39-E40</f>
        <v>27780</v>
      </c>
    </row>
    <row r="42" spans="2:10" ht="18" customHeight="1" thickBot="1" x14ac:dyDescent="0.4"/>
    <row r="43" spans="2:10" ht="20.25" customHeight="1" x14ac:dyDescent="0.35">
      <c r="B43" s="1276" t="s">
        <v>0</v>
      </c>
      <c r="C43" s="1277"/>
      <c r="D43" s="1277"/>
      <c r="E43" s="1278"/>
    </row>
    <row r="44" spans="2:10" ht="18" customHeight="1" x14ac:dyDescent="0.35">
      <c r="B44" s="8" t="s">
        <v>7</v>
      </c>
      <c r="C44" s="2" t="s">
        <v>8</v>
      </c>
      <c r="D44" s="2" t="s">
        <v>4</v>
      </c>
      <c r="E44" s="9" t="s">
        <v>9</v>
      </c>
    </row>
    <row r="45" spans="2:10" ht="18" customHeight="1" x14ac:dyDescent="0.35">
      <c r="B45" s="10" t="s">
        <v>3</v>
      </c>
      <c r="C45" s="3">
        <v>199</v>
      </c>
      <c r="D45" s="3">
        <v>162</v>
      </c>
      <c r="E45" s="11">
        <f>C45*D45</f>
        <v>32238</v>
      </c>
    </row>
    <row r="46" spans="2:10" ht="18" customHeight="1" x14ac:dyDescent="0.35">
      <c r="B46" s="10" t="s">
        <v>5</v>
      </c>
      <c r="C46" s="3">
        <v>13.5</v>
      </c>
      <c r="D46" s="3">
        <f>+D45*1.5</f>
        <v>243</v>
      </c>
      <c r="E46" s="11">
        <f>C46*D46</f>
        <v>3280.5</v>
      </c>
    </row>
    <row r="47" spans="2:10" s="1" customFormat="1" ht="18" customHeight="1" x14ac:dyDescent="0.35">
      <c r="B47" s="10" t="s">
        <v>1</v>
      </c>
      <c r="C47" s="3">
        <v>16120</v>
      </c>
      <c r="D47" s="3"/>
      <c r="E47" s="11">
        <f>+C47</f>
        <v>16120</v>
      </c>
      <c r="G47"/>
      <c r="H47"/>
      <c r="I47"/>
      <c r="J47"/>
    </row>
    <row r="48" spans="2:10" ht="18" customHeight="1" x14ac:dyDescent="0.35">
      <c r="B48" s="10" t="s">
        <v>2</v>
      </c>
      <c r="C48" s="3">
        <v>0</v>
      </c>
      <c r="D48" s="3"/>
      <c r="E48" s="11">
        <f>+C48</f>
        <v>0</v>
      </c>
      <c r="G48" s="1"/>
      <c r="H48" s="1"/>
      <c r="I48" s="1"/>
      <c r="J48" s="1"/>
    </row>
    <row r="49" spans="2:10" ht="18" customHeight="1" x14ac:dyDescent="0.35">
      <c r="B49" s="10" t="s">
        <v>6</v>
      </c>
      <c r="C49" s="3">
        <v>8500</v>
      </c>
      <c r="D49" s="3"/>
      <c r="E49" s="11">
        <f>+C49</f>
        <v>8500</v>
      </c>
    </row>
    <row r="50" spans="2:10" ht="18" customHeight="1" x14ac:dyDescent="0.35">
      <c r="B50" s="19" t="s">
        <v>19</v>
      </c>
      <c r="C50" s="3">
        <v>20000</v>
      </c>
      <c r="D50" s="3"/>
      <c r="E50" s="22">
        <f>+C50</f>
        <v>20000</v>
      </c>
    </row>
    <row r="51" spans="2:10" ht="18" customHeight="1" x14ac:dyDescent="0.35">
      <c r="B51" s="20" t="s">
        <v>18</v>
      </c>
      <c r="C51" s="21">
        <v>29219.96</v>
      </c>
      <c r="D51" s="3"/>
      <c r="E51" s="22">
        <f>+C51</f>
        <v>29219.96</v>
      </c>
    </row>
    <row r="52" spans="2:10" ht="18" customHeight="1" thickBot="1" x14ac:dyDescent="0.4">
      <c r="B52" s="12" t="s">
        <v>11</v>
      </c>
      <c r="C52" s="13"/>
      <c r="D52" s="25"/>
      <c r="E52" s="28">
        <f>+E45+E46+E47+E48+E49-E50-E51</f>
        <v>10918.54</v>
      </c>
    </row>
    <row r="53" spans="2:10" ht="18" customHeight="1" thickBot="1" x14ac:dyDescent="0.4"/>
    <row r="54" spans="2:10" ht="20.25" customHeight="1" x14ac:dyDescent="0.35">
      <c r="B54" s="1276" t="s">
        <v>14</v>
      </c>
      <c r="C54" s="1277"/>
      <c r="D54" s="1277"/>
      <c r="E54" s="1278"/>
    </row>
    <row r="55" spans="2:10" ht="18" customHeight="1" x14ac:dyDescent="0.35">
      <c r="B55" s="8" t="s">
        <v>7</v>
      </c>
      <c r="C55" s="2" t="s">
        <v>8</v>
      </c>
      <c r="D55" s="2" t="s">
        <v>4</v>
      </c>
      <c r="E55" s="9" t="s">
        <v>9</v>
      </c>
    </row>
    <row r="56" spans="2:10" ht="18" customHeight="1" x14ac:dyDescent="0.35">
      <c r="B56" s="10" t="s">
        <v>3</v>
      </c>
      <c r="C56" s="3">
        <v>199</v>
      </c>
      <c r="D56" s="3">
        <v>150.5</v>
      </c>
      <c r="E56" s="11">
        <f>C56*D56</f>
        <v>29949.5</v>
      </c>
    </row>
    <row r="57" spans="2:10" ht="18" customHeight="1" x14ac:dyDescent="0.35">
      <c r="B57" s="10" t="s">
        <v>5</v>
      </c>
      <c r="C57" s="3">
        <v>0</v>
      </c>
      <c r="D57" s="3">
        <f>+D56*1.5</f>
        <v>225.75</v>
      </c>
      <c r="E57" s="11">
        <f>C57*D57</f>
        <v>0</v>
      </c>
    </row>
    <row r="58" spans="2:10" s="1" customFormat="1" ht="18" customHeight="1" x14ac:dyDescent="0.35">
      <c r="B58" s="10" t="s">
        <v>1</v>
      </c>
      <c r="C58" s="3">
        <v>14974</v>
      </c>
      <c r="D58" s="3"/>
      <c r="E58" s="11">
        <f>+C58</f>
        <v>14974</v>
      </c>
      <c r="G58"/>
      <c r="H58"/>
      <c r="I58"/>
      <c r="J58"/>
    </row>
    <row r="59" spans="2:10" ht="18" customHeight="1" x14ac:dyDescent="0.35">
      <c r="B59" s="10" t="s">
        <v>2</v>
      </c>
      <c r="C59" s="3">
        <v>0</v>
      </c>
      <c r="D59" s="3"/>
      <c r="E59" s="11">
        <f>+C59</f>
        <v>0</v>
      </c>
      <c r="G59" s="1"/>
      <c r="H59" s="1"/>
      <c r="I59" s="1"/>
      <c r="J59" s="1"/>
    </row>
    <row r="60" spans="2:10" ht="18" customHeight="1" x14ac:dyDescent="0.35">
      <c r="B60" s="10" t="s">
        <v>6</v>
      </c>
      <c r="C60" s="3">
        <v>8000</v>
      </c>
      <c r="D60" s="3"/>
      <c r="E60" s="11">
        <f>+C60</f>
        <v>8000</v>
      </c>
    </row>
    <row r="61" spans="2:10" ht="18" customHeight="1" thickBot="1" x14ac:dyDescent="0.4">
      <c r="B61" s="19" t="s">
        <v>19</v>
      </c>
      <c r="C61" s="3">
        <v>20000</v>
      </c>
      <c r="D61" s="3"/>
      <c r="E61" s="23">
        <f>+C61</f>
        <v>20000</v>
      </c>
    </row>
    <row r="62" spans="2:10" ht="18" customHeight="1" thickBot="1" x14ac:dyDescent="0.4">
      <c r="B62" s="12" t="s">
        <v>11</v>
      </c>
      <c r="C62" s="13"/>
      <c r="D62" s="14"/>
      <c r="E62" s="27">
        <f>+E56+E57+E58+E59+E60-E61</f>
        <v>32923.5</v>
      </c>
    </row>
    <row r="63" spans="2:10" ht="18" customHeight="1" thickBot="1" x14ac:dyDescent="0.4"/>
    <row r="64" spans="2:10" ht="20.25" customHeight="1" x14ac:dyDescent="0.35">
      <c r="B64" s="1276" t="s">
        <v>17</v>
      </c>
      <c r="C64" s="1277"/>
      <c r="D64" s="1277"/>
      <c r="E64" s="1278"/>
    </row>
    <row r="65" spans="2:10" ht="18" customHeight="1" x14ac:dyDescent="0.35">
      <c r="B65" s="8" t="s">
        <v>7</v>
      </c>
      <c r="C65" s="2" t="s">
        <v>8</v>
      </c>
      <c r="D65" s="2" t="s">
        <v>4</v>
      </c>
      <c r="E65" s="9" t="s">
        <v>9</v>
      </c>
    </row>
    <row r="66" spans="2:10" ht="18" customHeight="1" x14ac:dyDescent="0.35">
      <c r="B66" s="10" t="s">
        <v>3</v>
      </c>
      <c r="C66" s="3">
        <v>199</v>
      </c>
      <c r="D66" s="3">
        <v>110</v>
      </c>
      <c r="E66" s="11">
        <f>C66*D66</f>
        <v>21890</v>
      </c>
    </row>
    <row r="67" spans="2:10" ht="18" customHeight="1" x14ac:dyDescent="0.35">
      <c r="B67" s="10" t="s">
        <v>5</v>
      </c>
      <c r="C67" s="3">
        <v>6</v>
      </c>
      <c r="D67" s="3">
        <f>+D66*1.5</f>
        <v>165</v>
      </c>
      <c r="E67" s="11">
        <f>C67*D67</f>
        <v>990</v>
      </c>
    </row>
    <row r="68" spans="2:10" s="1" customFormat="1" ht="18" customHeight="1" x14ac:dyDescent="0.35">
      <c r="B68" s="10" t="s">
        <v>1</v>
      </c>
      <c r="C68" s="3">
        <f>+E66/2</f>
        <v>10945</v>
      </c>
      <c r="D68" s="3"/>
      <c r="E68" s="11">
        <f>+C68</f>
        <v>10945</v>
      </c>
      <c r="G68"/>
      <c r="H68"/>
      <c r="I68"/>
      <c r="J68"/>
    </row>
    <row r="69" spans="2:10" ht="18" customHeight="1" x14ac:dyDescent="0.35">
      <c r="B69" s="10" t="s">
        <v>2</v>
      </c>
      <c r="C69" s="3">
        <v>0</v>
      </c>
      <c r="D69" s="3"/>
      <c r="E69" s="11">
        <f>+C69</f>
        <v>0</v>
      </c>
      <c r="G69" s="1"/>
      <c r="H69" s="1"/>
      <c r="I69" s="1"/>
      <c r="J69" s="1"/>
    </row>
    <row r="70" spans="2:10" ht="18" customHeight="1" x14ac:dyDescent="0.35">
      <c r="B70" s="10" t="s">
        <v>6</v>
      </c>
      <c r="C70" s="3">
        <v>5000</v>
      </c>
      <c r="D70" s="3"/>
      <c r="E70" s="24">
        <f>+C70</f>
        <v>5000</v>
      </c>
    </row>
    <row r="71" spans="2:10" ht="18" customHeight="1" thickBot="1" x14ac:dyDescent="0.4">
      <c r="B71" s="19" t="s">
        <v>19</v>
      </c>
      <c r="C71" s="3">
        <v>15000</v>
      </c>
      <c r="D71" s="3"/>
      <c r="E71" s="23">
        <f>+C71</f>
        <v>15000</v>
      </c>
    </row>
    <row r="72" spans="2:10" ht="18" customHeight="1" thickBot="1" x14ac:dyDescent="0.4">
      <c r="B72" s="12" t="s">
        <v>11</v>
      </c>
      <c r="C72" s="13"/>
      <c r="D72" s="14"/>
      <c r="E72" s="27">
        <f>+E66+E67+E68+E69+E70-E71</f>
        <v>23825</v>
      </c>
    </row>
    <row r="75" spans="2:10" ht="18" customHeight="1" x14ac:dyDescent="0.35">
      <c r="B75" s="1"/>
      <c r="C75" s="1"/>
      <c r="D75" s="1"/>
      <c r="E75" s="1"/>
    </row>
    <row r="86" spans="2:5" ht="18" customHeight="1" x14ac:dyDescent="0.35">
      <c r="B86" s="1"/>
      <c r="C86" s="1"/>
      <c r="D86" s="1"/>
      <c r="E86" s="1"/>
    </row>
  </sheetData>
  <mergeCells count="11">
    <mergeCell ref="G9:L9"/>
    <mergeCell ref="G16:G22"/>
    <mergeCell ref="H16:H18"/>
    <mergeCell ref="H19:H22"/>
    <mergeCell ref="B64:E64"/>
    <mergeCell ref="B33:E33"/>
    <mergeCell ref="B1:E1"/>
    <mergeCell ref="B12:E12"/>
    <mergeCell ref="B43:E43"/>
    <mergeCell ref="B54:E54"/>
    <mergeCell ref="B23:E2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00"/>
  <sheetViews>
    <sheetView workbookViewId="0">
      <selection activeCell="E63" sqref="E63"/>
    </sheetView>
  </sheetViews>
  <sheetFormatPr baseColWidth="10" defaultRowHeight="18" customHeight="1" x14ac:dyDescent="0.35"/>
  <cols>
    <col min="2" max="2" width="21.54296875" customWidth="1"/>
    <col min="3" max="3" width="24.08984375" customWidth="1"/>
    <col min="4" max="4" width="16.90625" customWidth="1"/>
    <col min="5" max="5" width="22.08984375" style="5" customWidth="1"/>
    <col min="6" max="6" width="12" bestFit="1" customWidth="1"/>
    <col min="7" max="8" width="14.08984375" customWidth="1"/>
    <col min="9" max="9" width="12.54296875" customWidth="1"/>
    <col min="10" max="10" width="14.6328125" customWidth="1"/>
    <col min="11" max="11" width="12" customWidth="1"/>
    <col min="12" max="12" width="13" customWidth="1"/>
    <col min="13" max="13" width="13.453125" customWidth="1"/>
    <col min="14" max="14" width="12.54296875" customWidth="1"/>
    <col min="15" max="15" width="14.08984375" customWidth="1"/>
    <col min="16" max="16" width="13" bestFit="1" customWidth="1"/>
  </cols>
  <sheetData>
    <row r="1" spans="2:16" ht="24" thickBot="1" x14ac:dyDescent="0.4">
      <c r="B1" s="1273" t="s">
        <v>10</v>
      </c>
      <c r="C1" s="1274"/>
      <c r="D1" s="1274"/>
      <c r="E1" s="1275"/>
      <c r="G1" s="80" t="s">
        <v>20</v>
      </c>
      <c r="H1" s="74" t="s">
        <v>8</v>
      </c>
      <c r="I1" s="74" t="s">
        <v>44</v>
      </c>
      <c r="J1" s="81" t="s">
        <v>43</v>
      </c>
      <c r="K1" s="74" t="s">
        <v>1</v>
      </c>
      <c r="L1" s="74" t="s">
        <v>2</v>
      </c>
      <c r="M1" s="74" t="s">
        <v>24</v>
      </c>
      <c r="N1" s="74" t="s">
        <v>19</v>
      </c>
      <c r="O1" s="74" t="s">
        <v>18</v>
      </c>
      <c r="P1" s="68" t="s">
        <v>23</v>
      </c>
    </row>
    <row r="2" spans="2:16" s="1" customFormat="1" ht="18" customHeight="1" x14ac:dyDescent="0.35">
      <c r="B2" s="16" t="s">
        <v>7</v>
      </c>
      <c r="C2" s="17" t="s">
        <v>8</v>
      </c>
      <c r="D2" s="17" t="s">
        <v>4</v>
      </c>
      <c r="E2" s="18" t="s">
        <v>9</v>
      </c>
      <c r="G2" s="85" t="s">
        <v>10</v>
      </c>
      <c r="H2" s="82">
        <f>+E3</f>
        <v>12452</v>
      </c>
      <c r="I2" s="77">
        <f>+E4</f>
        <v>0</v>
      </c>
      <c r="J2" s="77">
        <f>+E7</f>
        <v>8000</v>
      </c>
      <c r="K2" s="77">
        <f>+E5</f>
        <v>0</v>
      </c>
      <c r="L2" s="77">
        <f>+E6</f>
        <v>0</v>
      </c>
      <c r="M2" s="88">
        <f>+H2+J2+I2+K2+L2</f>
        <v>20452</v>
      </c>
      <c r="N2" s="78">
        <f>+E8</f>
        <v>0</v>
      </c>
      <c r="O2" s="79">
        <f>+E9</f>
        <v>12227.28</v>
      </c>
      <c r="P2" s="71">
        <f t="shared" ref="P2:P11" si="0">+H2+I2+J2+K2+L2-N2-O2</f>
        <v>8224.7199999999993</v>
      </c>
    </row>
    <row r="3" spans="2:16" ht="18" customHeight="1" x14ac:dyDescent="0.35">
      <c r="B3" s="10" t="s">
        <v>3</v>
      </c>
      <c r="C3" s="3">
        <v>88</v>
      </c>
      <c r="D3" s="3">
        <v>141.5</v>
      </c>
      <c r="E3" s="11">
        <f>C3*D3</f>
        <v>12452</v>
      </c>
      <c r="G3" s="86" t="s">
        <v>13</v>
      </c>
      <c r="H3" s="83">
        <f>+E14</f>
        <v>12452</v>
      </c>
      <c r="I3" s="75">
        <f>+E15</f>
        <v>636.75</v>
      </c>
      <c r="J3" s="75">
        <f>+E18</f>
        <v>8000</v>
      </c>
      <c r="K3" s="75">
        <f>+E16</f>
        <v>0</v>
      </c>
      <c r="L3" s="75">
        <f>+E17</f>
        <v>0</v>
      </c>
      <c r="M3" s="88">
        <f t="shared" ref="M3:M11" si="1">+H3+J3+I3+K3+L3</f>
        <v>21088.75</v>
      </c>
      <c r="N3" s="69">
        <f>+E19</f>
        <v>3000</v>
      </c>
      <c r="O3" s="35">
        <f>+E20</f>
        <v>10752.43</v>
      </c>
      <c r="P3" s="70">
        <f t="shared" si="0"/>
        <v>7336.32</v>
      </c>
    </row>
    <row r="4" spans="2:16" ht="18" customHeight="1" x14ac:dyDescent="0.35">
      <c r="B4" s="10" t="s">
        <v>5</v>
      </c>
      <c r="C4" s="3">
        <v>0</v>
      </c>
      <c r="D4" s="3">
        <f>+D3*1.5</f>
        <v>212.25</v>
      </c>
      <c r="E4" s="11">
        <f>C4*D4</f>
        <v>0</v>
      </c>
      <c r="G4" s="86" t="s">
        <v>15</v>
      </c>
      <c r="H4" s="83">
        <f>+E25</f>
        <v>27692</v>
      </c>
      <c r="I4" s="75">
        <f>+E26</f>
        <v>1806</v>
      </c>
      <c r="J4" s="75">
        <f>+E29</f>
        <v>8000</v>
      </c>
      <c r="K4" s="75">
        <f>+E27</f>
        <v>0</v>
      </c>
      <c r="L4" s="75">
        <f>+E28</f>
        <v>0</v>
      </c>
      <c r="M4" s="88">
        <f t="shared" si="1"/>
        <v>37498</v>
      </c>
      <c r="N4" s="69">
        <f>+E30</f>
        <v>3000</v>
      </c>
      <c r="O4" s="36">
        <v>0</v>
      </c>
      <c r="P4" s="70">
        <f t="shared" si="0"/>
        <v>34498</v>
      </c>
    </row>
    <row r="5" spans="2:16" ht="18" customHeight="1" x14ac:dyDescent="0.35">
      <c r="B5" s="10" t="s">
        <v>1</v>
      </c>
      <c r="C5" s="3">
        <v>0</v>
      </c>
      <c r="D5" s="3"/>
      <c r="E5" s="11">
        <f>+C5</f>
        <v>0</v>
      </c>
      <c r="G5" s="86" t="s">
        <v>16</v>
      </c>
      <c r="H5" s="83">
        <f>+E35</f>
        <v>23920</v>
      </c>
      <c r="I5" s="75">
        <f>+E36</f>
        <v>682.5</v>
      </c>
      <c r="J5" s="75">
        <f>+E39</f>
        <v>8000</v>
      </c>
      <c r="K5" s="75">
        <f>+E37</f>
        <v>0</v>
      </c>
      <c r="L5" s="75">
        <f>+E38</f>
        <v>0</v>
      </c>
      <c r="M5" s="88">
        <f t="shared" si="1"/>
        <v>32602.5</v>
      </c>
      <c r="N5" s="69">
        <f>+E40</f>
        <v>3000</v>
      </c>
      <c r="O5" s="36">
        <v>0</v>
      </c>
      <c r="P5" s="70">
        <f t="shared" si="0"/>
        <v>29602.5</v>
      </c>
    </row>
    <row r="6" spans="2:16" ht="18" customHeight="1" x14ac:dyDescent="0.35">
      <c r="B6" s="10" t="s">
        <v>2</v>
      </c>
      <c r="C6" s="3">
        <v>0</v>
      </c>
      <c r="D6" s="3"/>
      <c r="E6" s="11">
        <f>+C6</f>
        <v>0</v>
      </c>
      <c r="G6" s="86" t="s">
        <v>0</v>
      </c>
      <c r="H6" s="83">
        <f>+E45</f>
        <v>29808</v>
      </c>
      <c r="I6" s="75">
        <f>+E46</f>
        <v>972</v>
      </c>
      <c r="J6" s="75">
        <f>+E49</f>
        <v>13500</v>
      </c>
      <c r="K6" s="75">
        <f>+E47</f>
        <v>0</v>
      </c>
      <c r="L6" s="75">
        <f>+E48</f>
        <v>18144</v>
      </c>
      <c r="M6" s="88">
        <f t="shared" si="1"/>
        <v>62424</v>
      </c>
      <c r="N6" s="69">
        <f>+E50</f>
        <v>33720</v>
      </c>
      <c r="O6" s="35">
        <f>+E51+E52</f>
        <v>22393.59</v>
      </c>
      <c r="P6" s="70">
        <f t="shared" si="0"/>
        <v>6310.41</v>
      </c>
    </row>
    <row r="7" spans="2:16" ht="18" customHeight="1" x14ac:dyDescent="0.35">
      <c r="B7" s="10" t="s">
        <v>6</v>
      </c>
      <c r="C7" s="3">
        <v>8000</v>
      </c>
      <c r="D7" s="3"/>
      <c r="E7" s="11">
        <f>+C7</f>
        <v>8000</v>
      </c>
      <c r="G7" s="86" t="s">
        <v>14</v>
      </c>
      <c r="H7" s="83">
        <f>+E57</f>
        <v>27692</v>
      </c>
      <c r="I7" s="75">
        <f>+E58</f>
        <v>3837.75</v>
      </c>
      <c r="J7" s="75">
        <f>+E61</f>
        <v>13000</v>
      </c>
      <c r="K7" s="75">
        <f>+E59</f>
        <v>0</v>
      </c>
      <c r="L7" s="75">
        <f>+E60</f>
        <v>0</v>
      </c>
      <c r="M7" s="88">
        <f t="shared" si="1"/>
        <v>44529.75</v>
      </c>
      <c r="N7" s="69">
        <v>1000</v>
      </c>
      <c r="O7" s="36">
        <v>0</v>
      </c>
      <c r="P7" s="70">
        <f t="shared" si="0"/>
        <v>43529.75</v>
      </c>
    </row>
    <row r="8" spans="2:16" ht="18" customHeight="1" x14ac:dyDescent="0.35">
      <c r="B8" s="19" t="s">
        <v>19</v>
      </c>
      <c r="C8" s="3">
        <v>0</v>
      </c>
      <c r="D8" s="3"/>
      <c r="E8" s="11">
        <f>+C8</f>
        <v>0</v>
      </c>
      <c r="G8" s="86" t="s">
        <v>17</v>
      </c>
      <c r="H8" s="83">
        <f>+E67</f>
        <v>20240</v>
      </c>
      <c r="I8" s="75">
        <f>+E68</f>
        <v>990</v>
      </c>
      <c r="J8" s="75">
        <f>+E71</f>
        <v>5000</v>
      </c>
      <c r="K8" s="75">
        <f>+E69</f>
        <v>0</v>
      </c>
      <c r="L8" s="75">
        <f>+E70</f>
        <v>0</v>
      </c>
      <c r="M8" s="88">
        <f t="shared" si="1"/>
        <v>26230</v>
      </c>
      <c r="N8" s="69">
        <f>+E72</f>
        <v>0</v>
      </c>
      <c r="O8" s="36">
        <v>0</v>
      </c>
      <c r="P8" s="70">
        <f t="shared" si="0"/>
        <v>26230</v>
      </c>
    </row>
    <row r="9" spans="2:16" ht="18" customHeight="1" thickBot="1" x14ac:dyDescent="0.4">
      <c r="B9" s="20" t="s">
        <v>18</v>
      </c>
      <c r="C9" s="3">
        <v>12227.28</v>
      </c>
      <c r="D9" s="3"/>
      <c r="E9" s="15">
        <f>+C9</f>
        <v>12227.28</v>
      </c>
      <c r="G9" s="86" t="s">
        <v>35</v>
      </c>
      <c r="H9" s="83">
        <f>+E77</f>
        <v>8690</v>
      </c>
      <c r="I9" s="75">
        <f>+E78</f>
        <v>0</v>
      </c>
      <c r="J9" s="75"/>
      <c r="K9" s="75">
        <f>+E79</f>
        <v>0</v>
      </c>
      <c r="L9" s="75">
        <f>+E80</f>
        <v>0</v>
      </c>
      <c r="M9" s="88">
        <f t="shared" si="1"/>
        <v>8690</v>
      </c>
      <c r="N9" s="69">
        <f>+E82</f>
        <v>0</v>
      </c>
      <c r="O9" s="36">
        <v>0</v>
      </c>
      <c r="P9" s="70">
        <f t="shared" si="0"/>
        <v>8690</v>
      </c>
    </row>
    <row r="10" spans="2:16" ht="18" customHeight="1" thickBot="1" x14ac:dyDescent="0.4">
      <c r="B10" s="12" t="s">
        <v>11</v>
      </c>
      <c r="C10" s="26"/>
      <c r="D10" s="25"/>
      <c r="E10" s="27">
        <f>+E3+E4+E5+E6+E7-E8-E9</f>
        <v>8224.7199999999993</v>
      </c>
      <c r="G10" s="86" t="s">
        <v>41</v>
      </c>
      <c r="H10" s="83">
        <f>+E97</f>
        <v>33000</v>
      </c>
      <c r="I10" s="75"/>
      <c r="J10" s="75"/>
      <c r="K10" s="75"/>
      <c r="L10" s="75"/>
      <c r="M10" s="88">
        <f t="shared" si="1"/>
        <v>33000</v>
      </c>
      <c r="N10" s="69"/>
      <c r="O10" s="36"/>
      <c r="P10" s="70">
        <f t="shared" si="0"/>
        <v>33000</v>
      </c>
    </row>
    <row r="11" spans="2:16" ht="19.5" customHeight="1" thickBot="1" x14ac:dyDescent="0.4">
      <c r="G11" s="87" t="s">
        <v>42</v>
      </c>
      <c r="H11" s="84">
        <f>+E87</f>
        <v>25000</v>
      </c>
      <c r="I11" s="76">
        <f>+E88+E89</f>
        <v>9687.5</v>
      </c>
      <c r="J11" s="76">
        <f>+E91</f>
        <v>0</v>
      </c>
      <c r="K11" s="76">
        <v>0</v>
      </c>
      <c r="L11" s="76">
        <f>+E90</f>
        <v>0</v>
      </c>
      <c r="M11" s="88">
        <f t="shared" si="1"/>
        <v>34687.5</v>
      </c>
      <c r="N11" s="72">
        <f>+E92</f>
        <v>0</v>
      </c>
      <c r="O11" s="43">
        <v>0</v>
      </c>
      <c r="P11" s="73">
        <f t="shared" si="0"/>
        <v>34687.5</v>
      </c>
    </row>
    <row r="12" spans="2:16" ht="20.25" customHeight="1" thickBot="1" x14ac:dyDescent="0.4">
      <c r="B12" s="1273" t="s">
        <v>13</v>
      </c>
      <c r="C12" s="1274"/>
      <c r="D12" s="1274"/>
      <c r="E12" s="1275"/>
      <c r="G12" s="1279" t="s">
        <v>24</v>
      </c>
      <c r="H12" s="1280"/>
      <c r="I12" s="1280"/>
      <c r="J12" s="1280"/>
      <c r="K12" s="1280"/>
      <c r="L12" s="1280"/>
      <c r="M12" s="89">
        <f>SUM(M2:M11)</f>
        <v>321202.5</v>
      </c>
      <c r="N12" s="45">
        <f>SUM(N2:N11)</f>
        <v>43720</v>
      </c>
      <c r="O12" s="45">
        <f>SUM(O2:O11)</f>
        <v>45373.3</v>
      </c>
      <c r="P12" s="46">
        <f>SUM(P2:P11)</f>
        <v>232109.2</v>
      </c>
    </row>
    <row r="13" spans="2:16" s="1" customFormat="1" ht="18" customHeight="1" thickBot="1" x14ac:dyDescent="0.4">
      <c r="B13" s="16" t="s">
        <v>7</v>
      </c>
      <c r="C13" s="17" t="s">
        <v>8</v>
      </c>
      <c r="D13" s="17" t="s">
        <v>4</v>
      </c>
      <c r="E13" s="18" t="s">
        <v>9</v>
      </c>
      <c r="G13"/>
      <c r="H13"/>
      <c r="I13"/>
      <c r="J13"/>
      <c r="K13"/>
      <c r="L13"/>
      <c r="M13"/>
      <c r="N13" s="1290">
        <f>+N12+O12+P12</f>
        <v>321202.5</v>
      </c>
      <c r="O13" s="1291"/>
      <c r="P13" s="1292"/>
    </row>
    <row r="14" spans="2:16" ht="18" customHeight="1" x14ac:dyDescent="0.35">
      <c r="B14" s="10" t="s">
        <v>3</v>
      </c>
      <c r="C14" s="3">
        <v>88</v>
      </c>
      <c r="D14" s="3">
        <v>141.5</v>
      </c>
      <c r="E14" s="11">
        <f>C14*D14</f>
        <v>12452</v>
      </c>
    </row>
    <row r="15" spans="2:16" ht="18" customHeight="1" x14ac:dyDescent="0.35">
      <c r="B15" s="10" t="s">
        <v>5</v>
      </c>
      <c r="C15" s="3">
        <v>3</v>
      </c>
      <c r="D15" s="3">
        <f>+D14*1.5</f>
        <v>212.25</v>
      </c>
      <c r="E15" s="11">
        <f>C15*D15</f>
        <v>636.75</v>
      </c>
    </row>
    <row r="16" spans="2:16" ht="18" customHeight="1" x14ac:dyDescent="0.35">
      <c r="B16" s="10" t="s">
        <v>1</v>
      </c>
      <c r="C16" s="3">
        <v>0</v>
      </c>
      <c r="D16" s="3"/>
      <c r="E16" s="11">
        <f>+C16</f>
        <v>0</v>
      </c>
      <c r="G16" s="1"/>
      <c r="H16" s="1"/>
      <c r="I16" s="1"/>
      <c r="J16" s="1"/>
      <c r="K16" s="1"/>
      <c r="L16" s="1"/>
      <c r="M16" s="1"/>
      <c r="N16" s="1"/>
      <c r="O16" s="1"/>
    </row>
    <row r="17" spans="2:15" ht="21.75" customHeight="1" thickBot="1" x14ac:dyDescent="0.4">
      <c r="B17" s="10" t="s">
        <v>2</v>
      </c>
      <c r="C17" s="3">
        <v>0</v>
      </c>
      <c r="D17" s="3"/>
      <c r="E17" s="11">
        <f>+C17</f>
        <v>0</v>
      </c>
      <c r="J17" s="4"/>
    </row>
    <row r="18" spans="2:15" ht="21.75" customHeight="1" thickBot="1" x14ac:dyDescent="0.4">
      <c r="B18" s="10" t="s">
        <v>6</v>
      </c>
      <c r="C18" s="3">
        <v>8000</v>
      </c>
      <c r="D18" s="3"/>
      <c r="E18" s="11">
        <f>+C18</f>
        <v>8000</v>
      </c>
      <c r="I18" s="4"/>
      <c r="J18" s="57"/>
      <c r="K18" s="61" t="s">
        <v>29</v>
      </c>
      <c r="L18" s="61" t="s">
        <v>30</v>
      </c>
      <c r="M18" s="61" t="s">
        <v>31</v>
      </c>
      <c r="N18" s="62" t="s">
        <v>32</v>
      </c>
    </row>
    <row r="19" spans="2:15" ht="21.75" customHeight="1" x14ac:dyDescent="0.35">
      <c r="B19" s="19" t="s">
        <v>19</v>
      </c>
      <c r="C19" s="3">
        <v>3000</v>
      </c>
      <c r="D19" s="3"/>
      <c r="E19" s="11">
        <f>+C19</f>
        <v>3000</v>
      </c>
      <c r="G19" s="1282" t="s">
        <v>25</v>
      </c>
      <c r="H19" s="1282" t="s">
        <v>26</v>
      </c>
      <c r="J19" s="58" t="s">
        <v>0</v>
      </c>
      <c r="K19" s="63">
        <v>162</v>
      </c>
      <c r="L19" s="50">
        <v>243</v>
      </c>
      <c r="M19" s="52">
        <v>3500</v>
      </c>
      <c r="N19" s="53">
        <v>5000</v>
      </c>
    </row>
    <row r="20" spans="2:15" ht="21.75" customHeight="1" thickBot="1" x14ac:dyDescent="0.4">
      <c r="B20" s="20" t="s">
        <v>18</v>
      </c>
      <c r="C20" s="3">
        <v>10752.43</v>
      </c>
      <c r="D20" s="3"/>
      <c r="E20" s="15">
        <f>+C20</f>
        <v>10752.43</v>
      </c>
      <c r="G20" s="1282"/>
      <c r="H20" s="1282"/>
      <c r="J20" s="58" t="s">
        <v>28</v>
      </c>
      <c r="K20" s="64">
        <v>150.5</v>
      </c>
      <c r="L20" s="50">
        <v>225.75</v>
      </c>
      <c r="M20" s="52">
        <v>3000</v>
      </c>
      <c r="N20" s="53">
        <v>5000</v>
      </c>
    </row>
    <row r="21" spans="2:15" ht="21.75" customHeight="1" thickBot="1" x14ac:dyDescent="0.4">
      <c r="B21" s="12" t="s">
        <v>11</v>
      </c>
      <c r="C21" s="26"/>
      <c r="D21" s="25"/>
      <c r="E21" s="27">
        <f>+E14+E15+E16+E17+E18-E19-E20</f>
        <v>7336.32</v>
      </c>
      <c r="G21" s="1282"/>
      <c r="H21" s="1282"/>
      <c r="J21" s="58" t="s">
        <v>15</v>
      </c>
      <c r="K21" s="64">
        <v>150.5</v>
      </c>
      <c r="L21" s="50">
        <v>225.75</v>
      </c>
      <c r="M21" s="52">
        <v>3000</v>
      </c>
      <c r="N21" s="53">
        <v>5000</v>
      </c>
    </row>
    <row r="22" spans="2:15" s="4" customFormat="1" ht="21.75" customHeight="1" thickBot="1" x14ac:dyDescent="0.4">
      <c r="B22" s="6"/>
      <c r="E22" s="7"/>
      <c r="G22" s="1282"/>
      <c r="H22" s="1283" t="s">
        <v>27</v>
      </c>
      <c r="I22"/>
      <c r="J22" s="58" t="s">
        <v>10</v>
      </c>
      <c r="K22" s="64">
        <v>141.25</v>
      </c>
      <c r="L22" s="50">
        <v>211.87</v>
      </c>
      <c r="M22" s="52">
        <v>3000</v>
      </c>
      <c r="N22" s="53">
        <v>5000</v>
      </c>
      <c r="O22"/>
    </row>
    <row r="23" spans="2:15" ht="21.75" customHeight="1" thickBot="1" x14ac:dyDescent="0.4">
      <c r="B23" s="1273" t="s">
        <v>15</v>
      </c>
      <c r="C23" s="1274"/>
      <c r="D23" s="1274"/>
      <c r="E23" s="1275"/>
      <c r="G23" s="1282"/>
      <c r="H23" s="1283"/>
      <c r="J23" s="58" t="s">
        <v>13</v>
      </c>
      <c r="K23" s="64">
        <v>141.25</v>
      </c>
      <c r="L23" s="50">
        <v>211.87</v>
      </c>
      <c r="M23" s="52">
        <v>3000</v>
      </c>
      <c r="N23" s="53">
        <v>5000</v>
      </c>
    </row>
    <row r="24" spans="2:15" ht="21.75" customHeight="1" x14ac:dyDescent="0.35">
      <c r="B24" s="16" t="s">
        <v>7</v>
      </c>
      <c r="C24" s="17" t="s">
        <v>8</v>
      </c>
      <c r="D24" s="17" t="s">
        <v>4</v>
      </c>
      <c r="E24" s="18" t="s">
        <v>9</v>
      </c>
      <c r="G24" s="1282"/>
      <c r="H24" s="1283"/>
      <c r="J24" s="59" t="s">
        <v>16</v>
      </c>
      <c r="K24" s="64">
        <v>130</v>
      </c>
      <c r="L24" s="50">
        <v>195</v>
      </c>
      <c r="M24" s="52">
        <v>3000</v>
      </c>
      <c r="N24" s="53">
        <v>5000</v>
      </c>
    </row>
    <row r="25" spans="2:15" s="1" customFormat="1" ht="21.75" customHeight="1" x14ac:dyDescent="0.35">
      <c r="B25" s="10" t="s">
        <v>3</v>
      </c>
      <c r="C25" s="3">
        <v>184</v>
      </c>
      <c r="D25" s="3">
        <v>150.5</v>
      </c>
      <c r="E25" s="11">
        <f>C25*D25</f>
        <v>27692</v>
      </c>
      <c r="G25" s="1282"/>
      <c r="H25" s="1283"/>
      <c r="I25" s="4"/>
      <c r="J25" s="59" t="s">
        <v>35</v>
      </c>
      <c r="K25" s="64">
        <v>110</v>
      </c>
      <c r="L25" s="50">
        <v>165</v>
      </c>
      <c r="M25" s="52"/>
      <c r="N25" s="53"/>
      <c r="O25" s="4"/>
    </row>
    <row r="26" spans="2:15" ht="21.75" customHeight="1" thickBot="1" x14ac:dyDescent="0.4">
      <c r="B26" s="10" t="s">
        <v>5</v>
      </c>
      <c r="C26" s="3">
        <v>8</v>
      </c>
      <c r="D26" s="3">
        <f>+D25*1.5</f>
        <v>225.75</v>
      </c>
      <c r="E26" s="11">
        <f>C26*D26</f>
        <v>1806</v>
      </c>
      <c r="G26" s="47"/>
      <c r="I26" s="67"/>
      <c r="J26" s="60" t="s">
        <v>17</v>
      </c>
      <c r="K26" s="65">
        <v>110</v>
      </c>
      <c r="L26" s="56">
        <v>165</v>
      </c>
      <c r="M26" s="54">
        <v>0</v>
      </c>
      <c r="N26" s="55">
        <v>5000</v>
      </c>
    </row>
    <row r="27" spans="2:15" ht="21.75" customHeight="1" x14ac:dyDescent="0.35">
      <c r="B27" s="10" t="s">
        <v>1</v>
      </c>
      <c r="C27" s="3">
        <v>0</v>
      </c>
      <c r="D27" s="3"/>
      <c r="E27" s="11">
        <f>+C27</f>
        <v>0</v>
      </c>
      <c r="I27" s="67" t="s">
        <v>45</v>
      </c>
      <c r="J27" s="48" t="s">
        <v>33</v>
      </c>
      <c r="K27" s="66" t="s">
        <v>34</v>
      </c>
      <c r="L27" s="49"/>
      <c r="M27" s="49"/>
    </row>
    <row r="28" spans="2:15" ht="21.75" customHeight="1" x14ac:dyDescent="0.35">
      <c r="B28" s="10" t="s">
        <v>2</v>
      </c>
      <c r="C28" s="3">
        <v>0</v>
      </c>
      <c r="D28" s="3"/>
      <c r="E28" s="11">
        <f>+C28</f>
        <v>0</v>
      </c>
      <c r="G28" s="1"/>
      <c r="H28" s="1"/>
      <c r="I28" s="1"/>
      <c r="J28" s="48"/>
      <c r="K28" s="66"/>
      <c r="L28" s="49"/>
      <c r="M28" s="49"/>
      <c r="O28" s="1"/>
    </row>
    <row r="29" spans="2:15" ht="21.75" customHeight="1" x14ac:dyDescent="0.35">
      <c r="B29" s="10" t="s">
        <v>6</v>
      </c>
      <c r="C29" s="3">
        <v>8000</v>
      </c>
      <c r="D29" s="3"/>
      <c r="E29" s="11">
        <f>+C29</f>
        <v>8000</v>
      </c>
      <c r="J29" s="1"/>
      <c r="K29" s="51"/>
      <c r="L29" s="51"/>
      <c r="M29" s="51"/>
      <c r="N29" s="1"/>
    </row>
    <row r="30" spans="2:15" ht="21.75" customHeight="1" thickBot="1" x14ac:dyDescent="0.4">
      <c r="B30" s="19" t="s">
        <v>19</v>
      </c>
      <c r="C30" s="3">
        <v>3000</v>
      </c>
      <c r="D30" s="3"/>
      <c r="E30" s="23">
        <f>+C30</f>
        <v>3000</v>
      </c>
    </row>
    <row r="31" spans="2:15" ht="21.75" customHeight="1" thickBot="1" x14ac:dyDescent="0.4">
      <c r="B31" s="12" t="s">
        <v>11</v>
      </c>
      <c r="C31" s="13"/>
      <c r="D31" s="14"/>
      <c r="E31" s="27">
        <f>+E25+E26+E27+E28+E29-E30</f>
        <v>34498</v>
      </c>
      <c r="J31" s="1289" t="s">
        <v>59</v>
      </c>
      <c r="K31" s="1289"/>
      <c r="L31" s="1289"/>
      <c r="M31" s="1289"/>
      <c r="N31" s="1289"/>
      <c r="O31" s="106"/>
    </row>
    <row r="32" spans="2:15" ht="11.25" customHeight="1" thickBot="1" x14ac:dyDescent="0.4">
      <c r="M32" s="49"/>
      <c r="N32" s="49"/>
    </row>
    <row r="33" spans="2:15" ht="21.75" customHeight="1" thickBot="1" x14ac:dyDescent="0.6">
      <c r="B33" s="1284" t="s">
        <v>16</v>
      </c>
      <c r="C33" s="1285"/>
      <c r="D33" s="1285"/>
      <c r="E33" s="1286"/>
      <c r="J33" s="112" t="s">
        <v>46</v>
      </c>
      <c r="K33" s="91"/>
      <c r="L33" s="92"/>
      <c r="M33" s="92"/>
      <c r="N33" s="93"/>
    </row>
    <row r="34" spans="2:15" ht="21.75" customHeight="1" x14ac:dyDescent="0.35">
      <c r="B34" s="16" t="s">
        <v>7</v>
      </c>
      <c r="C34" s="17" t="s">
        <v>8</v>
      </c>
      <c r="D34" s="17" t="s">
        <v>4</v>
      </c>
      <c r="E34" s="18" t="s">
        <v>9</v>
      </c>
      <c r="J34" s="94"/>
      <c r="K34" s="95" t="s">
        <v>47</v>
      </c>
      <c r="L34" s="96">
        <v>603.6</v>
      </c>
      <c r="M34" s="96"/>
      <c r="N34" s="97"/>
    </row>
    <row r="35" spans="2:15" ht="21.75" customHeight="1" x14ac:dyDescent="0.35">
      <c r="B35" s="10" t="s">
        <v>3</v>
      </c>
      <c r="C35" s="3">
        <v>184</v>
      </c>
      <c r="D35" s="3">
        <v>130</v>
      </c>
      <c r="E35" s="11">
        <f>C35*D35</f>
        <v>23920</v>
      </c>
      <c r="J35" s="94"/>
      <c r="K35" s="95" t="s">
        <v>48</v>
      </c>
      <c r="L35" s="96">
        <v>1495</v>
      </c>
      <c r="M35" s="96"/>
      <c r="N35" s="97"/>
    </row>
    <row r="36" spans="2:15" s="1" customFormat="1" ht="21.75" customHeight="1" x14ac:dyDescent="0.35">
      <c r="B36" s="10" t="s">
        <v>5</v>
      </c>
      <c r="C36" s="3">
        <v>3.5</v>
      </c>
      <c r="D36" s="3">
        <f>+D35*1.5</f>
        <v>195</v>
      </c>
      <c r="E36" s="11">
        <f>C36*D36</f>
        <v>682.5</v>
      </c>
      <c r="G36"/>
      <c r="J36" s="98"/>
      <c r="K36" s="95" t="s">
        <v>49</v>
      </c>
      <c r="L36" s="96">
        <v>2600</v>
      </c>
      <c r="M36" s="96"/>
      <c r="N36" s="97"/>
      <c r="O36"/>
    </row>
    <row r="37" spans="2:15" ht="21.75" customHeight="1" x14ac:dyDescent="0.35">
      <c r="B37" s="10" t="s">
        <v>1</v>
      </c>
      <c r="C37" s="3">
        <v>0</v>
      </c>
      <c r="D37" s="3"/>
      <c r="E37" s="11">
        <f>+C37</f>
        <v>0</v>
      </c>
      <c r="J37" s="98">
        <v>44214</v>
      </c>
      <c r="K37" s="95" t="s">
        <v>50</v>
      </c>
      <c r="L37" s="96"/>
      <c r="M37" s="96">
        <v>30000</v>
      </c>
      <c r="N37" s="97"/>
    </row>
    <row r="38" spans="2:15" ht="21.75" customHeight="1" thickBot="1" x14ac:dyDescent="0.4">
      <c r="B38" s="10" t="s">
        <v>2</v>
      </c>
      <c r="C38" s="3">
        <v>0</v>
      </c>
      <c r="D38" s="3"/>
      <c r="E38" s="11">
        <f>+C38</f>
        <v>0</v>
      </c>
      <c r="J38" s="99"/>
      <c r="K38" s="95" t="s">
        <v>56</v>
      </c>
      <c r="L38" s="96"/>
      <c r="M38" s="96">
        <v>900</v>
      </c>
      <c r="N38" s="97"/>
    </row>
    <row r="39" spans="2:15" ht="21.75" customHeight="1" thickBot="1" x14ac:dyDescent="0.4">
      <c r="B39" s="10" t="s">
        <v>6</v>
      </c>
      <c r="C39" s="3">
        <v>8000</v>
      </c>
      <c r="D39" s="3"/>
      <c r="E39" s="11">
        <f>+C39</f>
        <v>8000</v>
      </c>
      <c r="J39" s="99"/>
      <c r="K39" s="95" t="s">
        <v>57</v>
      </c>
      <c r="L39" s="108">
        <v>10310</v>
      </c>
      <c r="M39" s="96"/>
      <c r="N39" s="97"/>
      <c r="O39" s="1"/>
    </row>
    <row r="40" spans="2:15" ht="21.75" customHeight="1" thickBot="1" x14ac:dyDescent="0.4">
      <c r="B40" s="19" t="s">
        <v>19</v>
      </c>
      <c r="C40" s="3">
        <v>3000</v>
      </c>
      <c r="D40" s="3"/>
      <c r="E40" s="23">
        <f>+C40</f>
        <v>3000</v>
      </c>
      <c r="G40" s="1"/>
      <c r="J40" s="99"/>
      <c r="K40" s="95"/>
      <c r="L40" s="96"/>
      <c r="M40" s="96"/>
      <c r="N40" s="97"/>
    </row>
    <row r="41" spans="2:15" ht="21.75" customHeight="1" thickBot="1" x14ac:dyDescent="0.4">
      <c r="B41" s="12" t="s">
        <v>11</v>
      </c>
      <c r="C41" s="13"/>
      <c r="D41" s="14"/>
      <c r="E41" s="27">
        <f>+E35+E36+E37+E38+E39-E40</f>
        <v>29602.5</v>
      </c>
      <c r="J41" s="99"/>
      <c r="K41" s="95"/>
      <c r="L41" s="96"/>
      <c r="M41" s="96"/>
      <c r="N41" s="97"/>
    </row>
    <row r="42" spans="2:15" ht="23.25" customHeight="1" thickBot="1" x14ac:dyDescent="0.4">
      <c r="J42" s="100"/>
      <c r="K42" s="95"/>
      <c r="L42" s="96"/>
      <c r="M42" s="96"/>
      <c r="N42" s="97"/>
    </row>
    <row r="43" spans="2:15" ht="21.75" customHeight="1" x14ac:dyDescent="0.35">
      <c r="B43" s="1276" t="s">
        <v>0</v>
      </c>
      <c r="C43" s="1277"/>
      <c r="D43" s="1277"/>
      <c r="E43" s="1278"/>
      <c r="J43" s="100"/>
      <c r="K43" s="101"/>
      <c r="L43" s="96"/>
      <c r="M43" s="102"/>
      <c r="N43" s="103"/>
    </row>
    <row r="44" spans="2:15" ht="21.75" customHeight="1" x14ac:dyDescent="0.35">
      <c r="B44" s="8" t="s">
        <v>7</v>
      </c>
      <c r="C44" s="2" t="s">
        <v>8</v>
      </c>
      <c r="D44" s="2" t="s">
        <v>4</v>
      </c>
      <c r="E44" s="9" t="s">
        <v>9</v>
      </c>
      <c r="G44">
        <f>31+162</f>
        <v>193</v>
      </c>
      <c r="J44" s="113" t="s">
        <v>51</v>
      </c>
      <c r="K44" s="95"/>
      <c r="L44" s="102"/>
      <c r="M44" s="96"/>
      <c r="N44" s="97"/>
    </row>
    <row r="45" spans="2:15" ht="21.75" customHeight="1" x14ac:dyDescent="0.35">
      <c r="B45" s="10" t="s">
        <v>3</v>
      </c>
      <c r="C45" s="3">
        <v>184</v>
      </c>
      <c r="D45" s="3">
        <v>162</v>
      </c>
      <c r="E45" s="11">
        <f>C45*D45</f>
        <v>29808</v>
      </c>
      <c r="J45" s="100"/>
      <c r="K45" s="95"/>
      <c r="L45" s="96"/>
      <c r="M45" s="96"/>
      <c r="N45" s="97"/>
    </row>
    <row r="46" spans="2:15" ht="21.75" customHeight="1" x14ac:dyDescent="0.35">
      <c r="B46" s="10" t="s">
        <v>5</v>
      </c>
      <c r="C46" s="3">
        <v>4</v>
      </c>
      <c r="D46" s="3">
        <f>+D45*1.5</f>
        <v>243</v>
      </c>
      <c r="E46" s="11">
        <f>C46*D46</f>
        <v>972</v>
      </c>
      <c r="J46" s="100"/>
      <c r="K46" s="95" t="s">
        <v>52</v>
      </c>
      <c r="L46" s="96"/>
      <c r="M46" s="96">
        <v>1000</v>
      </c>
      <c r="N46" s="97"/>
    </row>
    <row r="47" spans="2:15" s="1" customFormat="1" ht="21.75" customHeight="1" x14ac:dyDescent="0.35">
      <c r="B47" s="10" t="s">
        <v>1</v>
      </c>
      <c r="C47" s="3">
        <v>0</v>
      </c>
      <c r="D47" s="3"/>
      <c r="E47" s="11">
        <f t="shared" ref="E47:E52" si="2">+C47</f>
        <v>0</v>
      </c>
      <c r="G47"/>
      <c r="J47" s="107">
        <v>44214</v>
      </c>
      <c r="K47" s="95" t="s">
        <v>19</v>
      </c>
      <c r="L47" s="96"/>
      <c r="M47" s="96">
        <v>30000</v>
      </c>
      <c r="N47" s="97"/>
      <c r="O47"/>
    </row>
    <row r="48" spans="2:15" ht="21.75" customHeight="1" thickBot="1" x14ac:dyDescent="0.4">
      <c r="B48" s="10" t="s">
        <v>37</v>
      </c>
      <c r="C48" s="3">
        <v>18144</v>
      </c>
      <c r="D48" s="3"/>
      <c r="E48" s="11">
        <f t="shared" si="2"/>
        <v>18144</v>
      </c>
      <c r="F48" s="1287" t="s">
        <v>36</v>
      </c>
      <c r="G48" s="1288"/>
      <c r="J48" s="100"/>
      <c r="K48" s="95" t="s">
        <v>18</v>
      </c>
      <c r="L48" s="96"/>
      <c r="M48" s="96">
        <v>45000</v>
      </c>
      <c r="N48" s="97"/>
    </row>
    <row r="49" spans="2:15" ht="21.75" customHeight="1" thickBot="1" x14ac:dyDescent="0.4">
      <c r="B49" s="10" t="s">
        <v>6</v>
      </c>
      <c r="C49" s="3">
        <f>8500+5000</f>
        <v>13500</v>
      </c>
      <c r="D49" s="3"/>
      <c r="E49" s="11">
        <f t="shared" si="2"/>
        <v>13500</v>
      </c>
      <c r="F49" s="1287"/>
      <c r="G49" s="1288"/>
      <c r="J49" s="100"/>
      <c r="K49" s="95" t="s">
        <v>55</v>
      </c>
      <c r="L49" s="96"/>
      <c r="M49" s="108"/>
      <c r="N49" s="97"/>
    </row>
    <row r="50" spans="2:15" ht="21.75" customHeight="1" x14ac:dyDescent="0.35">
      <c r="B50" s="19" t="s">
        <v>19</v>
      </c>
      <c r="C50" s="3">
        <v>33720</v>
      </c>
      <c r="D50" s="3"/>
      <c r="E50" s="22">
        <f t="shared" si="2"/>
        <v>33720</v>
      </c>
      <c r="F50">
        <v>30000</v>
      </c>
      <c r="J50" s="100"/>
      <c r="K50" s="95" t="s">
        <v>58</v>
      </c>
      <c r="L50" s="96">
        <v>2000</v>
      </c>
      <c r="M50" s="96"/>
      <c r="N50" s="97"/>
      <c r="O50" s="1"/>
    </row>
    <row r="51" spans="2:15" ht="21.75" customHeight="1" x14ac:dyDescent="0.35">
      <c r="B51" s="20" t="s">
        <v>18</v>
      </c>
      <c r="C51" s="21">
        <v>12345.99</v>
      </c>
      <c r="D51" s="3"/>
      <c r="E51" s="22">
        <f t="shared" si="2"/>
        <v>12345.99</v>
      </c>
      <c r="F51" s="49"/>
      <c r="G51" s="1"/>
      <c r="J51" s="100"/>
      <c r="K51" s="95"/>
      <c r="L51" s="96"/>
      <c r="M51" s="96"/>
      <c r="N51" s="97"/>
    </row>
    <row r="52" spans="2:15" ht="21.75" customHeight="1" thickBot="1" x14ac:dyDescent="0.4">
      <c r="B52" s="20" t="s">
        <v>38</v>
      </c>
      <c r="C52" s="21">
        <v>10047.6</v>
      </c>
      <c r="D52" s="3"/>
      <c r="E52" s="23">
        <f t="shared" si="2"/>
        <v>10047.6</v>
      </c>
      <c r="I52" s="90"/>
      <c r="J52" s="100"/>
      <c r="K52" s="95"/>
      <c r="L52" s="96"/>
      <c r="M52" s="96"/>
      <c r="N52" s="97"/>
    </row>
    <row r="53" spans="2:15" ht="21.75" customHeight="1" thickBot="1" x14ac:dyDescent="0.4">
      <c r="B53" s="12" t="s">
        <v>11</v>
      </c>
      <c r="C53" s="13"/>
      <c r="D53" s="13"/>
      <c r="E53" s="27">
        <f>+E45+E46+E48+E49-E50-E51-E52</f>
        <v>6310.41</v>
      </c>
      <c r="I53" s="90"/>
      <c r="J53" s="100"/>
      <c r="K53" s="95"/>
      <c r="L53" s="96"/>
      <c r="M53" s="96"/>
      <c r="N53" s="97"/>
    </row>
    <row r="54" spans="2:15" ht="25.5" customHeight="1" thickBot="1" x14ac:dyDescent="0.4">
      <c r="J54" s="100"/>
      <c r="K54" s="95"/>
      <c r="L54" s="96"/>
      <c r="M54" s="96"/>
      <c r="N54" s="97"/>
    </row>
    <row r="55" spans="2:15" ht="21.75" customHeight="1" x14ac:dyDescent="0.35">
      <c r="B55" s="1276" t="s">
        <v>28</v>
      </c>
      <c r="C55" s="1277"/>
      <c r="D55" s="1277"/>
      <c r="E55" s="1278"/>
      <c r="J55" s="113" t="s">
        <v>54</v>
      </c>
      <c r="K55" s="95"/>
      <c r="L55" s="96"/>
      <c r="M55" s="96"/>
      <c r="N55" s="97"/>
    </row>
    <row r="56" spans="2:15" ht="21.75" customHeight="1" thickBot="1" x14ac:dyDescent="0.4">
      <c r="B56" s="8" t="s">
        <v>7</v>
      </c>
      <c r="C56" s="2" t="s">
        <v>8</v>
      </c>
      <c r="D56" s="2" t="s">
        <v>4</v>
      </c>
      <c r="E56" s="9" t="s">
        <v>9</v>
      </c>
      <c r="J56" s="98">
        <v>44214</v>
      </c>
      <c r="K56" s="95" t="s">
        <v>19</v>
      </c>
      <c r="L56" s="96"/>
      <c r="M56" s="96">
        <v>30000</v>
      </c>
      <c r="N56" s="97"/>
    </row>
    <row r="57" spans="2:15" ht="21.75" customHeight="1" thickBot="1" x14ac:dyDescent="0.4">
      <c r="B57" s="10" t="s">
        <v>3</v>
      </c>
      <c r="C57" s="3">
        <v>184</v>
      </c>
      <c r="D57" s="3">
        <v>150.5</v>
      </c>
      <c r="E57" s="11">
        <f>C57*D57</f>
        <v>27692</v>
      </c>
      <c r="J57" s="94"/>
      <c r="K57" s="95" t="s">
        <v>53</v>
      </c>
      <c r="L57" s="108"/>
      <c r="M57" s="96"/>
      <c r="N57" s="97"/>
    </row>
    <row r="58" spans="2:15" ht="21.75" customHeight="1" x14ac:dyDescent="0.35">
      <c r="B58" s="10" t="s">
        <v>5</v>
      </c>
      <c r="C58" s="3">
        <v>17</v>
      </c>
      <c r="D58" s="3">
        <f>+D57*1.5</f>
        <v>225.75</v>
      </c>
      <c r="E58" s="11">
        <f>C58*D58</f>
        <v>3837.75</v>
      </c>
      <c r="J58" s="94"/>
      <c r="K58" s="95"/>
      <c r="L58" s="96"/>
      <c r="M58" s="96"/>
      <c r="N58" s="97"/>
    </row>
    <row r="59" spans="2:15" s="1" customFormat="1" ht="21.75" customHeight="1" x14ac:dyDescent="0.35">
      <c r="B59" s="10" t="s">
        <v>1</v>
      </c>
      <c r="C59" s="3">
        <v>0</v>
      </c>
      <c r="D59" s="3"/>
      <c r="E59" s="11">
        <f>+C59</f>
        <v>0</v>
      </c>
      <c r="G59"/>
      <c r="H59"/>
      <c r="I59"/>
      <c r="J59" s="94"/>
      <c r="K59" s="95"/>
      <c r="L59" s="96"/>
      <c r="M59" s="96"/>
      <c r="N59" s="97"/>
      <c r="O59"/>
    </row>
    <row r="60" spans="2:15" ht="21.75" customHeight="1" x14ac:dyDescent="0.35">
      <c r="B60" s="10" t="s">
        <v>2</v>
      </c>
      <c r="C60" s="3">
        <v>0</v>
      </c>
      <c r="D60" s="3"/>
      <c r="E60" s="11">
        <f>+C60</f>
        <v>0</v>
      </c>
      <c r="J60" s="94"/>
      <c r="K60" s="95"/>
      <c r="L60" s="96"/>
      <c r="M60" s="96"/>
      <c r="N60" s="97"/>
    </row>
    <row r="61" spans="2:15" ht="21.75" customHeight="1" x14ac:dyDescent="0.35">
      <c r="B61" s="10" t="s">
        <v>6</v>
      </c>
      <c r="C61" s="3">
        <v>13000</v>
      </c>
      <c r="D61" s="3"/>
      <c r="E61" s="11">
        <f>+C61</f>
        <v>13000</v>
      </c>
      <c r="J61" s="94"/>
      <c r="K61" s="95"/>
      <c r="L61" s="96"/>
      <c r="M61" s="96"/>
      <c r="N61" s="97"/>
    </row>
    <row r="62" spans="2:15" ht="21.75" customHeight="1" thickBot="1" x14ac:dyDescent="0.4">
      <c r="B62" s="19" t="s">
        <v>19</v>
      </c>
      <c r="C62" s="3">
        <v>1000</v>
      </c>
      <c r="D62" s="3"/>
      <c r="E62" s="23">
        <f>+C62</f>
        <v>1000</v>
      </c>
      <c r="J62" s="94"/>
      <c r="K62" s="95"/>
      <c r="L62" s="96"/>
      <c r="M62" s="96"/>
      <c r="N62" s="97"/>
      <c r="O62" s="1"/>
    </row>
    <row r="63" spans="2:15" ht="21.75" customHeight="1" thickBot="1" x14ac:dyDescent="0.4">
      <c r="B63" s="12" t="s">
        <v>11</v>
      </c>
      <c r="C63" s="13"/>
      <c r="D63" s="14"/>
      <c r="E63" s="27">
        <f>+E57+E58+E59+E60+E61-E62</f>
        <v>43529.75</v>
      </c>
      <c r="F63" s="114">
        <v>51503.75</v>
      </c>
      <c r="G63" s="1"/>
      <c r="H63" s="1"/>
      <c r="I63" s="1"/>
      <c r="J63" s="104"/>
      <c r="K63" s="105"/>
      <c r="L63" s="109"/>
      <c r="M63" s="110"/>
      <c r="N63" s="111"/>
    </row>
    <row r="64" spans="2:15" ht="9" customHeight="1" thickBot="1" x14ac:dyDescent="0.4">
      <c r="J64" s="1"/>
    </row>
    <row r="65" spans="2:15" ht="21.75" customHeight="1" x14ac:dyDescent="0.35">
      <c r="B65" s="1276" t="s">
        <v>17</v>
      </c>
      <c r="C65" s="1277"/>
      <c r="D65" s="1277"/>
      <c r="E65" s="1278"/>
    </row>
    <row r="66" spans="2:15" ht="21.75" customHeight="1" x14ac:dyDescent="0.35">
      <c r="B66" s="8" t="s">
        <v>7</v>
      </c>
      <c r="C66" s="2" t="s">
        <v>8</v>
      </c>
      <c r="D66" s="2" t="s">
        <v>4</v>
      </c>
      <c r="E66" s="9" t="s">
        <v>9</v>
      </c>
    </row>
    <row r="67" spans="2:15" ht="21.75" customHeight="1" x14ac:dyDescent="0.35">
      <c r="B67" s="10" t="s">
        <v>3</v>
      </c>
      <c r="C67" s="3">
        <v>184</v>
      </c>
      <c r="D67" s="3">
        <v>110</v>
      </c>
      <c r="E67" s="11">
        <f>C67*D67</f>
        <v>20240</v>
      </c>
    </row>
    <row r="68" spans="2:15" ht="21.75" customHeight="1" x14ac:dyDescent="0.35">
      <c r="B68" s="10" t="s">
        <v>5</v>
      </c>
      <c r="C68" s="3">
        <v>6</v>
      </c>
      <c r="D68" s="3">
        <f>+D67*1.5</f>
        <v>165</v>
      </c>
      <c r="E68" s="11">
        <f>C68*D68</f>
        <v>990</v>
      </c>
    </row>
    <row r="69" spans="2:15" s="1" customFormat="1" ht="21.75" customHeight="1" x14ac:dyDescent="0.35">
      <c r="B69" s="10" t="s">
        <v>1</v>
      </c>
      <c r="C69" s="3">
        <v>0</v>
      </c>
      <c r="D69" s="3"/>
      <c r="E69" s="11">
        <f>+C69</f>
        <v>0</v>
      </c>
      <c r="G69"/>
      <c r="H69"/>
      <c r="I69"/>
      <c r="J69"/>
      <c r="K69"/>
      <c r="L69"/>
      <c r="M69"/>
      <c r="N69"/>
      <c r="O69"/>
    </row>
    <row r="70" spans="2:15" ht="21.75" customHeight="1" x14ac:dyDescent="0.35">
      <c r="B70" s="10" t="s">
        <v>2</v>
      </c>
      <c r="C70" s="3">
        <v>0</v>
      </c>
      <c r="D70" s="3"/>
      <c r="E70" s="11">
        <f>+C70</f>
        <v>0</v>
      </c>
    </row>
    <row r="71" spans="2:15" ht="21.75" customHeight="1" x14ac:dyDescent="0.35">
      <c r="B71" s="10" t="s">
        <v>6</v>
      </c>
      <c r="C71" s="3">
        <v>5000</v>
      </c>
      <c r="D71" s="3"/>
      <c r="E71" s="24">
        <f>+C71</f>
        <v>5000</v>
      </c>
    </row>
    <row r="72" spans="2:15" ht="21.75" customHeight="1" thickBot="1" x14ac:dyDescent="0.4">
      <c r="B72" s="19" t="s">
        <v>19</v>
      </c>
      <c r="C72" s="3">
        <v>0</v>
      </c>
      <c r="D72" s="3"/>
      <c r="E72" s="23">
        <f>+C72</f>
        <v>0</v>
      </c>
      <c r="O72" s="1"/>
    </row>
    <row r="73" spans="2:15" ht="21.75" customHeight="1" thickBot="1" x14ac:dyDescent="0.4">
      <c r="B73" s="12" t="s">
        <v>11</v>
      </c>
      <c r="C73" s="13"/>
      <c r="D73" s="14"/>
      <c r="E73" s="27">
        <f>+E67+E68+E69+E70+E71-E72</f>
        <v>26230</v>
      </c>
      <c r="G73" s="1"/>
      <c r="H73" s="1"/>
      <c r="I73" s="1"/>
    </row>
    <row r="74" spans="2:15" ht="18" customHeight="1" thickBot="1" x14ac:dyDescent="0.4"/>
    <row r="75" spans="2:15" ht="18" customHeight="1" x14ac:dyDescent="0.35">
      <c r="B75" s="1276" t="s">
        <v>35</v>
      </c>
      <c r="C75" s="1277"/>
      <c r="D75" s="1277"/>
      <c r="E75" s="1278"/>
      <c r="K75" s="1"/>
      <c r="L75" s="1"/>
      <c r="M75" s="1"/>
      <c r="N75" s="1"/>
    </row>
    <row r="76" spans="2:15" ht="21.75" customHeight="1" x14ac:dyDescent="0.35">
      <c r="B76" s="8" t="s">
        <v>7</v>
      </c>
      <c r="C76" s="2" t="s">
        <v>8</v>
      </c>
      <c r="D76" s="2" t="s">
        <v>4</v>
      </c>
      <c r="E76" s="9" t="s">
        <v>9</v>
      </c>
      <c r="J76" s="1"/>
    </row>
    <row r="77" spans="2:15" ht="18" customHeight="1" x14ac:dyDescent="0.35">
      <c r="B77" s="10" t="s">
        <v>3</v>
      </c>
      <c r="C77" s="3">
        <f>+(7*9)+(2*8)</f>
        <v>79</v>
      </c>
      <c r="D77" s="3">
        <v>110</v>
      </c>
      <c r="E77" s="11">
        <f>C77*D77</f>
        <v>8690</v>
      </c>
    </row>
    <row r="78" spans="2:15" ht="18" customHeight="1" x14ac:dyDescent="0.35">
      <c r="B78" s="10" t="s">
        <v>5</v>
      </c>
      <c r="C78" s="3">
        <v>0</v>
      </c>
      <c r="D78" s="3">
        <f>+D77*1.5</f>
        <v>165</v>
      </c>
      <c r="E78" s="11">
        <f>+C78*D78</f>
        <v>0</v>
      </c>
    </row>
    <row r="79" spans="2:15" ht="18" customHeight="1" x14ac:dyDescent="0.35">
      <c r="B79" s="10" t="s">
        <v>1</v>
      </c>
      <c r="C79" s="3">
        <v>0</v>
      </c>
      <c r="D79" s="3"/>
      <c r="E79" s="11">
        <f>+C79</f>
        <v>0</v>
      </c>
    </row>
    <row r="80" spans="2:15" ht="18" customHeight="1" x14ac:dyDescent="0.35">
      <c r="B80" s="10" t="s">
        <v>2</v>
      </c>
      <c r="C80" s="3">
        <v>0</v>
      </c>
      <c r="D80" s="3"/>
      <c r="E80" s="11">
        <f>+C80</f>
        <v>0</v>
      </c>
    </row>
    <row r="81" spans="2:14" ht="18" customHeight="1" x14ac:dyDescent="0.35">
      <c r="B81" s="10" t="s">
        <v>6</v>
      </c>
      <c r="C81" s="3">
        <v>0</v>
      </c>
      <c r="D81" s="3">
        <v>0</v>
      </c>
      <c r="E81" s="24">
        <f>+C81</f>
        <v>0</v>
      </c>
    </row>
    <row r="82" spans="2:14" ht="18" customHeight="1" thickBot="1" x14ac:dyDescent="0.4">
      <c r="B82" s="19" t="s">
        <v>19</v>
      </c>
      <c r="C82" s="3">
        <v>0</v>
      </c>
      <c r="D82" s="3"/>
      <c r="E82" s="23">
        <f>+C82</f>
        <v>0</v>
      </c>
    </row>
    <row r="83" spans="2:14" ht="18" customHeight="1" thickBot="1" x14ac:dyDescent="0.4">
      <c r="B83" s="12" t="s">
        <v>11</v>
      </c>
      <c r="C83" s="13"/>
      <c r="D83" s="14"/>
      <c r="E83" s="27">
        <f>+E77+E78+E79+E80+E81-E82</f>
        <v>8690</v>
      </c>
    </row>
    <row r="84" spans="2:14" ht="18" customHeight="1" thickBot="1" x14ac:dyDescent="0.4"/>
    <row r="85" spans="2:14" ht="18" customHeight="1" x14ac:dyDescent="0.35">
      <c r="B85" s="1276" t="s">
        <v>39</v>
      </c>
      <c r="C85" s="1277"/>
      <c r="D85" s="1277"/>
      <c r="E85" s="1278"/>
      <c r="K85" s="1"/>
      <c r="L85" s="1"/>
      <c r="M85" s="1"/>
      <c r="N85" s="1"/>
    </row>
    <row r="86" spans="2:14" ht="18" customHeight="1" x14ac:dyDescent="0.35">
      <c r="B86" s="8" t="s">
        <v>7</v>
      </c>
      <c r="C86" s="2" t="s">
        <v>8</v>
      </c>
      <c r="D86" s="2" t="s">
        <v>4</v>
      </c>
      <c r="E86" s="9" t="s">
        <v>9</v>
      </c>
      <c r="J86" s="1"/>
    </row>
    <row r="87" spans="2:14" ht="21.75" customHeight="1" x14ac:dyDescent="0.35">
      <c r="B87" s="10" t="s">
        <v>3</v>
      </c>
      <c r="C87" s="3"/>
      <c r="D87" s="3"/>
      <c r="E87" s="11">
        <v>25000</v>
      </c>
    </row>
    <row r="88" spans="2:14" ht="18" customHeight="1" x14ac:dyDescent="0.35">
      <c r="B88" s="10" t="s">
        <v>5</v>
      </c>
      <c r="C88" s="3">
        <v>4</v>
      </c>
      <c r="D88" s="3">
        <f>+E87/8/20*(1.5)</f>
        <v>234.375</v>
      </c>
      <c r="E88" s="11">
        <f>C88*D88</f>
        <v>937.5</v>
      </c>
    </row>
    <row r="89" spans="2:14" ht="18" customHeight="1" x14ac:dyDescent="0.35">
      <c r="B89" s="10" t="s">
        <v>40</v>
      </c>
      <c r="C89" s="3">
        <v>7</v>
      </c>
      <c r="D89" s="3">
        <f>+E87/20</f>
        <v>1250</v>
      </c>
      <c r="E89" s="11">
        <f>+C89*D89</f>
        <v>8750</v>
      </c>
    </row>
    <row r="90" spans="2:14" ht="18" customHeight="1" x14ac:dyDescent="0.35">
      <c r="B90" s="10" t="s">
        <v>2</v>
      </c>
      <c r="C90" s="3">
        <v>0</v>
      </c>
      <c r="D90" s="3"/>
      <c r="E90" s="11">
        <f>+C90</f>
        <v>0</v>
      </c>
    </row>
    <row r="91" spans="2:14" ht="18" customHeight="1" x14ac:dyDescent="0.35">
      <c r="B91" s="10" t="s">
        <v>6</v>
      </c>
      <c r="C91" s="3">
        <v>0</v>
      </c>
      <c r="D91" s="3"/>
      <c r="E91" s="24">
        <f>+C91</f>
        <v>0</v>
      </c>
    </row>
    <row r="92" spans="2:14" ht="18" customHeight="1" thickBot="1" x14ac:dyDescent="0.4">
      <c r="B92" s="19" t="s">
        <v>19</v>
      </c>
      <c r="C92" s="3">
        <v>0</v>
      </c>
      <c r="D92" s="3"/>
      <c r="E92" s="23">
        <f>+C92</f>
        <v>0</v>
      </c>
    </row>
    <row r="93" spans="2:14" ht="18" customHeight="1" thickBot="1" x14ac:dyDescent="0.4">
      <c r="B93" s="12" t="s">
        <v>11</v>
      </c>
      <c r="C93" s="13"/>
      <c r="D93" s="14"/>
      <c r="E93" s="27">
        <f>+E87+E88+E89+E90+E91-E92</f>
        <v>34687.5</v>
      </c>
    </row>
    <row r="94" spans="2:14" ht="18" customHeight="1" thickBot="1" x14ac:dyDescent="0.4"/>
    <row r="95" spans="2:14" ht="18" customHeight="1" x14ac:dyDescent="0.35">
      <c r="B95" s="1276" t="s">
        <v>41</v>
      </c>
      <c r="C95" s="1277"/>
      <c r="D95" s="1277"/>
      <c r="E95" s="1278"/>
    </row>
    <row r="96" spans="2:14" ht="18" customHeight="1" x14ac:dyDescent="0.35">
      <c r="B96" s="8" t="s">
        <v>7</v>
      </c>
      <c r="C96" s="2" t="s">
        <v>8</v>
      </c>
      <c r="D96" s="2" t="s">
        <v>4</v>
      </c>
      <c r="E96" s="9" t="s">
        <v>9</v>
      </c>
    </row>
    <row r="97" spans="2:5" ht="21.75" customHeight="1" x14ac:dyDescent="0.35">
      <c r="B97" s="10" t="s">
        <v>3</v>
      </c>
      <c r="C97" s="3">
        <v>88</v>
      </c>
      <c r="D97" s="3">
        <v>375</v>
      </c>
      <c r="E97" s="11">
        <f>+C97*D97</f>
        <v>33000</v>
      </c>
    </row>
    <row r="98" spans="2:5" ht="18" customHeight="1" x14ac:dyDescent="0.35">
      <c r="B98" s="10" t="s">
        <v>5</v>
      </c>
      <c r="C98" s="3"/>
      <c r="D98" s="3"/>
      <c r="E98" s="11">
        <f>C98*D98</f>
        <v>0</v>
      </c>
    </row>
    <row r="99" spans="2:5" ht="18" customHeight="1" thickBot="1" x14ac:dyDescent="0.4">
      <c r="B99" s="19" t="s">
        <v>19</v>
      </c>
      <c r="C99" s="3">
        <v>0</v>
      </c>
      <c r="D99" s="3"/>
      <c r="E99" s="23">
        <f>+C99</f>
        <v>0</v>
      </c>
    </row>
    <row r="100" spans="2:5" ht="18" customHeight="1" thickBot="1" x14ac:dyDescent="0.4">
      <c r="B100" s="12" t="s">
        <v>11</v>
      </c>
      <c r="C100" s="13"/>
      <c r="D100" s="14"/>
      <c r="E100" s="27">
        <f>+E97+E98-E99</f>
        <v>33000</v>
      </c>
    </row>
  </sheetData>
  <sheetProtection password="C18A" sheet="1" objects="1" scenarios="1"/>
  <autoFilter ref="G1:O27" xr:uid="{00000000-0009-0000-0000-000001000000}"/>
  <mergeCells count="17">
    <mergeCell ref="B1:E1"/>
    <mergeCell ref="G12:L12"/>
    <mergeCell ref="B12:E12"/>
    <mergeCell ref="G19:G25"/>
    <mergeCell ref="H19:H21"/>
    <mergeCell ref="H22:H25"/>
    <mergeCell ref="B23:E23"/>
    <mergeCell ref="F48:G49"/>
    <mergeCell ref="J31:N31"/>
    <mergeCell ref="N13:P13"/>
    <mergeCell ref="B95:E95"/>
    <mergeCell ref="B75:E75"/>
    <mergeCell ref="B85:E85"/>
    <mergeCell ref="B33:E33"/>
    <mergeCell ref="B43:E43"/>
    <mergeCell ref="B55:E55"/>
    <mergeCell ref="B65:E65"/>
  </mergeCells>
  <pageMargins left="0.31496062992125984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0"/>
  <sheetViews>
    <sheetView topLeftCell="A25" workbookViewId="0">
      <selection activeCell="G28" sqref="G28"/>
    </sheetView>
  </sheetViews>
  <sheetFormatPr baseColWidth="10" defaultRowHeight="18" customHeight="1" x14ac:dyDescent="0.35"/>
  <cols>
    <col min="2" max="2" width="23.6328125" bestFit="1" customWidth="1"/>
    <col min="3" max="3" width="24.08984375" customWidth="1"/>
    <col min="4" max="4" width="16.90625" customWidth="1"/>
    <col min="5" max="5" width="22.08984375" style="5" customWidth="1"/>
    <col min="6" max="6" width="12" bestFit="1" customWidth="1"/>
    <col min="7" max="8" width="14.08984375" customWidth="1"/>
    <col min="9" max="9" width="12.54296875" customWidth="1"/>
    <col min="10" max="10" width="14.6328125" customWidth="1"/>
    <col min="11" max="11" width="14.54296875" bestFit="1" customWidth="1"/>
    <col min="12" max="12" width="13" customWidth="1"/>
    <col min="13" max="13" width="13.453125" customWidth="1"/>
    <col min="14" max="14" width="12.54296875" customWidth="1"/>
    <col min="15" max="15" width="14.08984375" customWidth="1"/>
  </cols>
  <sheetData>
    <row r="1" spans="2:15" ht="24" thickBot="1" x14ac:dyDescent="0.4">
      <c r="B1" s="1273" t="s">
        <v>10</v>
      </c>
      <c r="C1" s="1274"/>
      <c r="D1" s="1274"/>
      <c r="E1" s="1275"/>
      <c r="G1" s="80" t="s">
        <v>20</v>
      </c>
      <c r="H1" s="74" t="s">
        <v>8</v>
      </c>
      <c r="I1" s="74" t="s">
        <v>44</v>
      </c>
      <c r="J1" s="81" t="s">
        <v>43</v>
      </c>
      <c r="K1" s="74" t="s">
        <v>2</v>
      </c>
      <c r="L1" s="74" t="s">
        <v>24</v>
      </c>
      <c r="M1" s="74" t="s">
        <v>19</v>
      </c>
      <c r="N1" s="74" t="s">
        <v>18</v>
      </c>
      <c r="O1" s="68" t="s">
        <v>23</v>
      </c>
    </row>
    <row r="2" spans="2:15" s="1" customFormat="1" ht="18" customHeight="1" thickBot="1" x14ac:dyDescent="0.4">
      <c r="B2" s="16" t="s">
        <v>7</v>
      </c>
      <c r="C2" s="17" t="s">
        <v>8</v>
      </c>
      <c r="D2" s="17" t="s">
        <v>4</v>
      </c>
      <c r="E2" s="18" t="s">
        <v>9</v>
      </c>
      <c r="G2" s="85" t="s">
        <v>10</v>
      </c>
      <c r="H2" s="82">
        <f>+E3</f>
        <v>29440.799999999999</v>
      </c>
      <c r="I2" s="77">
        <f>+E4</f>
        <v>0</v>
      </c>
      <c r="J2" s="77">
        <f>+E5</f>
        <v>8000</v>
      </c>
      <c r="K2" s="77">
        <v>0</v>
      </c>
      <c r="L2" s="88">
        <f>+H2+I2+J2+K2</f>
        <v>37440.800000000003</v>
      </c>
      <c r="M2" s="78">
        <f>+E6</f>
        <v>0</v>
      </c>
      <c r="N2" s="79">
        <f>+E7</f>
        <v>20152.27</v>
      </c>
      <c r="O2" s="71">
        <f>+L2-M2-N2</f>
        <v>17288.530000000002</v>
      </c>
    </row>
    <row r="3" spans="2:15" ht="18" customHeight="1" thickBot="1" x14ac:dyDescent="0.4">
      <c r="B3" s="10" t="s">
        <v>3</v>
      </c>
      <c r="C3" s="3">
        <v>174</v>
      </c>
      <c r="D3" s="141">
        <v>169.2</v>
      </c>
      <c r="E3" s="11">
        <f>C3*D3</f>
        <v>29440.799999999999</v>
      </c>
      <c r="G3" s="86" t="s">
        <v>13</v>
      </c>
      <c r="H3" s="83">
        <f>+E12</f>
        <v>29440.799999999999</v>
      </c>
      <c r="I3" s="75">
        <f>+E13</f>
        <v>0</v>
      </c>
      <c r="J3" s="75">
        <f>+E14</f>
        <v>8000</v>
      </c>
      <c r="K3" s="75">
        <v>0</v>
      </c>
      <c r="L3" s="88">
        <f t="shared" ref="L3:L8" si="0">+H3+I3+J3+K3</f>
        <v>37440.800000000003</v>
      </c>
      <c r="M3" s="69">
        <f>+E15</f>
        <v>11000</v>
      </c>
      <c r="N3" s="35">
        <f>+E16</f>
        <v>17674.95</v>
      </c>
      <c r="O3" s="71">
        <f t="shared" ref="O3:O8" si="1">+L3-M3-N3</f>
        <v>8765.8500000000022</v>
      </c>
    </row>
    <row r="4" spans="2:15" ht="18" customHeight="1" thickBot="1" x14ac:dyDescent="0.4">
      <c r="B4" s="10" t="s">
        <v>5</v>
      </c>
      <c r="C4" s="3"/>
      <c r="D4" s="3">
        <f>+D3*1.5</f>
        <v>253.79999999999998</v>
      </c>
      <c r="E4" s="11">
        <f>C4*D4</f>
        <v>0</v>
      </c>
      <c r="G4" s="86" t="s">
        <v>15</v>
      </c>
      <c r="H4" s="83">
        <f>+E21</f>
        <v>23400</v>
      </c>
      <c r="I4" s="75">
        <f>+E22+E25</f>
        <v>9370</v>
      </c>
      <c r="J4" s="75">
        <f>+E24</f>
        <v>8000</v>
      </c>
      <c r="K4" s="75">
        <f>+E23</f>
        <v>8428</v>
      </c>
      <c r="L4" s="88">
        <f t="shared" si="0"/>
        <v>49198</v>
      </c>
      <c r="M4" s="69">
        <f>+E27+E26</f>
        <v>10428</v>
      </c>
      <c r="N4" s="36">
        <v>0</v>
      </c>
      <c r="O4" s="71">
        <f t="shared" si="1"/>
        <v>38770</v>
      </c>
    </row>
    <row r="5" spans="2:15" ht="18" customHeight="1" thickBot="1" x14ac:dyDescent="0.4">
      <c r="B5" s="10" t="s">
        <v>6</v>
      </c>
      <c r="C5" s="3">
        <v>8000</v>
      </c>
      <c r="D5" s="3"/>
      <c r="E5" s="11">
        <f>+C5</f>
        <v>8000</v>
      </c>
      <c r="G5" s="86" t="s">
        <v>16</v>
      </c>
      <c r="H5" s="83">
        <f>+E32</f>
        <v>16770</v>
      </c>
      <c r="I5" s="75">
        <f>+E33</f>
        <v>780</v>
      </c>
      <c r="J5" s="75">
        <f>+E36</f>
        <v>8000</v>
      </c>
      <c r="K5" s="75">
        <f>+E35</f>
        <v>14560</v>
      </c>
      <c r="L5" s="88">
        <f t="shared" si="0"/>
        <v>40110</v>
      </c>
      <c r="M5" s="69">
        <f>+E37</f>
        <v>0</v>
      </c>
      <c r="N5" s="36">
        <v>0</v>
      </c>
      <c r="O5" s="71">
        <f t="shared" si="1"/>
        <v>40110</v>
      </c>
    </row>
    <row r="6" spans="2:15" ht="18" customHeight="1" thickBot="1" x14ac:dyDescent="0.4">
      <c r="B6" s="128" t="s">
        <v>19</v>
      </c>
      <c r="C6" s="129"/>
      <c r="D6" s="129"/>
      <c r="E6" s="130">
        <f>+C6</f>
        <v>0</v>
      </c>
      <c r="G6" s="86" t="s">
        <v>0</v>
      </c>
      <c r="H6" s="83">
        <f>+E42</f>
        <v>33756</v>
      </c>
      <c r="I6" s="75">
        <f>+E43</f>
        <v>727.5</v>
      </c>
      <c r="J6" s="75">
        <f>+E44</f>
        <v>8500</v>
      </c>
      <c r="K6" s="75"/>
      <c r="L6" s="88">
        <f t="shared" si="0"/>
        <v>42983.5</v>
      </c>
      <c r="M6" s="69">
        <f>+E45</f>
        <v>18144</v>
      </c>
      <c r="N6" s="35">
        <f>+E46</f>
        <v>20348.89</v>
      </c>
      <c r="O6" s="71">
        <f>+H6+I6+J6-K6-M6-N6</f>
        <v>4490.6100000000006</v>
      </c>
    </row>
    <row r="7" spans="2:15" ht="18" customHeight="1" thickBot="1" x14ac:dyDescent="0.4">
      <c r="B7" s="131" t="s">
        <v>18</v>
      </c>
      <c r="C7" s="129"/>
      <c r="D7" s="129"/>
      <c r="E7" s="132">
        <v>20152.27</v>
      </c>
      <c r="G7" s="86" t="s">
        <v>14</v>
      </c>
      <c r="H7" s="83">
        <f>+E51</f>
        <v>31320</v>
      </c>
      <c r="I7" s="75">
        <f>+E52</f>
        <v>0</v>
      </c>
      <c r="J7" s="75">
        <f>+E53</f>
        <v>8000</v>
      </c>
      <c r="K7" s="75">
        <v>0</v>
      </c>
      <c r="L7" s="88">
        <f t="shared" si="0"/>
        <v>39320</v>
      </c>
      <c r="M7" s="69">
        <f>+E54</f>
        <v>10000</v>
      </c>
      <c r="N7" s="36">
        <v>0</v>
      </c>
      <c r="O7" s="71">
        <f>+H7+J7-M7</f>
        <v>29320</v>
      </c>
    </row>
    <row r="8" spans="2:15" ht="18" customHeight="1" thickBot="1" x14ac:dyDescent="0.4">
      <c r="B8" s="12" t="s">
        <v>11</v>
      </c>
      <c r="C8" s="26"/>
      <c r="D8" s="25"/>
      <c r="E8" s="27">
        <f>+E3+E4+E5-E6-E7</f>
        <v>17288.530000000002</v>
      </c>
      <c r="F8" s="1309" t="s">
        <v>81</v>
      </c>
      <c r="G8" s="86" t="s">
        <v>17</v>
      </c>
      <c r="H8" s="83">
        <f>+E60</f>
        <v>22968</v>
      </c>
      <c r="I8" s="75">
        <f>+E61</f>
        <v>1782</v>
      </c>
      <c r="J8" s="75">
        <f>+E62</f>
        <v>5000</v>
      </c>
      <c r="K8" s="75">
        <v>0</v>
      </c>
      <c r="L8" s="88">
        <f t="shared" si="0"/>
        <v>29750</v>
      </c>
      <c r="M8" s="69">
        <v>0</v>
      </c>
      <c r="N8" s="36">
        <v>0</v>
      </c>
      <c r="O8" s="71">
        <f t="shared" si="1"/>
        <v>29750</v>
      </c>
    </row>
    <row r="9" spans="2:15" ht="18" customHeight="1" thickBot="1" x14ac:dyDescent="0.4">
      <c r="F9" s="1309"/>
      <c r="G9" s="157" t="s">
        <v>35</v>
      </c>
      <c r="H9" s="158">
        <f>+E68</f>
        <v>19140</v>
      </c>
      <c r="I9" s="159">
        <f>+E69</f>
        <v>0</v>
      </c>
      <c r="J9" s="159">
        <v>0</v>
      </c>
      <c r="K9" s="159">
        <v>0</v>
      </c>
      <c r="L9" s="160">
        <f>K9+H9+I9+J9</f>
        <v>19140</v>
      </c>
      <c r="M9" s="161">
        <f>+E70</f>
        <v>0</v>
      </c>
      <c r="N9" s="162">
        <v>0</v>
      </c>
      <c r="O9" s="163">
        <f>+L9-M9-N9</f>
        <v>19140</v>
      </c>
    </row>
    <row r="10" spans="2:15" ht="18" customHeight="1" thickBot="1" x14ac:dyDescent="0.4">
      <c r="B10" s="1273" t="s">
        <v>13</v>
      </c>
      <c r="C10" s="1274"/>
      <c r="D10" s="1274"/>
      <c r="E10" s="1275"/>
      <c r="F10" s="1309"/>
      <c r="G10" s="86" t="s">
        <v>41</v>
      </c>
      <c r="H10" s="83">
        <f>+E81</f>
        <v>54000</v>
      </c>
      <c r="I10" s="75"/>
      <c r="J10" s="75"/>
      <c r="K10" s="75"/>
      <c r="L10" s="88">
        <f>K10+H10+I10+J10</f>
        <v>54000</v>
      </c>
      <c r="M10" s="69"/>
      <c r="N10" s="36"/>
      <c r="O10" s="70">
        <f>+L10-M10-N10</f>
        <v>54000</v>
      </c>
    </row>
    <row r="11" spans="2:15" ht="19.5" customHeight="1" thickBot="1" x14ac:dyDescent="0.4">
      <c r="B11" s="16" t="s">
        <v>7</v>
      </c>
      <c r="C11" s="17" t="s">
        <v>8</v>
      </c>
      <c r="D11" s="17" t="s">
        <v>4</v>
      </c>
      <c r="E11" s="18" t="s">
        <v>9</v>
      </c>
      <c r="G11" s="87" t="s">
        <v>42</v>
      </c>
      <c r="H11" s="84">
        <f>+E75</f>
        <v>25000</v>
      </c>
      <c r="I11" s="76">
        <f>+E76</f>
        <v>0</v>
      </c>
      <c r="J11" s="76">
        <v>0</v>
      </c>
      <c r="K11" s="76">
        <v>0</v>
      </c>
      <c r="L11" s="88">
        <f>K11+H11+I11+J11</f>
        <v>25000</v>
      </c>
      <c r="M11" s="72">
        <v>0</v>
      </c>
      <c r="N11" s="43">
        <v>0</v>
      </c>
      <c r="O11" s="70">
        <f>+L11-M11-N11</f>
        <v>25000</v>
      </c>
    </row>
    <row r="12" spans="2:15" ht="20.25" customHeight="1" thickBot="1" x14ac:dyDescent="0.4">
      <c r="B12" s="10" t="s">
        <v>3</v>
      </c>
      <c r="C12" s="3">
        <v>174</v>
      </c>
      <c r="D12" s="3">
        <v>169.2</v>
      </c>
      <c r="E12" s="11">
        <f>C12*D12</f>
        <v>29440.799999999999</v>
      </c>
      <c r="G12" s="1279" t="s">
        <v>24</v>
      </c>
      <c r="H12" s="1280"/>
      <c r="I12" s="1280"/>
      <c r="J12" s="1280"/>
      <c r="K12" s="1280"/>
      <c r="L12" s="1280"/>
      <c r="M12" s="164">
        <f>SUM(M2:M11)</f>
        <v>49572</v>
      </c>
      <c r="N12" s="45">
        <f>SUM(N2:N11)</f>
        <v>58176.11</v>
      </c>
      <c r="O12" s="45">
        <f>SUM(O2:O11)</f>
        <v>266634.99</v>
      </c>
    </row>
    <row r="13" spans="2:15" s="1" customFormat="1" ht="18" customHeight="1" thickBot="1" x14ac:dyDescent="0.4">
      <c r="B13" s="10" t="s">
        <v>5</v>
      </c>
      <c r="C13" s="3"/>
      <c r="D13" s="3">
        <f>+D12*1.5</f>
        <v>253.79999999999998</v>
      </c>
      <c r="E13" s="11">
        <f>C13*D13</f>
        <v>0</v>
      </c>
      <c r="G13"/>
      <c r="H13"/>
      <c r="I13"/>
      <c r="J13"/>
      <c r="K13"/>
      <c r="L13"/>
      <c r="M13" s="1293">
        <f>+N12+O12+M12</f>
        <v>374383.1</v>
      </c>
      <c r="N13" s="1294"/>
      <c r="O13" s="1295"/>
    </row>
    <row r="14" spans="2:15" ht="18" customHeight="1" x14ac:dyDescent="0.35">
      <c r="B14" s="10" t="s">
        <v>6</v>
      </c>
      <c r="C14" s="3">
        <v>8000</v>
      </c>
      <c r="D14" s="3"/>
      <c r="E14" s="11">
        <f>+C14</f>
        <v>8000</v>
      </c>
    </row>
    <row r="15" spans="2:15" ht="18" customHeight="1" x14ac:dyDescent="0.35">
      <c r="B15" s="128" t="s">
        <v>19</v>
      </c>
      <c r="C15" s="129"/>
      <c r="D15" s="129"/>
      <c r="E15" s="130">
        <v>11000</v>
      </c>
      <c r="G15" s="1302" t="s">
        <v>61</v>
      </c>
      <c r="H15" s="1302"/>
    </row>
    <row r="16" spans="2:15" ht="18" customHeight="1" thickBot="1" x14ac:dyDescent="0.4">
      <c r="B16" s="131" t="s">
        <v>18</v>
      </c>
      <c r="C16" s="129"/>
      <c r="D16" s="129"/>
      <c r="E16" s="132">
        <v>17674.95</v>
      </c>
      <c r="G16" s="1302"/>
      <c r="H16" s="1302"/>
      <c r="I16" s="1"/>
      <c r="J16" s="1"/>
      <c r="K16" s="1"/>
      <c r="L16" s="1"/>
      <c r="M16" s="1"/>
      <c r="N16" s="1"/>
      <c r="O16" s="1"/>
    </row>
    <row r="17" spans="1:15" ht="21.75" customHeight="1" thickBot="1" x14ac:dyDescent="0.4">
      <c r="B17" s="12" t="s">
        <v>11</v>
      </c>
      <c r="C17" s="26"/>
      <c r="D17" s="25"/>
      <c r="E17" s="27">
        <f>+E12+E13+E14-E15-E16</f>
        <v>8765.8500000000022</v>
      </c>
      <c r="G17" s="1302"/>
      <c r="H17" s="1302"/>
      <c r="J17" s="4"/>
    </row>
    <row r="18" spans="1:15" ht="21.75" customHeight="1" thickBot="1" x14ac:dyDescent="0.4">
      <c r="B18" s="6"/>
      <c r="C18" s="4"/>
      <c r="D18" s="4"/>
      <c r="E18" s="7"/>
      <c r="I18" s="4"/>
      <c r="J18" s="57"/>
      <c r="K18" s="61" t="s">
        <v>29</v>
      </c>
      <c r="L18" s="61" t="s">
        <v>30</v>
      </c>
      <c r="M18" s="61" t="s">
        <v>31</v>
      </c>
      <c r="N18" s="62" t="s">
        <v>32</v>
      </c>
    </row>
    <row r="19" spans="1:15" ht="21.75" customHeight="1" thickBot="1" x14ac:dyDescent="0.4">
      <c r="B19" s="1273" t="s">
        <v>15</v>
      </c>
      <c r="C19" s="1274"/>
      <c r="D19" s="1274"/>
      <c r="E19" s="1275"/>
      <c r="G19" s="1282" t="s">
        <v>25</v>
      </c>
      <c r="H19" s="1282" t="s">
        <v>26</v>
      </c>
      <c r="J19" s="58" t="s">
        <v>0</v>
      </c>
      <c r="K19" s="63">
        <v>194</v>
      </c>
      <c r="L19" s="50">
        <f>+K19*1.5</f>
        <v>291</v>
      </c>
      <c r="M19" s="52"/>
      <c r="N19" s="53">
        <v>8500</v>
      </c>
    </row>
    <row r="20" spans="1:15" ht="21.75" customHeight="1" x14ac:dyDescent="0.35">
      <c r="B20" s="16" t="s">
        <v>7</v>
      </c>
      <c r="C20" s="17" t="s">
        <v>8</v>
      </c>
      <c r="D20" s="17" t="s">
        <v>4</v>
      </c>
      <c r="E20" s="18" t="s">
        <v>9</v>
      </c>
      <c r="G20" s="1282"/>
      <c r="H20" s="1282"/>
      <c r="J20" s="58" t="s">
        <v>28</v>
      </c>
      <c r="K20" s="64">
        <v>180</v>
      </c>
      <c r="L20" s="50">
        <f t="shared" ref="L20:L26" si="2">+K20*1.5</f>
        <v>270</v>
      </c>
      <c r="M20" s="52"/>
      <c r="N20" s="53">
        <v>8000</v>
      </c>
    </row>
    <row r="21" spans="1:15" ht="21.75" customHeight="1" x14ac:dyDescent="0.35">
      <c r="B21" s="10" t="s">
        <v>3</v>
      </c>
      <c r="C21" s="3">
        <v>130</v>
      </c>
      <c r="D21" s="3">
        <v>180</v>
      </c>
      <c r="E21" s="11">
        <f>C21*D21</f>
        <v>23400</v>
      </c>
      <c r="G21" s="1282"/>
      <c r="H21" s="1282"/>
      <c r="J21" s="58" t="s">
        <v>15</v>
      </c>
      <c r="K21" s="64">
        <v>180</v>
      </c>
      <c r="L21" s="50">
        <f t="shared" si="2"/>
        <v>270</v>
      </c>
      <c r="M21" s="52"/>
      <c r="N21" s="53">
        <v>8000</v>
      </c>
    </row>
    <row r="22" spans="1:15" s="4" customFormat="1" ht="21.75" customHeight="1" x14ac:dyDescent="0.35">
      <c r="B22" s="10" t="s">
        <v>5</v>
      </c>
      <c r="C22" s="154">
        <v>11</v>
      </c>
      <c r="D22" s="3">
        <f>+D21*1.5</f>
        <v>270</v>
      </c>
      <c r="E22" s="11">
        <f>C22*D22</f>
        <v>2970</v>
      </c>
      <c r="G22" s="1282"/>
      <c r="H22" s="1283" t="s">
        <v>27</v>
      </c>
      <c r="I22"/>
      <c r="J22" s="58" t="s">
        <v>10</v>
      </c>
      <c r="K22" s="64">
        <v>169.2</v>
      </c>
      <c r="L22" s="50">
        <f t="shared" si="2"/>
        <v>253.79999999999998</v>
      </c>
      <c r="M22" s="52"/>
      <c r="N22" s="53">
        <v>8000</v>
      </c>
      <c r="O22"/>
    </row>
    <row r="23" spans="1:15" ht="21.75" customHeight="1" x14ac:dyDescent="0.35">
      <c r="B23" s="10" t="s">
        <v>82</v>
      </c>
      <c r="C23" s="3">
        <v>56</v>
      </c>
      <c r="D23" s="3">
        <v>150.5</v>
      </c>
      <c r="E23" s="11">
        <f>+C23*D23</f>
        <v>8428</v>
      </c>
      <c r="G23" s="1282"/>
      <c r="H23" s="1283"/>
      <c r="J23" s="58" t="s">
        <v>13</v>
      </c>
      <c r="K23" s="64">
        <v>169.2</v>
      </c>
      <c r="L23" s="50">
        <f t="shared" si="2"/>
        <v>253.79999999999998</v>
      </c>
      <c r="M23" s="52"/>
      <c r="N23" s="53">
        <v>8000</v>
      </c>
    </row>
    <row r="24" spans="1:15" ht="21.75" customHeight="1" x14ac:dyDescent="0.35">
      <c r="B24" s="10" t="s">
        <v>6</v>
      </c>
      <c r="C24" s="3">
        <v>8000</v>
      </c>
      <c r="D24" s="3"/>
      <c r="E24" s="11">
        <f>+C24</f>
        <v>8000</v>
      </c>
      <c r="G24" s="1282"/>
      <c r="H24" s="1283"/>
      <c r="J24" s="59" t="s">
        <v>16</v>
      </c>
      <c r="K24" s="64">
        <v>156</v>
      </c>
      <c r="L24" s="50">
        <f t="shared" si="2"/>
        <v>234</v>
      </c>
      <c r="M24" s="52"/>
      <c r="N24" s="53">
        <v>8000</v>
      </c>
    </row>
    <row r="25" spans="1:15" s="1" customFormat="1" ht="21.75" customHeight="1" x14ac:dyDescent="0.35">
      <c r="B25" s="10" t="s">
        <v>83</v>
      </c>
      <c r="C25" s="3"/>
      <c r="D25" s="3"/>
      <c r="E25" s="11">
        <v>6400</v>
      </c>
      <c r="G25" s="1282"/>
      <c r="H25" s="1283"/>
      <c r="I25" s="4"/>
      <c r="J25" s="59" t="s">
        <v>35</v>
      </c>
      <c r="K25" s="64">
        <v>110</v>
      </c>
      <c r="L25" s="50">
        <f t="shared" si="2"/>
        <v>165</v>
      </c>
      <c r="M25" s="52"/>
      <c r="N25" s="53"/>
      <c r="O25" s="4"/>
    </row>
    <row r="26" spans="1:15" ht="21.75" customHeight="1" thickBot="1" x14ac:dyDescent="0.4">
      <c r="B26" s="127" t="s">
        <v>62</v>
      </c>
      <c r="C26" s="138"/>
      <c r="D26" s="138"/>
      <c r="E26" s="139">
        <v>8428</v>
      </c>
      <c r="F26" s="115"/>
      <c r="G26" s="47"/>
      <c r="I26" s="67"/>
      <c r="J26" s="60" t="s">
        <v>17</v>
      </c>
      <c r="K26" s="65">
        <v>132</v>
      </c>
      <c r="L26" s="50">
        <f t="shared" si="2"/>
        <v>198</v>
      </c>
      <c r="M26" s="54">
        <v>0</v>
      </c>
      <c r="N26" s="55">
        <v>5000</v>
      </c>
    </row>
    <row r="27" spans="1:15" ht="21.75" customHeight="1" thickBot="1" x14ac:dyDescent="0.4">
      <c r="B27" s="135" t="s">
        <v>84</v>
      </c>
      <c r="C27" s="135"/>
      <c r="D27" s="135"/>
      <c r="E27" s="137">
        <v>2000</v>
      </c>
      <c r="I27" s="67"/>
      <c r="J27" s="48" t="s">
        <v>33</v>
      </c>
      <c r="K27" s="66" t="s">
        <v>34</v>
      </c>
      <c r="L27" s="49"/>
      <c r="M27" s="49"/>
    </row>
    <row r="28" spans="1:15" ht="21.75" customHeight="1" thickBot="1" x14ac:dyDescent="0.4">
      <c r="B28" s="134" t="s">
        <v>11</v>
      </c>
      <c r="C28" s="26"/>
      <c r="D28" s="25"/>
      <c r="E28" s="27">
        <f>+E21+E22+E23+E24+E25-E26-E27</f>
        <v>38770</v>
      </c>
      <c r="F28" s="49">
        <f>+E21+E22+E23+E24+E25</f>
        <v>49198</v>
      </c>
      <c r="G28" s="1"/>
      <c r="H28" s="1"/>
      <c r="I28" s="1"/>
      <c r="J28" s="48"/>
      <c r="K28" s="66"/>
      <c r="L28" s="49"/>
      <c r="M28" s="49"/>
      <c r="O28" s="1"/>
    </row>
    <row r="29" spans="1:15" ht="21.75" customHeight="1" thickBot="1" x14ac:dyDescent="0.4">
      <c r="J29" s="1"/>
      <c r="K29" s="51"/>
      <c r="L29" s="51"/>
      <c r="M29" s="51"/>
      <c r="N29" s="1"/>
    </row>
    <row r="30" spans="1:15" ht="21.75" customHeight="1" thickBot="1" x14ac:dyDescent="0.4">
      <c r="B30" s="1299" t="s">
        <v>16</v>
      </c>
      <c r="C30" s="1300"/>
      <c r="D30" s="1300"/>
      <c r="E30" s="1301"/>
      <c r="J30" s="1"/>
      <c r="K30" s="51"/>
      <c r="L30" s="51"/>
      <c r="M30" s="51"/>
      <c r="N30" s="1"/>
    </row>
    <row r="31" spans="1:15" ht="21.75" customHeight="1" x14ac:dyDescent="0.35">
      <c r="B31" s="116" t="s">
        <v>7</v>
      </c>
      <c r="C31" s="117" t="s">
        <v>8</v>
      </c>
      <c r="D31" s="117" t="s">
        <v>4</v>
      </c>
      <c r="E31" s="118" t="s">
        <v>9</v>
      </c>
      <c r="J31" s="1303" t="s">
        <v>68</v>
      </c>
      <c r="K31" s="1304"/>
      <c r="L31" s="1304"/>
      <c r="M31" s="1304"/>
      <c r="N31" s="1305"/>
    </row>
    <row r="32" spans="1:15" ht="15" thickBot="1" x14ac:dyDescent="0.4">
      <c r="A32" s="106"/>
      <c r="B32" s="119" t="s">
        <v>3</v>
      </c>
      <c r="C32" s="120">
        <v>129</v>
      </c>
      <c r="D32" s="120">
        <v>130</v>
      </c>
      <c r="E32" s="121">
        <f>C32*D32</f>
        <v>16770</v>
      </c>
      <c r="G32">
        <f>130*1.2</f>
        <v>156</v>
      </c>
      <c r="J32" s="94"/>
      <c r="K32" s="152"/>
      <c r="L32" s="4"/>
      <c r="M32" s="50"/>
      <c r="N32" s="53"/>
    </row>
    <row r="33" spans="1:15" ht="21.75" customHeight="1" x14ac:dyDescent="0.35">
      <c r="A33" s="155"/>
      <c r="B33" s="119" t="s">
        <v>5</v>
      </c>
      <c r="C33" s="120">
        <v>4</v>
      </c>
      <c r="D33" s="120">
        <f>+D32*1.5</f>
        <v>195</v>
      </c>
      <c r="E33" s="121">
        <f>C33*D33</f>
        <v>780</v>
      </c>
      <c r="F33" s="155"/>
      <c r="J33" s="112" t="s">
        <v>46</v>
      </c>
      <c r="K33" s="143"/>
      <c r="L33" s="92"/>
      <c r="M33" s="92"/>
      <c r="N33" s="93"/>
    </row>
    <row r="34" spans="1:15" ht="21.75" customHeight="1" x14ac:dyDescent="0.35">
      <c r="A34" s="155"/>
      <c r="B34" s="119" t="s">
        <v>1</v>
      </c>
      <c r="C34" s="120"/>
      <c r="D34" s="120"/>
      <c r="E34" s="121">
        <f>+C34</f>
        <v>0</v>
      </c>
      <c r="F34" s="155">
        <f>150-C32</f>
        <v>21</v>
      </c>
      <c r="G34">
        <f>+D32*F34</f>
        <v>2730</v>
      </c>
      <c r="J34" s="94"/>
      <c r="K34" s="144" t="s">
        <v>67</v>
      </c>
      <c r="L34" s="96">
        <v>603.6</v>
      </c>
      <c r="M34" s="96"/>
      <c r="N34" s="97"/>
    </row>
    <row r="35" spans="1:15" ht="21.75" customHeight="1" x14ac:dyDescent="0.35">
      <c r="A35" s="155"/>
      <c r="B35" s="119" t="s">
        <v>2</v>
      </c>
      <c r="C35" s="120">
        <v>112</v>
      </c>
      <c r="D35" s="120">
        <v>130</v>
      </c>
      <c r="E35" s="121">
        <f>+C35*D35</f>
        <v>14560</v>
      </c>
      <c r="F35" s="155"/>
      <c r="J35" s="94"/>
      <c r="K35" s="144" t="s">
        <v>77</v>
      </c>
      <c r="L35" s="96">
        <v>1495</v>
      </c>
      <c r="M35" s="96"/>
      <c r="N35" s="97"/>
    </row>
    <row r="36" spans="1:15" s="1" customFormat="1" ht="21.75" customHeight="1" x14ac:dyDescent="0.35">
      <c r="A36" s="156"/>
      <c r="B36" s="119" t="s">
        <v>6</v>
      </c>
      <c r="C36" s="120">
        <v>8000</v>
      </c>
      <c r="D36" s="120"/>
      <c r="E36" s="121">
        <f>+C36</f>
        <v>8000</v>
      </c>
      <c r="F36" s="156"/>
      <c r="G36"/>
      <c r="H36"/>
      <c r="I36"/>
      <c r="J36" s="94"/>
      <c r="K36" s="144" t="s">
        <v>78</v>
      </c>
      <c r="L36" s="96">
        <v>1495</v>
      </c>
      <c r="M36" s="96"/>
      <c r="N36" s="97"/>
      <c r="O36"/>
    </row>
    <row r="37" spans="1:15" ht="21.75" customHeight="1" thickBot="1" x14ac:dyDescent="0.4">
      <c r="A37" s="155"/>
      <c r="B37" s="119" t="s">
        <v>19</v>
      </c>
      <c r="C37" s="120"/>
      <c r="D37" s="120"/>
      <c r="E37" s="122">
        <f>+C37</f>
        <v>0</v>
      </c>
      <c r="F37" s="155"/>
      <c r="G37" s="1308" t="s">
        <v>90</v>
      </c>
      <c r="J37" s="98"/>
      <c r="K37" s="144" t="s">
        <v>49</v>
      </c>
      <c r="L37" s="96">
        <v>2600</v>
      </c>
      <c r="M37" s="96"/>
      <c r="N37" s="97"/>
    </row>
    <row r="38" spans="1:15" ht="21.75" customHeight="1" thickBot="1" x14ac:dyDescent="0.4">
      <c r="A38" s="155"/>
      <c r="B38" s="123" t="s">
        <v>11</v>
      </c>
      <c r="C38" s="124"/>
      <c r="D38" s="125"/>
      <c r="E38" s="126">
        <f>+E32+E33+E34+E35+E36-E37</f>
        <v>40110</v>
      </c>
      <c r="F38" s="155"/>
      <c r="G38" s="1308"/>
      <c r="J38" s="98"/>
      <c r="K38" s="144" t="s">
        <v>66</v>
      </c>
      <c r="L38" s="96">
        <v>-2200</v>
      </c>
      <c r="M38" s="96"/>
      <c r="N38" s="97"/>
    </row>
    <row r="39" spans="1:15" ht="21.75" customHeight="1" thickBot="1" x14ac:dyDescent="0.4">
      <c r="A39" s="155"/>
      <c r="F39" s="155"/>
      <c r="J39" s="99" t="s">
        <v>75</v>
      </c>
      <c r="K39" s="144" t="s">
        <v>56</v>
      </c>
      <c r="L39" s="96"/>
      <c r="M39" s="96">
        <v>903.62</v>
      </c>
      <c r="N39" s="97"/>
      <c r="O39" s="1"/>
    </row>
    <row r="40" spans="1:15" ht="21.75" customHeight="1" x14ac:dyDescent="0.35">
      <c r="A40" s="155"/>
      <c r="B40" s="1276" t="s">
        <v>0</v>
      </c>
      <c r="C40" s="1277"/>
      <c r="D40" s="1277"/>
      <c r="E40" s="1278"/>
      <c r="F40" s="155"/>
      <c r="G40" s="1"/>
      <c r="H40" s="1"/>
      <c r="I40" s="1"/>
      <c r="J40" s="99" t="s">
        <v>75</v>
      </c>
      <c r="K40" s="144" t="s">
        <v>79</v>
      </c>
      <c r="L40" s="96"/>
      <c r="M40" s="96">
        <v>903.62</v>
      </c>
      <c r="N40" s="97"/>
    </row>
    <row r="41" spans="1:15" ht="21.75" customHeight="1" x14ac:dyDescent="0.35">
      <c r="A41" s="155"/>
      <c r="B41" s="8" t="s">
        <v>7</v>
      </c>
      <c r="C41" s="2" t="s">
        <v>8</v>
      </c>
      <c r="D41" s="2" t="s">
        <v>4</v>
      </c>
      <c r="E41" s="9" t="s">
        <v>9</v>
      </c>
      <c r="F41" s="155"/>
      <c r="J41" s="99"/>
      <c r="K41" s="144" t="s">
        <v>57</v>
      </c>
      <c r="L41" s="96">
        <v>10310</v>
      </c>
      <c r="M41" s="96"/>
      <c r="N41" s="97"/>
    </row>
    <row r="42" spans="1:15" ht="18.75" customHeight="1" x14ac:dyDescent="0.35">
      <c r="B42" s="10" t="s">
        <v>3</v>
      </c>
      <c r="C42" s="3">
        <v>174</v>
      </c>
      <c r="D42" s="3">
        <v>194</v>
      </c>
      <c r="E42" s="11">
        <f>C42*D42</f>
        <v>33756</v>
      </c>
      <c r="J42" s="99"/>
      <c r="K42" s="144">
        <v>931</v>
      </c>
      <c r="L42" s="96">
        <v>42116.29</v>
      </c>
      <c r="M42" s="96"/>
      <c r="N42" s="97"/>
    </row>
    <row r="43" spans="1:15" ht="21.75" customHeight="1" x14ac:dyDescent="0.35">
      <c r="B43" s="10" t="s">
        <v>5</v>
      </c>
      <c r="C43" s="3">
        <v>2.5</v>
      </c>
      <c r="D43" s="3">
        <f>+D42*1.5</f>
        <v>291</v>
      </c>
      <c r="E43" s="11">
        <f>C43*D43</f>
        <v>727.5</v>
      </c>
      <c r="J43" s="99" t="s">
        <v>71</v>
      </c>
      <c r="K43" s="144" t="s">
        <v>69</v>
      </c>
      <c r="L43" s="96">
        <v>3931.01</v>
      </c>
      <c r="M43" s="96"/>
      <c r="N43" s="97"/>
    </row>
    <row r="44" spans="1:15" ht="21.75" customHeight="1" x14ac:dyDescent="0.35">
      <c r="B44" s="10" t="s">
        <v>6</v>
      </c>
      <c r="C44" s="3">
        <v>8500</v>
      </c>
      <c r="D44" s="3"/>
      <c r="E44" s="11">
        <f>+C44</f>
        <v>8500</v>
      </c>
      <c r="J44" s="99" t="s">
        <v>71</v>
      </c>
      <c r="K44" s="144" t="s">
        <v>70</v>
      </c>
      <c r="L44" s="96">
        <v>6566.42</v>
      </c>
      <c r="M44" s="96"/>
      <c r="N44" s="148"/>
    </row>
    <row r="45" spans="1:15" ht="21.75" customHeight="1" x14ac:dyDescent="0.35">
      <c r="B45" s="128" t="s">
        <v>60</v>
      </c>
      <c r="C45" s="135">
        <v>112</v>
      </c>
      <c r="D45" s="135">
        <v>162</v>
      </c>
      <c r="E45" s="140">
        <v>18144</v>
      </c>
      <c r="J45" s="99" t="s">
        <v>71</v>
      </c>
      <c r="K45" s="144" t="s">
        <v>72</v>
      </c>
      <c r="L45" s="96">
        <v>6909.79</v>
      </c>
      <c r="M45" s="96"/>
      <c r="N45" s="148"/>
    </row>
    <row r="46" spans="1:15" ht="21.75" customHeight="1" thickBot="1" x14ac:dyDescent="0.4">
      <c r="B46" s="131" t="s">
        <v>18</v>
      </c>
      <c r="C46" s="133"/>
      <c r="D46" s="135"/>
      <c r="E46" s="140">
        <v>20348.89</v>
      </c>
      <c r="J46" s="99" t="s">
        <v>71</v>
      </c>
      <c r="K46" s="144" t="s">
        <v>73</v>
      </c>
      <c r="L46" s="96">
        <f>3433.43+3419.2</f>
        <v>6852.6299999999992</v>
      </c>
      <c r="M46" s="96"/>
      <c r="N46" s="148"/>
    </row>
    <row r="47" spans="1:15" s="1" customFormat="1" ht="21.75" customHeight="1" thickBot="1" x14ac:dyDescent="0.4">
      <c r="B47" s="12" t="s">
        <v>11</v>
      </c>
      <c r="C47" s="13"/>
      <c r="D47" s="13"/>
      <c r="E47" s="27">
        <f>+E42+E43+E44-E45-E46</f>
        <v>4490.6100000000006</v>
      </c>
      <c r="F47" s="115"/>
      <c r="G47"/>
      <c r="H47"/>
      <c r="I47"/>
      <c r="J47" s="99"/>
      <c r="K47" s="144"/>
      <c r="L47" s="96"/>
      <c r="M47" s="96"/>
      <c r="N47" s="148"/>
      <c r="O47"/>
    </row>
    <row r="48" spans="1:15" ht="21.75" customHeight="1" thickBot="1" x14ac:dyDescent="0.4">
      <c r="J48" s="150" t="s">
        <v>74</v>
      </c>
      <c r="K48" s="144"/>
      <c r="L48" s="96">
        <f>SUM(L34:L47)</f>
        <v>80679.740000000005</v>
      </c>
      <c r="M48" s="96">
        <f>SUM(M34:M47)</f>
        <v>1807.24</v>
      </c>
      <c r="N48" s="148">
        <f>+L48-M48</f>
        <v>78872.5</v>
      </c>
    </row>
    <row r="49" spans="2:15" s="1" customFormat="1" ht="21.75" customHeight="1" x14ac:dyDescent="0.35">
      <c r="B49" s="1276" t="s">
        <v>28</v>
      </c>
      <c r="C49" s="1277"/>
      <c r="D49" s="1277"/>
      <c r="E49" s="1278"/>
      <c r="F49" s="115"/>
      <c r="G49"/>
      <c r="H49"/>
      <c r="I49"/>
      <c r="J49" s="99"/>
      <c r="K49" s="144"/>
      <c r="L49" s="96"/>
      <c r="M49" s="96"/>
      <c r="N49" s="148"/>
      <c r="O49"/>
    </row>
    <row r="50" spans="2:15" ht="21.75" customHeight="1" x14ac:dyDescent="0.35">
      <c r="B50" s="8" t="s">
        <v>7</v>
      </c>
      <c r="C50" s="2" t="s">
        <v>8</v>
      </c>
      <c r="D50" s="2" t="s">
        <v>4</v>
      </c>
      <c r="E50" s="9" t="s">
        <v>9</v>
      </c>
      <c r="J50" s="99"/>
      <c r="K50" s="144"/>
      <c r="L50" s="96"/>
      <c r="M50" s="96"/>
      <c r="N50" s="148"/>
      <c r="O50" s="1"/>
    </row>
    <row r="51" spans="2:15" ht="21.75" customHeight="1" x14ac:dyDescent="0.35">
      <c r="B51" s="10" t="s">
        <v>3</v>
      </c>
      <c r="C51" s="3">
        <v>174</v>
      </c>
      <c r="D51" s="3">
        <v>180</v>
      </c>
      <c r="E51" s="11">
        <f>C51*D51</f>
        <v>31320</v>
      </c>
      <c r="F51" s="49"/>
      <c r="G51" s="1"/>
      <c r="H51" s="1"/>
      <c r="I51" s="1"/>
      <c r="J51" s="100"/>
      <c r="K51" s="145"/>
      <c r="L51" s="96"/>
      <c r="M51" s="102"/>
      <c r="N51" s="149"/>
    </row>
    <row r="52" spans="2:15" ht="21.75" customHeight="1" x14ac:dyDescent="0.35">
      <c r="B52" s="10" t="s">
        <v>5</v>
      </c>
      <c r="C52" s="3"/>
      <c r="D52" s="3">
        <f>+D51*1.5</f>
        <v>270</v>
      </c>
      <c r="E52" s="11">
        <f>C52*D52</f>
        <v>0</v>
      </c>
      <c r="J52" s="113" t="s">
        <v>51</v>
      </c>
      <c r="K52" s="144"/>
      <c r="L52" s="102"/>
      <c r="M52" s="96"/>
      <c r="N52" s="148"/>
    </row>
    <row r="53" spans="2:15" ht="21.75" customHeight="1" x14ac:dyDescent="0.35">
      <c r="B53" s="10" t="s">
        <v>6</v>
      </c>
      <c r="C53" s="3">
        <v>8000</v>
      </c>
      <c r="D53" s="3"/>
      <c r="E53" s="11">
        <f>+C53</f>
        <v>8000</v>
      </c>
      <c r="J53" s="100"/>
      <c r="K53" s="144"/>
      <c r="L53" s="96"/>
      <c r="M53" s="96"/>
      <c r="N53" s="148"/>
    </row>
    <row r="54" spans="2:15" ht="21.75" customHeight="1" x14ac:dyDescent="0.35">
      <c r="B54" s="135" t="s">
        <v>19</v>
      </c>
      <c r="C54" s="135"/>
      <c r="D54" s="135">
        <v>10000</v>
      </c>
      <c r="E54" s="136">
        <f>+D54</f>
        <v>10000</v>
      </c>
      <c r="J54" s="147" t="s">
        <v>75</v>
      </c>
      <c r="K54" s="144" t="s">
        <v>52</v>
      </c>
      <c r="L54" s="96"/>
      <c r="M54" s="96">
        <v>1000</v>
      </c>
      <c r="N54" s="148"/>
    </row>
    <row r="55" spans="2:15" ht="21.75" customHeight="1" thickBot="1" x14ac:dyDescent="0.4">
      <c r="B55" s="135" t="s">
        <v>85</v>
      </c>
      <c r="C55" s="135">
        <v>53</v>
      </c>
      <c r="D55" s="135">
        <v>150.5</v>
      </c>
      <c r="E55" s="137">
        <f>+C55*D55</f>
        <v>7976.5</v>
      </c>
      <c r="J55" s="147" t="s">
        <v>76</v>
      </c>
      <c r="K55" s="144" t="s">
        <v>55</v>
      </c>
      <c r="L55" s="96"/>
      <c r="M55" s="96">
        <v>254.11</v>
      </c>
      <c r="N55" s="148"/>
    </row>
    <row r="56" spans="2:15" ht="21.75" customHeight="1" thickBot="1" x14ac:dyDescent="0.4">
      <c r="B56" s="134" t="s">
        <v>11</v>
      </c>
      <c r="C56" s="26"/>
      <c r="D56" s="25"/>
      <c r="E56" s="27">
        <f>+E51+E53-E54</f>
        <v>29320</v>
      </c>
      <c r="F56" s="49"/>
      <c r="J56" s="100"/>
      <c r="K56" s="144" t="s">
        <v>58</v>
      </c>
      <c r="L56" s="96">
        <v>2000</v>
      </c>
      <c r="M56" s="96"/>
      <c r="N56" s="148"/>
    </row>
    <row r="57" spans="2:15" ht="21.75" customHeight="1" thickBot="1" x14ac:dyDescent="0.4">
      <c r="J57" s="100"/>
      <c r="K57" s="144"/>
      <c r="L57" s="96"/>
      <c r="M57" s="96"/>
      <c r="N57" s="148"/>
    </row>
    <row r="58" spans="2:15" ht="21.75" customHeight="1" x14ac:dyDescent="0.35">
      <c r="B58" s="1276" t="s">
        <v>17</v>
      </c>
      <c r="C58" s="1277"/>
      <c r="D58" s="1277"/>
      <c r="E58" s="1278"/>
      <c r="J58" s="146" t="s">
        <v>80</v>
      </c>
      <c r="K58" s="151"/>
      <c r="L58" s="96">
        <f>SUM(L54:L57)</f>
        <v>2000</v>
      </c>
      <c r="M58" s="96">
        <f>SUM(M54:M57)</f>
        <v>1254.1100000000001</v>
      </c>
      <c r="N58" s="148">
        <f>+L58-M58</f>
        <v>745.88999999999987</v>
      </c>
    </row>
    <row r="59" spans="2:15" ht="21.75" customHeight="1" x14ac:dyDescent="0.35">
      <c r="B59" s="8" t="s">
        <v>7</v>
      </c>
      <c r="C59" s="2" t="s">
        <v>8</v>
      </c>
      <c r="D59" s="2" t="s">
        <v>4</v>
      </c>
      <c r="E59" s="9" t="s">
        <v>9</v>
      </c>
      <c r="J59" s="100"/>
      <c r="K59" s="144"/>
      <c r="L59" s="96"/>
      <c r="M59" s="96"/>
      <c r="N59" s="148"/>
      <c r="O59" s="1"/>
    </row>
    <row r="60" spans="2:15" ht="21.75" customHeight="1" x14ac:dyDescent="0.35">
      <c r="B60" s="10" t="s">
        <v>3</v>
      </c>
      <c r="C60" s="3">
        <v>174</v>
      </c>
      <c r="D60" s="3">
        <v>132</v>
      </c>
      <c r="E60" s="11">
        <f>C60*D60</f>
        <v>22968</v>
      </c>
      <c r="J60" s="113" t="s">
        <v>54</v>
      </c>
      <c r="K60" s="144"/>
      <c r="L60" s="96"/>
      <c r="M60" s="96"/>
      <c r="N60" s="148"/>
      <c r="O60" s="1"/>
    </row>
    <row r="61" spans="2:15" ht="21.75" customHeight="1" x14ac:dyDescent="0.35">
      <c r="B61" s="10" t="s">
        <v>5</v>
      </c>
      <c r="C61" s="3">
        <v>9</v>
      </c>
      <c r="D61" s="3">
        <f>+D60*1.5</f>
        <v>198</v>
      </c>
      <c r="E61" s="11">
        <f>C61*D61</f>
        <v>1782</v>
      </c>
      <c r="G61" s="1"/>
      <c r="H61" s="115"/>
      <c r="I61" s="1"/>
      <c r="J61" s="98"/>
      <c r="K61" s="144" t="s">
        <v>65</v>
      </c>
      <c r="L61" s="96">
        <v>3600</v>
      </c>
      <c r="M61" s="96"/>
      <c r="N61" s="148"/>
    </row>
    <row r="62" spans="2:15" ht="21.75" customHeight="1" x14ac:dyDescent="0.35">
      <c r="B62" s="10" t="s">
        <v>6</v>
      </c>
      <c r="C62" s="3">
        <v>5000</v>
      </c>
      <c r="D62" s="3"/>
      <c r="E62" s="24">
        <f>+C62</f>
        <v>5000</v>
      </c>
      <c r="J62" s="94"/>
      <c r="K62" s="144" t="s">
        <v>53</v>
      </c>
      <c r="L62" s="96"/>
      <c r="M62" s="96">
        <v>3482</v>
      </c>
      <c r="N62" s="148"/>
    </row>
    <row r="63" spans="2:15" ht="21.75" customHeight="1" thickBot="1" x14ac:dyDescent="0.4">
      <c r="B63" s="128" t="s">
        <v>19</v>
      </c>
      <c r="C63" s="135"/>
      <c r="D63" s="135"/>
      <c r="E63" s="142">
        <f>+C63</f>
        <v>0</v>
      </c>
      <c r="J63" s="94"/>
      <c r="K63" s="144"/>
      <c r="L63" s="96"/>
      <c r="M63" s="96"/>
      <c r="N63" s="148"/>
    </row>
    <row r="64" spans="2:15" ht="21.75" customHeight="1" thickBot="1" x14ac:dyDescent="0.4">
      <c r="B64" s="12" t="s">
        <v>11</v>
      </c>
      <c r="C64" s="13"/>
      <c r="D64" s="14"/>
      <c r="E64" s="27">
        <f>+E60+E61+E62-E63</f>
        <v>29750</v>
      </c>
      <c r="J64" s="1306" t="s">
        <v>80</v>
      </c>
      <c r="K64" s="1307"/>
      <c r="L64" s="109">
        <f>SUM(L61:L63)</f>
        <v>3600</v>
      </c>
      <c r="M64" s="109">
        <f>SUM(M61:M63)</f>
        <v>3482</v>
      </c>
      <c r="N64" s="153">
        <f>+L64-M64</f>
        <v>118</v>
      </c>
    </row>
    <row r="65" spans="2:15" ht="21.75" customHeight="1" thickBot="1" x14ac:dyDescent="0.4"/>
    <row r="66" spans="2:15" ht="21.75" customHeight="1" x14ac:dyDescent="0.35">
      <c r="B66" s="1276" t="s">
        <v>35</v>
      </c>
      <c r="C66" s="1277"/>
      <c r="D66" s="1277"/>
      <c r="E66" s="1278"/>
    </row>
    <row r="67" spans="2:15" ht="21.75" customHeight="1" x14ac:dyDescent="0.35">
      <c r="B67" s="8" t="s">
        <v>7</v>
      </c>
      <c r="C67" s="2" t="s">
        <v>8</v>
      </c>
      <c r="D67" s="2" t="s">
        <v>4</v>
      </c>
      <c r="E67" s="9" t="s">
        <v>9</v>
      </c>
      <c r="K67" s="1"/>
      <c r="L67" s="1"/>
      <c r="M67" s="1"/>
      <c r="N67" s="1"/>
    </row>
    <row r="68" spans="2:15" ht="18" customHeight="1" x14ac:dyDescent="0.35">
      <c r="B68" s="10" t="s">
        <v>3</v>
      </c>
      <c r="C68" s="3">
        <v>174</v>
      </c>
      <c r="D68" s="3">
        <v>110</v>
      </c>
      <c r="E68" s="11">
        <f>C68*D68</f>
        <v>19140</v>
      </c>
      <c r="J68" s="1"/>
      <c r="O68" s="1"/>
    </row>
    <row r="69" spans="2:15" ht="18" customHeight="1" x14ac:dyDescent="0.35">
      <c r="B69" s="10" t="s">
        <v>5</v>
      </c>
      <c r="C69" s="3"/>
      <c r="D69" s="3">
        <f>+D68*1.5</f>
        <v>165</v>
      </c>
      <c r="E69" s="11">
        <f>+C69*D69</f>
        <v>0</v>
      </c>
      <c r="G69" s="1"/>
      <c r="H69" s="1"/>
      <c r="I69" s="1"/>
    </row>
    <row r="70" spans="2:15" ht="21.75" customHeight="1" thickBot="1" x14ac:dyDescent="0.4">
      <c r="B70" s="128" t="s">
        <v>19</v>
      </c>
      <c r="C70" s="135"/>
      <c r="D70" s="135"/>
      <c r="E70" s="142">
        <f>+C70</f>
        <v>0</v>
      </c>
    </row>
    <row r="71" spans="2:15" ht="18" customHeight="1" thickBot="1" x14ac:dyDescent="0.4">
      <c r="B71" s="12" t="s">
        <v>11</v>
      </c>
      <c r="C71" s="13"/>
      <c r="D71" s="14"/>
      <c r="E71" s="27">
        <f>+E68-E69</f>
        <v>19140</v>
      </c>
    </row>
    <row r="72" spans="2:15" ht="18" customHeight="1" thickBot="1" x14ac:dyDescent="0.4"/>
    <row r="73" spans="2:15" ht="18" customHeight="1" x14ac:dyDescent="0.35">
      <c r="B73" s="1276" t="s">
        <v>39</v>
      </c>
      <c r="C73" s="1277"/>
      <c r="D73" s="1277"/>
      <c r="E73" s="1278"/>
    </row>
    <row r="74" spans="2:15" ht="18" customHeight="1" x14ac:dyDescent="0.35">
      <c r="B74" s="8" t="s">
        <v>7</v>
      </c>
      <c r="C74" s="2" t="s">
        <v>8</v>
      </c>
      <c r="D74" s="2" t="s">
        <v>4</v>
      </c>
      <c r="E74" s="9" t="s">
        <v>9</v>
      </c>
    </row>
    <row r="75" spans="2:15" ht="18" customHeight="1" x14ac:dyDescent="0.35">
      <c r="B75" s="10" t="s">
        <v>3</v>
      </c>
      <c r="C75" s="3"/>
      <c r="D75" s="3"/>
      <c r="E75" s="11">
        <v>25000</v>
      </c>
    </row>
    <row r="76" spans="2:15" ht="18" customHeight="1" thickBot="1" x14ac:dyDescent="0.4">
      <c r="B76" s="10" t="s">
        <v>5</v>
      </c>
      <c r="C76" s="3"/>
      <c r="D76" s="3">
        <f>+E75/8/20*(1.5)</f>
        <v>234.375</v>
      </c>
      <c r="E76" s="11">
        <f>C76*D76</f>
        <v>0</v>
      </c>
    </row>
    <row r="77" spans="2:15" ht="18" customHeight="1" thickBot="1" x14ac:dyDescent="0.4">
      <c r="B77" s="12" t="s">
        <v>11</v>
      </c>
      <c r="C77" s="13"/>
      <c r="D77" s="14"/>
      <c r="E77" s="27">
        <f>+E75+E76</f>
        <v>25000</v>
      </c>
    </row>
    <row r="78" spans="2:15" ht="21.75" customHeight="1" thickBot="1" x14ac:dyDescent="0.4"/>
    <row r="79" spans="2:15" ht="18" customHeight="1" x14ac:dyDescent="0.35">
      <c r="B79" s="1276" t="s">
        <v>41</v>
      </c>
      <c r="C79" s="1277"/>
      <c r="D79" s="1277"/>
      <c r="E79" s="1278"/>
    </row>
    <row r="80" spans="2:15" ht="18" customHeight="1" x14ac:dyDescent="0.35">
      <c r="B80" s="8" t="s">
        <v>7</v>
      </c>
      <c r="C80" s="2" t="s">
        <v>8</v>
      </c>
      <c r="D80" s="2" t="s">
        <v>4</v>
      </c>
      <c r="E80" s="9" t="s">
        <v>9</v>
      </c>
    </row>
    <row r="81" spans="2:5" ht="18" customHeight="1" x14ac:dyDescent="0.35">
      <c r="B81" s="10" t="s">
        <v>3</v>
      </c>
      <c r="C81" s="3">
        <v>144</v>
      </c>
      <c r="D81" s="3">
        <v>375</v>
      </c>
      <c r="E81" s="11">
        <f>+C81*D81</f>
        <v>54000</v>
      </c>
    </row>
    <row r="82" spans="2:5" ht="18" customHeight="1" thickBot="1" x14ac:dyDescent="0.4">
      <c r="B82" s="19" t="s">
        <v>19</v>
      </c>
      <c r="C82" s="3">
        <v>0</v>
      </c>
      <c r="D82" s="3" t="s">
        <v>63</v>
      </c>
      <c r="E82" s="23">
        <f>+C82</f>
        <v>0</v>
      </c>
    </row>
    <row r="83" spans="2:5" ht="18" customHeight="1" thickBot="1" x14ac:dyDescent="0.4">
      <c r="B83" s="12" t="s">
        <v>11</v>
      </c>
      <c r="C83" s="13"/>
      <c r="D83" s="14"/>
      <c r="E83" s="27">
        <f>+E81-E82</f>
        <v>54000</v>
      </c>
    </row>
    <row r="84" spans="2:5" ht="21.75" customHeight="1" x14ac:dyDescent="0.35"/>
    <row r="96" spans="2:5" ht="18" customHeight="1" thickBot="1" x14ac:dyDescent="0.4"/>
    <row r="97" spans="2:6" ht="18" customHeight="1" x14ac:dyDescent="0.35">
      <c r="B97" s="1276" t="s">
        <v>28</v>
      </c>
      <c r="C97" s="1277"/>
      <c r="D97" s="1277"/>
      <c r="E97" s="1278"/>
    </row>
    <row r="98" spans="2:6" ht="18" customHeight="1" x14ac:dyDescent="0.35">
      <c r="B98" s="8" t="s">
        <v>7</v>
      </c>
      <c r="C98" s="2" t="s">
        <v>8</v>
      </c>
      <c r="D98" s="2" t="s">
        <v>4</v>
      </c>
      <c r="E98" s="9" t="s">
        <v>9</v>
      </c>
    </row>
    <row r="99" spans="2:6" ht="18" customHeight="1" x14ac:dyDescent="0.35">
      <c r="B99" s="10" t="s">
        <v>3</v>
      </c>
      <c r="C99" s="3">
        <v>184</v>
      </c>
      <c r="D99" s="3">
        <v>150.5</v>
      </c>
      <c r="E99" s="11">
        <f>C99*D99</f>
        <v>27692</v>
      </c>
    </row>
    <row r="100" spans="2:6" ht="18" customHeight="1" x14ac:dyDescent="0.35">
      <c r="B100" s="10" t="s">
        <v>5</v>
      </c>
      <c r="C100" s="3">
        <v>17</v>
      </c>
      <c r="D100" s="3">
        <f>+D99*1.5</f>
        <v>225.75</v>
      </c>
      <c r="E100" s="11">
        <f>C100*D100</f>
        <v>3837.75</v>
      </c>
    </row>
    <row r="101" spans="2:6" ht="18" customHeight="1" x14ac:dyDescent="0.35">
      <c r="B101" s="10" t="s">
        <v>1</v>
      </c>
      <c r="C101" s="3">
        <v>0</v>
      </c>
      <c r="D101" s="3"/>
      <c r="E101" s="11">
        <f>+C101</f>
        <v>0</v>
      </c>
    </row>
    <row r="102" spans="2:6" ht="18" customHeight="1" x14ac:dyDescent="0.35">
      <c r="B102" s="10" t="s">
        <v>2</v>
      </c>
      <c r="C102" s="3">
        <v>14974</v>
      </c>
      <c r="D102" s="3"/>
      <c r="E102" s="11">
        <f>+C102</f>
        <v>14974</v>
      </c>
    </row>
    <row r="103" spans="2:6" ht="18" customHeight="1" x14ac:dyDescent="0.35">
      <c r="B103" s="10" t="s">
        <v>6</v>
      </c>
      <c r="C103" s="3">
        <v>8000</v>
      </c>
      <c r="D103" s="3"/>
      <c r="E103" s="11">
        <f>+C103</f>
        <v>8000</v>
      </c>
    </row>
    <row r="104" spans="2:6" ht="18" customHeight="1" thickBot="1" x14ac:dyDescent="0.4">
      <c r="B104" s="19" t="s">
        <v>19</v>
      </c>
      <c r="C104" s="3">
        <v>3000</v>
      </c>
      <c r="D104" s="3"/>
      <c r="E104" s="23">
        <f>+C104</f>
        <v>3000</v>
      </c>
    </row>
    <row r="105" spans="2:6" ht="18" customHeight="1" thickBot="1" x14ac:dyDescent="0.4">
      <c r="B105" s="1296" t="s">
        <v>64</v>
      </c>
      <c r="C105" s="1297"/>
      <c r="D105" s="1298"/>
      <c r="E105" s="27">
        <f>+E99+E100+E101+E102+E103-E104</f>
        <v>51503.75</v>
      </c>
    </row>
    <row r="106" spans="2:6" ht="18" customHeight="1" x14ac:dyDescent="0.35">
      <c r="F106" s="1"/>
    </row>
    <row r="108" spans="2:6" ht="18" customHeight="1" x14ac:dyDescent="0.35">
      <c r="E108" s="5">
        <f>+E105-43529.75</f>
        <v>7974</v>
      </c>
    </row>
    <row r="110" spans="2:6" ht="18" customHeight="1" x14ac:dyDescent="0.35">
      <c r="F110" s="114"/>
    </row>
  </sheetData>
  <mergeCells count="22">
    <mergeCell ref="B1:E1"/>
    <mergeCell ref="B10:E10"/>
    <mergeCell ref="G12:L12"/>
    <mergeCell ref="G19:G25"/>
    <mergeCell ref="H19:H21"/>
    <mergeCell ref="H22:H25"/>
    <mergeCell ref="B19:E19"/>
    <mergeCell ref="F8:F10"/>
    <mergeCell ref="M13:O13"/>
    <mergeCell ref="B97:E97"/>
    <mergeCell ref="B105:D105"/>
    <mergeCell ref="B79:E79"/>
    <mergeCell ref="B49:E49"/>
    <mergeCell ref="B58:E58"/>
    <mergeCell ref="B66:E66"/>
    <mergeCell ref="B73:E73"/>
    <mergeCell ref="B30:E30"/>
    <mergeCell ref="B40:E40"/>
    <mergeCell ref="G15:H17"/>
    <mergeCell ref="J31:N31"/>
    <mergeCell ref="J64:K64"/>
    <mergeCell ref="G37:G38"/>
  </mergeCells>
  <pageMargins left="0.31496062992125984" right="0" top="0.74803149606299213" bottom="0.74803149606299213" header="0.31496062992125984" footer="0.31496062992125984"/>
  <pageSetup paperSize="9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2"/>
  <sheetViews>
    <sheetView workbookViewId="0">
      <selection activeCell="A6" sqref="A6"/>
    </sheetView>
  </sheetViews>
  <sheetFormatPr baseColWidth="10" defaultRowHeight="18" customHeight="1" x14ac:dyDescent="0.35"/>
  <cols>
    <col min="2" max="2" width="24.08984375" bestFit="1" customWidth="1"/>
    <col min="3" max="3" width="15.08984375" style="261" bestFit="1" customWidth="1"/>
    <col min="4" max="4" width="14.453125" style="202" customWidth="1"/>
    <col min="5" max="5" width="13.36328125" style="203" bestFit="1" customWidth="1"/>
    <col min="6" max="6" width="12" bestFit="1" customWidth="1"/>
    <col min="7" max="8" width="14.08984375" customWidth="1"/>
    <col min="9" max="9" width="12.54296875" customWidth="1"/>
    <col min="10" max="10" width="14.6328125" customWidth="1"/>
    <col min="11" max="11" width="14.54296875" bestFit="1" customWidth="1"/>
    <col min="12" max="12" width="13" customWidth="1"/>
    <col min="13" max="13" width="13.453125" customWidth="1"/>
    <col min="14" max="14" width="13.36328125" customWidth="1"/>
    <col min="15" max="15" width="14.08984375" customWidth="1"/>
    <col min="17" max="17" width="14.453125" bestFit="1" customWidth="1"/>
  </cols>
  <sheetData>
    <row r="1" spans="2:17" ht="18" customHeight="1" thickBot="1" x14ac:dyDescent="0.4"/>
    <row r="2" spans="2:17" ht="24" customHeight="1" thickBot="1" x14ac:dyDescent="0.4">
      <c r="B2" s="1273" t="s">
        <v>10</v>
      </c>
      <c r="C2" s="1274"/>
      <c r="D2" s="1274"/>
      <c r="E2" s="1275"/>
      <c r="I2" s="1313" t="s">
        <v>76</v>
      </c>
      <c r="J2" s="1313"/>
      <c r="K2" s="1313"/>
      <c r="L2" s="1313"/>
      <c r="M2" s="1313"/>
      <c r="N2" s="1313"/>
      <c r="O2" s="1313"/>
      <c r="P2" s="1313"/>
      <c r="Q2" s="1313"/>
    </row>
    <row r="3" spans="2:17" s="1" customFormat="1" ht="24" customHeight="1" thickBot="1" x14ac:dyDescent="0.4">
      <c r="B3" s="16" t="s">
        <v>7</v>
      </c>
      <c r="C3" s="257" t="s">
        <v>8</v>
      </c>
      <c r="D3" s="192" t="s">
        <v>4</v>
      </c>
      <c r="E3" s="193" t="s">
        <v>9</v>
      </c>
      <c r="I3" s="80" t="s">
        <v>20</v>
      </c>
      <c r="J3" s="74" t="s">
        <v>8</v>
      </c>
      <c r="K3" s="74" t="s">
        <v>44</v>
      </c>
      <c r="L3" s="81" t="s">
        <v>43</v>
      </c>
      <c r="M3" s="74" t="s">
        <v>2</v>
      </c>
      <c r="N3" s="74" t="s">
        <v>24</v>
      </c>
      <c r="O3" s="74" t="s">
        <v>19</v>
      </c>
      <c r="P3" s="74" t="s">
        <v>18</v>
      </c>
      <c r="Q3" s="68" t="s">
        <v>23</v>
      </c>
    </row>
    <row r="4" spans="2:17" ht="24" customHeight="1" thickBot="1" x14ac:dyDescent="0.4">
      <c r="B4" s="10" t="s">
        <v>3</v>
      </c>
      <c r="C4" s="258">
        <v>194</v>
      </c>
      <c r="D4" s="227">
        <v>169.2</v>
      </c>
      <c r="E4" s="196">
        <f>C4*D4</f>
        <v>32824.799999999996</v>
      </c>
      <c r="I4" s="230" t="s">
        <v>10</v>
      </c>
      <c r="J4" s="231">
        <f>+E4</f>
        <v>32824.799999999996</v>
      </c>
      <c r="K4" s="232">
        <f>+E5</f>
        <v>0</v>
      </c>
      <c r="L4" s="232">
        <f>+E6</f>
        <v>8000</v>
      </c>
      <c r="M4" s="232">
        <v>0</v>
      </c>
      <c r="N4" s="233">
        <f>+J4+K4+L4+M4</f>
        <v>40824.799999999996</v>
      </c>
      <c r="O4" s="252">
        <f>+E7</f>
        <v>0</v>
      </c>
      <c r="P4" s="234">
        <f>+E8</f>
        <v>20348.89</v>
      </c>
      <c r="Q4" s="235">
        <f>+N4-O4-P4</f>
        <v>20475.909999999996</v>
      </c>
    </row>
    <row r="5" spans="2:17" ht="24" customHeight="1" thickBot="1" x14ac:dyDescent="0.4">
      <c r="B5" s="10" t="s">
        <v>5</v>
      </c>
      <c r="C5" s="258">
        <v>0</v>
      </c>
      <c r="D5" s="194">
        <f>+D4*1.5</f>
        <v>253.79999999999998</v>
      </c>
      <c r="E5" s="196">
        <f>C5*D5</f>
        <v>0</v>
      </c>
      <c r="I5" s="236" t="s">
        <v>13</v>
      </c>
      <c r="J5" s="237">
        <f>+E13</f>
        <v>32824.799999999996</v>
      </c>
      <c r="K5" s="238">
        <f>+E14</f>
        <v>0</v>
      </c>
      <c r="L5" s="238">
        <f>+E15</f>
        <v>8000</v>
      </c>
      <c r="M5" s="238">
        <v>0</v>
      </c>
      <c r="N5" s="233">
        <f t="shared" ref="N5:N10" si="0">+J5+K5+L5+M5</f>
        <v>40824.799999999996</v>
      </c>
      <c r="O5" s="253">
        <f>+E16</f>
        <v>6000</v>
      </c>
      <c r="P5" s="239">
        <f>+E17</f>
        <v>17674.95</v>
      </c>
      <c r="Q5" s="235">
        <f t="shared" ref="Q5:Q13" si="1">+N5-O5-P5</f>
        <v>17149.849999999995</v>
      </c>
    </row>
    <row r="6" spans="2:17" ht="24" customHeight="1" thickBot="1" x14ac:dyDescent="0.4">
      <c r="B6" s="10" t="s">
        <v>6</v>
      </c>
      <c r="C6" s="258">
        <v>8000</v>
      </c>
      <c r="D6" s="194"/>
      <c r="E6" s="196">
        <f>+C6</f>
        <v>8000</v>
      </c>
      <c r="I6" s="236" t="s">
        <v>15</v>
      </c>
      <c r="J6" s="237">
        <f>+E22</f>
        <v>34920</v>
      </c>
      <c r="K6" s="238">
        <f>+E23+E26</f>
        <v>810</v>
      </c>
      <c r="L6" s="238">
        <f>+E24</f>
        <v>8000</v>
      </c>
      <c r="M6" s="238">
        <v>0</v>
      </c>
      <c r="N6" s="233">
        <f t="shared" si="0"/>
        <v>43730</v>
      </c>
      <c r="O6" s="253">
        <v>0</v>
      </c>
      <c r="P6" s="249">
        <v>0</v>
      </c>
      <c r="Q6" s="235">
        <f>+N6</f>
        <v>43730</v>
      </c>
    </row>
    <row r="7" spans="2:17" ht="24" customHeight="1" thickBot="1" x14ac:dyDescent="0.4">
      <c r="B7" s="128" t="s">
        <v>19</v>
      </c>
      <c r="C7" s="259"/>
      <c r="D7" s="197"/>
      <c r="E7" s="198">
        <v>0</v>
      </c>
      <c r="I7" s="236" t="s">
        <v>16</v>
      </c>
      <c r="J7" s="237">
        <f>+E31</f>
        <v>23400</v>
      </c>
      <c r="K7" s="238">
        <f>+E32</f>
        <v>2709</v>
      </c>
      <c r="L7" s="238">
        <f>+E34</f>
        <v>8000</v>
      </c>
      <c r="M7" s="238">
        <v>0</v>
      </c>
      <c r="N7" s="233">
        <f t="shared" si="0"/>
        <v>34109</v>
      </c>
      <c r="O7" s="253">
        <f>+E35</f>
        <v>7000</v>
      </c>
      <c r="P7" s="249">
        <v>0</v>
      </c>
      <c r="Q7" s="235">
        <f>+N7-O7</f>
        <v>27109</v>
      </c>
    </row>
    <row r="8" spans="2:17" ht="24" customHeight="1" thickBot="1" x14ac:dyDescent="0.4">
      <c r="B8" s="131" t="s">
        <v>18</v>
      </c>
      <c r="C8" s="259"/>
      <c r="D8" s="197"/>
      <c r="E8" s="199">
        <v>20348.89</v>
      </c>
      <c r="I8" s="236" t="s">
        <v>0</v>
      </c>
      <c r="J8" s="237">
        <f>+E40</f>
        <v>37636</v>
      </c>
      <c r="K8" s="238">
        <f>+E41</f>
        <v>2473.5</v>
      </c>
      <c r="L8" s="238">
        <f>+E42</f>
        <v>13500</v>
      </c>
      <c r="M8" s="238"/>
      <c r="N8" s="233">
        <f t="shared" si="0"/>
        <v>53609.5</v>
      </c>
      <c r="O8" s="253">
        <v>0</v>
      </c>
      <c r="P8" s="249">
        <f>+E43</f>
        <v>20348.89</v>
      </c>
      <c r="Q8" s="235">
        <f>+N8-O8-P8</f>
        <v>33260.61</v>
      </c>
    </row>
    <row r="9" spans="2:17" ht="24" customHeight="1" thickBot="1" x14ac:dyDescent="0.4">
      <c r="B9" s="12" t="s">
        <v>11</v>
      </c>
      <c r="C9" s="260"/>
      <c r="D9" s="200"/>
      <c r="E9" s="201">
        <f>+E4+E5+E6-E7-E8</f>
        <v>20475.909999999996</v>
      </c>
      <c r="F9" s="1310"/>
      <c r="I9" s="236" t="s">
        <v>28</v>
      </c>
      <c r="J9" s="237">
        <f>+E48</f>
        <v>34920</v>
      </c>
      <c r="K9" s="238">
        <f>+E49</f>
        <v>0</v>
      </c>
      <c r="L9" s="238">
        <f>+E50</f>
        <v>13000</v>
      </c>
      <c r="M9" s="238">
        <v>0</v>
      </c>
      <c r="N9" s="233">
        <f t="shared" si="0"/>
        <v>47920</v>
      </c>
      <c r="O9" s="253">
        <f>+E51</f>
        <v>13000</v>
      </c>
      <c r="P9" s="249">
        <v>0</v>
      </c>
      <c r="Q9" s="235">
        <f>+N9-O9-P9</f>
        <v>34920</v>
      </c>
    </row>
    <row r="10" spans="2:17" ht="24" customHeight="1" thickBot="1" x14ac:dyDescent="0.4">
      <c r="F10" s="1310"/>
      <c r="I10" s="236" t="s">
        <v>17</v>
      </c>
      <c r="J10" s="237">
        <f>+E56</f>
        <v>25608</v>
      </c>
      <c r="K10" s="238">
        <f>+E57</f>
        <v>1089</v>
      </c>
      <c r="L10" s="238">
        <f>+E58</f>
        <v>5000</v>
      </c>
      <c r="M10" s="238">
        <v>0</v>
      </c>
      <c r="N10" s="233">
        <f t="shared" si="0"/>
        <v>31697</v>
      </c>
      <c r="O10" s="253">
        <v>0</v>
      </c>
      <c r="P10" s="249">
        <v>0</v>
      </c>
      <c r="Q10" s="240">
        <f t="shared" si="1"/>
        <v>31697</v>
      </c>
    </row>
    <row r="11" spans="2:17" ht="24" customHeight="1" thickBot="1" x14ac:dyDescent="0.4">
      <c r="B11" s="1273" t="s">
        <v>13</v>
      </c>
      <c r="C11" s="1274"/>
      <c r="D11" s="1274"/>
      <c r="E11" s="1275"/>
      <c r="F11" s="1310"/>
      <c r="I11" s="236" t="s">
        <v>86</v>
      </c>
      <c r="J11" s="241">
        <f>+E64</f>
        <v>21340</v>
      </c>
      <c r="K11" s="242">
        <f>+E65</f>
        <v>495</v>
      </c>
      <c r="L11" s="242">
        <v>0</v>
      </c>
      <c r="M11" s="242">
        <v>0</v>
      </c>
      <c r="N11" s="243">
        <f>M11+J11+K11+L11</f>
        <v>21835</v>
      </c>
      <c r="O11" s="254">
        <f>+E66</f>
        <v>0</v>
      </c>
      <c r="P11" s="250">
        <v>0</v>
      </c>
      <c r="Q11" s="244">
        <f t="shared" si="1"/>
        <v>21835</v>
      </c>
    </row>
    <row r="12" spans="2:17" ht="24" customHeight="1" thickBot="1" x14ac:dyDescent="0.4">
      <c r="B12" s="16" t="s">
        <v>7</v>
      </c>
      <c r="C12" s="257" t="s">
        <v>8</v>
      </c>
      <c r="D12" s="192" t="s">
        <v>4</v>
      </c>
      <c r="E12" s="193" t="s">
        <v>9</v>
      </c>
      <c r="F12" s="4"/>
      <c r="I12" s="236" t="s">
        <v>41</v>
      </c>
      <c r="J12" s="241">
        <f>+E77</f>
        <v>63000</v>
      </c>
      <c r="K12" s="242"/>
      <c r="L12" s="242"/>
      <c r="M12" s="242"/>
      <c r="N12" s="243">
        <f>M12+J12+K12+L12</f>
        <v>63000</v>
      </c>
      <c r="O12" s="254">
        <v>0</v>
      </c>
      <c r="P12" s="250"/>
      <c r="Q12" s="244">
        <f t="shared" si="1"/>
        <v>63000</v>
      </c>
    </row>
    <row r="13" spans="2:17" ht="24" customHeight="1" thickBot="1" x14ac:dyDescent="0.4">
      <c r="B13" s="10" t="s">
        <v>3</v>
      </c>
      <c r="C13" s="258">
        <v>194</v>
      </c>
      <c r="D13" s="194">
        <v>169.2</v>
      </c>
      <c r="E13" s="196">
        <f>C13*D13</f>
        <v>32824.799999999996</v>
      </c>
      <c r="F13" s="4"/>
      <c r="I13" s="245" t="s">
        <v>42</v>
      </c>
      <c r="J13" s="246">
        <f>+E71</f>
        <v>25000</v>
      </c>
      <c r="K13" s="247">
        <f>+E72</f>
        <v>2343.75</v>
      </c>
      <c r="L13" s="247">
        <v>0</v>
      </c>
      <c r="M13" s="247">
        <v>0</v>
      </c>
      <c r="N13" s="233">
        <f>M13+J13+K13+L13</f>
        <v>27343.75</v>
      </c>
      <c r="O13" s="255">
        <v>0</v>
      </c>
      <c r="P13" s="251">
        <v>0</v>
      </c>
      <c r="Q13" s="240">
        <f t="shared" si="1"/>
        <v>27343.75</v>
      </c>
    </row>
    <row r="14" spans="2:17" s="1" customFormat="1" ht="24" customHeight="1" thickBot="1" x14ac:dyDescent="0.4">
      <c r="B14" s="10" t="s">
        <v>5</v>
      </c>
      <c r="C14" s="258">
        <v>0</v>
      </c>
      <c r="D14" s="194">
        <f>+D13*1.5</f>
        <v>253.79999999999998</v>
      </c>
      <c r="E14" s="196">
        <f>C14*D14</f>
        <v>0</v>
      </c>
      <c r="I14" s="289" t="s">
        <v>24</v>
      </c>
      <c r="J14" s="290"/>
      <c r="K14" s="290"/>
      <c r="L14" s="290"/>
      <c r="M14" s="290"/>
      <c r="N14" s="290"/>
      <c r="O14" s="256">
        <f>SUM(O4:O13)</f>
        <v>26000</v>
      </c>
      <c r="P14" s="256">
        <f>SUM(P4:P13)</f>
        <v>58372.729999999996</v>
      </c>
      <c r="Q14" s="256">
        <f>SUM(Q4:Q13)</f>
        <v>320521.12</v>
      </c>
    </row>
    <row r="15" spans="2:17" ht="24" customHeight="1" thickBot="1" x14ac:dyDescent="0.4">
      <c r="B15" s="10" t="s">
        <v>6</v>
      </c>
      <c r="C15" s="258">
        <v>8000</v>
      </c>
      <c r="D15" s="194"/>
      <c r="E15" s="196">
        <f>+C15</f>
        <v>8000</v>
      </c>
      <c r="I15" s="248"/>
      <c r="J15" s="248"/>
      <c r="K15" s="248"/>
      <c r="L15" s="248"/>
      <c r="M15" s="248"/>
      <c r="N15" s="248"/>
      <c r="O15" s="286">
        <f>+P14+Q14+O14</f>
        <v>404893.85</v>
      </c>
      <c r="P15" s="287"/>
      <c r="Q15" s="288"/>
    </row>
    <row r="16" spans="2:17" ht="24" customHeight="1" x14ac:dyDescent="0.35">
      <c r="B16" s="128" t="s">
        <v>19</v>
      </c>
      <c r="C16" s="259"/>
      <c r="D16" s="197"/>
      <c r="E16" s="198">
        <v>6000</v>
      </c>
    </row>
    <row r="17" spans="2:17" ht="24" customHeight="1" thickBot="1" x14ac:dyDescent="0.4">
      <c r="B17" s="131" t="s">
        <v>18</v>
      </c>
      <c r="C17" s="259"/>
      <c r="D17" s="197"/>
      <c r="E17" s="199">
        <v>17674.95</v>
      </c>
      <c r="I17" s="281" t="s">
        <v>91</v>
      </c>
      <c r="J17" s="281"/>
    </row>
    <row r="18" spans="2:17" ht="24" customHeight="1" thickBot="1" x14ac:dyDescent="0.4">
      <c r="B18" s="12" t="s">
        <v>11</v>
      </c>
      <c r="C18" s="260"/>
      <c r="D18" s="200"/>
      <c r="E18" s="201">
        <f>+E13+E14+E15-E16-E17</f>
        <v>17149.849999999995</v>
      </c>
      <c r="I18" s="281"/>
      <c r="J18" s="281"/>
      <c r="K18" s="1"/>
      <c r="L18" s="1"/>
      <c r="M18" s="1"/>
      <c r="N18" s="1"/>
      <c r="O18" s="1"/>
      <c r="P18" s="1"/>
      <c r="Q18" s="1"/>
    </row>
    <row r="19" spans="2:17" ht="13.5" customHeight="1" thickBot="1" x14ac:dyDescent="0.4">
      <c r="B19" s="6"/>
      <c r="C19" s="262"/>
      <c r="D19" s="204"/>
      <c r="E19" s="205"/>
      <c r="I19" s="281"/>
      <c r="J19" s="281"/>
      <c r="L19" s="4"/>
    </row>
    <row r="20" spans="2:17" ht="24" customHeight="1" thickBot="1" x14ac:dyDescent="0.4">
      <c r="B20" s="1273" t="s">
        <v>15</v>
      </c>
      <c r="C20" s="1274"/>
      <c r="D20" s="1274"/>
      <c r="E20" s="1275"/>
      <c r="K20" s="4"/>
      <c r="L20" s="57"/>
      <c r="M20" s="61" t="s">
        <v>29</v>
      </c>
      <c r="N20" s="61" t="s">
        <v>30</v>
      </c>
      <c r="O20" s="61" t="s">
        <v>31</v>
      </c>
      <c r="P20" s="62" t="s">
        <v>32</v>
      </c>
    </row>
    <row r="21" spans="2:17" ht="24" customHeight="1" x14ac:dyDescent="0.35">
      <c r="B21" s="16" t="s">
        <v>7</v>
      </c>
      <c r="C21" s="257" t="s">
        <v>8</v>
      </c>
      <c r="D21" s="192" t="s">
        <v>4</v>
      </c>
      <c r="E21" s="193" t="s">
        <v>9</v>
      </c>
      <c r="I21" s="280" t="s">
        <v>25</v>
      </c>
      <c r="J21" s="280" t="s">
        <v>26</v>
      </c>
      <c r="L21" s="172" t="s">
        <v>0</v>
      </c>
      <c r="M21" s="63">
        <v>194</v>
      </c>
      <c r="N21" s="173">
        <f>+M21*1.5</f>
        <v>291</v>
      </c>
      <c r="O21" s="174"/>
      <c r="P21" s="175">
        <v>13500</v>
      </c>
    </row>
    <row r="22" spans="2:17" ht="24" customHeight="1" x14ac:dyDescent="0.35">
      <c r="B22" s="10" t="s">
        <v>3</v>
      </c>
      <c r="C22" s="258">
        <v>194</v>
      </c>
      <c r="D22" s="194">
        <v>180</v>
      </c>
      <c r="E22" s="196">
        <f>C22*D22</f>
        <v>34920</v>
      </c>
      <c r="I22" s="280"/>
      <c r="J22" s="280"/>
      <c r="L22" s="58" t="s">
        <v>28</v>
      </c>
      <c r="M22" s="64">
        <v>180</v>
      </c>
      <c r="N22" s="50">
        <f t="shared" ref="N22:N28" si="2">+M22*1.5</f>
        <v>270</v>
      </c>
      <c r="O22" s="52"/>
      <c r="P22" s="53">
        <v>13000</v>
      </c>
    </row>
    <row r="23" spans="2:17" s="4" customFormat="1" ht="24" customHeight="1" x14ac:dyDescent="0.35">
      <c r="B23" s="10" t="s">
        <v>5</v>
      </c>
      <c r="C23" s="263">
        <v>3</v>
      </c>
      <c r="D23" s="194">
        <f>+D22*1.5</f>
        <v>270</v>
      </c>
      <c r="E23" s="196">
        <f>C23*D23</f>
        <v>810</v>
      </c>
      <c r="I23" s="280"/>
      <c r="J23" s="280"/>
      <c r="K23"/>
      <c r="L23" s="58" t="s">
        <v>15</v>
      </c>
      <c r="M23" s="64">
        <v>180</v>
      </c>
      <c r="N23" s="50">
        <f t="shared" si="2"/>
        <v>270</v>
      </c>
      <c r="O23" s="52"/>
      <c r="P23" s="53">
        <v>8000</v>
      </c>
      <c r="Q23"/>
    </row>
    <row r="24" spans="2:17" ht="24" customHeight="1" x14ac:dyDescent="0.35">
      <c r="B24" s="10" t="s">
        <v>6</v>
      </c>
      <c r="C24" s="258">
        <v>8000</v>
      </c>
      <c r="D24" s="194"/>
      <c r="E24" s="196">
        <f>+C24</f>
        <v>8000</v>
      </c>
      <c r="I24" s="280"/>
      <c r="J24" s="285" t="s">
        <v>27</v>
      </c>
      <c r="L24" s="58" t="s">
        <v>10</v>
      </c>
      <c r="M24" s="64">
        <v>169.2</v>
      </c>
      <c r="N24" s="50">
        <f t="shared" si="2"/>
        <v>253.79999999999998</v>
      </c>
      <c r="O24" s="52"/>
      <c r="P24" s="53">
        <v>8000</v>
      </c>
    </row>
    <row r="25" spans="2:17" ht="24" customHeight="1" x14ac:dyDescent="0.35">
      <c r="B25" s="10" t="s">
        <v>94</v>
      </c>
      <c r="C25" s="258">
        <v>4</v>
      </c>
      <c r="D25" s="194">
        <v>1600</v>
      </c>
      <c r="E25" s="196">
        <f>+C25*D25</f>
        <v>6400</v>
      </c>
      <c r="I25" s="280"/>
      <c r="J25" s="285"/>
      <c r="L25" s="58" t="s">
        <v>13</v>
      </c>
      <c r="M25" s="64">
        <v>169.2</v>
      </c>
      <c r="N25" s="50">
        <f t="shared" si="2"/>
        <v>253.79999999999998</v>
      </c>
      <c r="O25" s="52"/>
      <c r="P25" s="53">
        <v>8000</v>
      </c>
    </row>
    <row r="26" spans="2:17" s="1" customFormat="1" ht="24" customHeight="1" thickBot="1" x14ac:dyDescent="0.4">
      <c r="B26" s="168" t="s">
        <v>19</v>
      </c>
      <c r="C26" s="264">
        <v>0</v>
      </c>
      <c r="D26" s="206"/>
      <c r="E26" s="207">
        <v>0</v>
      </c>
      <c r="I26" s="280"/>
      <c r="J26" s="285"/>
      <c r="K26"/>
      <c r="L26" s="59" t="s">
        <v>16</v>
      </c>
      <c r="M26" s="64">
        <v>156</v>
      </c>
      <c r="N26" s="50">
        <f t="shared" si="2"/>
        <v>234</v>
      </c>
      <c r="O26" s="52"/>
      <c r="P26" s="53">
        <v>3000</v>
      </c>
      <c r="Q26"/>
    </row>
    <row r="27" spans="2:17" ht="23.25" customHeight="1" thickBot="1" x14ac:dyDescent="0.4">
      <c r="B27" s="134" t="s">
        <v>11</v>
      </c>
      <c r="C27" s="265"/>
      <c r="D27" s="208"/>
      <c r="E27" s="201">
        <f>+E22+E23+E24+E25</f>
        <v>50130</v>
      </c>
      <c r="F27" s="278"/>
      <c r="I27" s="280"/>
      <c r="J27" s="285"/>
      <c r="K27" s="4"/>
      <c r="L27" s="59" t="s">
        <v>86</v>
      </c>
      <c r="M27" s="64">
        <v>110</v>
      </c>
      <c r="N27" s="50">
        <f t="shared" si="2"/>
        <v>165</v>
      </c>
      <c r="O27" s="52"/>
      <c r="P27" s="55">
        <v>7000</v>
      </c>
      <c r="Q27" s="4"/>
    </row>
    <row r="28" spans="2:17" ht="21.75" customHeight="1" thickBot="1" x14ac:dyDescent="0.4">
      <c r="H28" s="322" t="s">
        <v>106</v>
      </c>
      <c r="I28" s="323" t="s">
        <v>107</v>
      </c>
      <c r="K28" s="171"/>
      <c r="L28" s="60" t="s">
        <v>17</v>
      </c>
      <c r="M28" s="65">
        <v>132</v>
      </c>
      <c r="N28" s="56">
        <f t="shared" si="2"/>
        <v>198</v>
      </c>
      <c r="O28" s="54">
        <v>0</v>
      </c>
      <c r="P28" s="55">
        <v>5000</v>
      </c>
    </row>
    <row r="29" spans="2:17" ht="24" customHeight="1" thickBot="1" x14ac:dyDescent="0.5">
      <c r="B29" s="1315" t="s">
        <v>16</v>
      </c>
      <c r="C29" s="1316"/>
      <c r="D29" s="1316"/>
      <c r="E29" s="1317"/>
      <c r="F29" s="282" t="s">
        <v>97</v>
      </c>
      <c r="H29" s="326">
        <v>18</v>
      </c>
      <c r="I29" s="327">
        <v>9</v>
      </c>
      <c r="J29" s="324">
        <f>+H29*I29</f>
        <v>162</v>
      </c>
      <c r="K29" s="171"/>
      <c r="L29" s="228" t="s">
        <v>33</v>
      </c>
      <c r="M29" s="229" t="s">
        <v>34</v>
      </c>
      <c r="N29" s="49"/>
      <c r="O29" s="49"/>
    </row>
    <row r="30" spans="2:17" ht="24" customHeight="1" thickBot="1" x14ac:dyDescent="0.4">
      <c r="B30" s="169" t="s">
        <v>7</v>
      </c>
      <c r="C30" s="266" t="s">
        <v>8</v>
      </c>
      <c r="D30" s="209" t="s">
        <v>4</v>
      </c>
      <c r="E30" s="210" t="s">
        <v>9</v>
      </c>
      <c r="F30" s="282"/>
      <c r="H30" s="328">
        <v>4</v>
      </c>
      <c r="I30" s="329">
        <v>8</v>
      </c>
      <c r="J30" s="325">
        <f>+H30*I30</f>
        <v>32</v>
      </c>
      <c r="K30" s="171"/>
      <c r="L30" s="48"/>
      <c r="M30" s="66"/>
      <c r="N30" s="49"/>
      <c r="O30" s="49"/>
      <c r="Q30" s="1"/>
    </row>
    <row r="31" spans="2:17" ht="24" customHeight="1" thickBot="1" x14ac:dyDescent="0.4">
      <c r="B31" s="165" t="s">
        <v>3</v>
      </c>
      <c r="C31" s="267">
        <v>150</v>
      </c>
      <c r="D31" s="211">
        <v>156</v>
      </c>
      <c r="E31" s="212">
        <f>C31*D31</f>
        <v>23400</v>
      </c>
      <c r="H31" s="1311" t="s">
        <v>108</v>
      </c>
      <c r="I31" s="1312"/>
      <c r="J31" s="330">
        <f>SUM(J29:J30)</f>
        <v>194</v>
      </c>
      <c r="K31" s="106"/>
      <c r="L31" s="1"/>
      <c r="M31" s="51"/>
      <c r="N31" s="51"/>
      <c r="O31" s="51"/>
      <c r="P31" s="1"/>
    </row>
    <row r="32" spans="2:17" ht="24" customHeight="1" x14ac:dyDescent="0.35">
      <c r="B32" s="165" t="s">
        <v>93</v>
      </c>
      <c r="C32" s="267">
        <v>129</v>
      </c>
      <c r="D32" s="211">
        <v>21</v>
      </c>
      <c r="E32" s="212">
        <f>+C32*D32</f>
        <v>2709</v>
      </c>
      <c r="L32" s="1"/>
      <c r="M32" s="51"/>
      <c r="N32" s="51"/>
      <c r="O32" s="51"/>
      <c r="P32" s="1"/>
    </row>
    <row r="33" spans="1:17" ht="24" customHeight="1" x14ac:dyDescent="0.35">
      <c r="B33" s="165" t="s">
        <v>5</v>
      </c>
      <c r="C33" s="267"/>
      <c r="D33" s="211">
        <f>+D31*1.5</f>
        <v>234</v>
      </c>
      <c r="E33" s="212">
        <f>C33*D33</f>
        <v>0</v>
      </c>
      <c r="L33" s="1"/>
      <c r="M33" s="51"/>
      <c r="N33" s="51"/>
      <c r="O33" s="51"/>
      <c r="P33" s="1"/>
    </row>
    <row r="34" spans="1:17" ht="24" customHeight="1" x14ac:dyDescent="0.35">
      <c r="A34" s="106"/>
      <c r="B34" s="165" t="s">
        <v>6</v>
      </c>
      <c r="C34" s="267">
        <v>8000</v>
      </c>
      <c r="D34" s="211"/>
      <c r="E34" s="212">
        <f>+C34</f>
        <v>8000</v>
      </c>
      <c r="L34" s="284"/>
      <c r="M34" s="284"/>
      <c r="N34" s="284"/>
      <c r="O34" s="284"/>
      <c r="P34" s="284"/>
    </row>
    <row r="35" spans="1:17" ht="24" customHeight="1" thickBot="1" x14ac:dyDescent="0.4">
      <c r="A35" s="155"/>
      <c r="B35" s="167" t="s">
        <v>19</v>
      </c>
      <c r="C35" s="268"/>
      <c r="D35" s="213"/>
      <c r="E35" s="214">
        <v>7000</v>
      </c>
      <c r="F35" s="155"/>
      <c r="L35" s="176"/>
      <c r="M35" s="177"/>
      <c r="N35" s="176"/>
      <c r="O35" s="178"/>
      <c r="P35" s="178"/>
    </row>
    <row r="36" spans="1:17" ht="24" customHeight="1" thickBot="1" x14ac:dyDescent="0.4">
      <c r="A36" s="155"/>
      <c r="B36" s="166" t="s">
        <v>11</v>
      </c>
      <c r="C36" s="269"/>
      <c r="D36" s="215"/>
      <c r="E36" s="216">
        <f>+E31+E32+E33+E34-E35</f>
        <v>27109</v>
      </c>
      <c r="F36" s="155"/>
      <c r="L36" s="179"/>
      <c r="M36" s="180"/>
      <c r="N36" s="181"/>
      <c r="O36" s="181"/>
      <c r="P36" s="181"/>
    </row>
    <row r="37" spans="1:17" ht="24" customHeight="1" thickBot="1" x14ac:dyDescent="0.4">
      <c r="A37" s="155"/>
      <c r="F37" s="155"/>
      <c r="L37" s="176"/>
      <c r="M37" s="180"/>
      <c r="N37" s="181"/>
      <c r="O37" s="181"/>
      <c r="P37" s="181"/>
    </row>
    <row r="38" spans="1:17" s="1" customFormat="1" ht="24" customHeight="1" x14ac:dyDescent="0.35">
      <c r="A38" s="156"/>
      <c r="B38" s="1276" t="s">
        <v>0</v>
      </c>
      <c r="C38" s="1277"/>
      <c r="D38" s="1277"/>
      <c r="E38" s="1278"/>
      <c r="F38" s="156"/>
      <c r="I38"/>
      <c r="J38"/>
      <c r="K38"/>
      <c r="L38" s="176"/>
      <c r="M38" s="180"/>
      <c r="N38" s="181"/>
      <c r="O38" s="181"/>
      <c r="P38" s="181"/>
      <c r="Q38"/>
    </row>
    <row r="39" spans="1:17" ht="24" customHeight="1" x14ac:dyDescent="0.35">
      <c r="A39" s="155"/>
      <c r="B39" s="8" t="s">
        <v>7</v>
      </c>
      <c r="C39" s="270" t="s">
        <v>8</v>
      </c>
      <c r="D39" s="217" t="s">
        <v>4</v>
      </c>
      <c r="E39" s="218" t="s">
        <v>9</v>
      </c>
      <c r="F39" s="155"/>
      <c r="I39" s="1"/>
      <c r="L39" s="176"/>
      <c r="M39" s="180"/>
      <c r="N39" s="181"/>
      <c r="O39" s="181"/>
      <c r="P39" s="181"/>
    </row>
    <row r="40" spans="1:17" ht="24" customHeight="1" x14ac:dyDescent="0.35">
      <c r="A40" s="155"/>
      <c r="B40" s="10" t="s">
        <v>3</v>
      </c>
      <c r="C40" s="258">
        <v>194</v>
      </c>
      <c r="D40" s="194">
        <v>194</v>
      </c>
      <c r="E40" s="196">
        <f>C40*D40</f>
        <v>37636</v>
      </c>
      <c r="F40" s="155"/>
      <c r="L40" s="182"/>
      <c r="M40" s="180"/>
      <c r="N40" s="181"/>
      <c r="O40" s="181"/>
      <c r="P40" s="181"/>
    </row>
    <row r="41" spans="1:17" ht="24" customHeight="1" x14ac:dyDescent="0.35">
      <c r="A41" s="155"/>
      <c r="B41" s="10" t="s">
        <v>5</v>
      </c>
      <c r="C41" s="258">
        <v>8.5</v>
      </c>
      <c r="D41" s="194">
        <f>+D40*1.5</f>
        <v>291</v>
      </c>
      <c r="E41" s="196">
        <f>C41*D41</f>
        <v>2473.5</v>
      </c>
      <c r="F41" s="155"/>
      <c r="J41" s="183"/>
      <c r="K41" s="180"/>
      <c r="L41" s="181"/>
      <c r="M41" s="181"/>
      <c r="N41" s="181"/>
      <c r="O41" s="1"/>
    </row>
    <row r="42" spans="1:17" ht="24" customHeight="1" x14ac:dyDescent="0.35">
      <c r="A42" s="155"/>
      <c r="B42" s="10" t="s">
        <v>6</v>
      </c>
      <c r="C42" s="258">
        <v>13500</v>
      </c>
      <c r="D42" s="194"/>
      <c r="E42" s="196">
        <f>+C42</f>
        <v>13500</v>
      </c>
      <c r="F42" s="277" t="s">
        <v>95</v>
      </c>
      <c r="G42" s="1"/>
      <c r="H42" s="1"/>
      <c r="I42" s="1"/>
      <c r="J42" s="183"/>
      <c r="K42" s="180"/>
      <c r="L42" s="181"/>
      <c r="M42" s="181"/>
      <c r="N42" s="181"/>
    </row>
    <row r="43" spans="1:17" ht="24" customHeight="1" thickBot="1" x14ac:dyDescent="0.4">
      <c r="A43" s="155"/>
      <c r="B43" s="131" t="s">
        <v>18</v>
      </c>
      <c r="C43" s="271"/>
      <c r="D43" s="219"/>
      <c r="E43" s="198">
        <v>20348.89</v>
      </c>
      <c r="F43" s="155"/>
      <c r="J43" s="183"/>
      <c r="K43" s="180"/>
      <c r="L43" s="181"/>
      <c r="M43" s="181"/>
      <c r="N43" s="181"/>
    </row>
    <row r="44" spans="1:17" ht="24" customHeight="1" thickBot="1" x14ac:dyDescent="0.4">
      <c r="B44" s="12" t="s">
        <v>11</v>
      </c>
      <c r="C44" s="272"/>
      <c r="D44" s="220"/>
      <c r="E44" s="201">
        <f>+E40+E41+E42-E43</f>
        <v>33260.61</v>
      </c>
      <c r="J44" s="183"/>
      <c r="K44" s="180"/>
      <c r="L44" s="181"/>
      <c r="M44" s="181"/>
      <c r="N44" s="181"/>
    </row>
    <row r="45" spans="1:17" ht="24" customHeight="1" thickBot="1" x14ac:dyDescent="0.4">
      <c r="F45" s="106"/>
      <c r="J45" s="183"/>
      <c r="K45" s="180"/>
      <c r="L45" s="181"/>
      <c r="M45" s="181"/>
      <c r="N45" s="181"/>
    </row>
    <row r="46" spans="1:17" ht="24" customHeight="1" x14ac:dyDescent="0.35">
      <c r="B46" s="1276" t="s">
        <v>28</v>
      </c>
      <c r="C46" s="1277"/>
      <c r="D46" s="1277"/>
      <c r="E46" s="1278"/>
      <c r="F46" s="292" t="s">
        <v>87</v>
      </c>
      <c r="G46" s="293"/>
      <c r="J46" s="183"/>
      <c r="K46" s="180"/>
      <c r="L46" s="181"/>
      <c r="M46" s="181"/>
      <c r="N46" s="184"/>
    </row>
    <row r="47" spans="1:17" ht="24" customHeight="1" x14ac:dyDescent="0.35">
      <c r="B47" s="8" t="s">
        <v>7</v>
      </c>
      <c r="C47" s="270" t="s">
        <v>8</v>
      </c>
      <c r="D47" s="217" t="s">
        <v>4</v>
      </c>
      <c r="E47" s="218" t="s">
        <v>9</v>
      </c>
      <c r="F47" s="294" t="s">
        <v>92</v>
      </c>
      <c r="G47" s="295"/>
      <c r="J47" s="183"/>
      <c r="K47" s="180"/>
      <c r="L47" s="181"/>
      <c r="M47" s="181"/>
      <c r="N47" s="184"/>
    </row>
    <row r="48" spans="1:17" ht="24" customHeight="1" x14ac:dyDescent="0.35">
      <c r="B48" s="10" t="s">
        <v>3</v>
      </c>
      <c r="C48" s="258">
        <v>194</v>
      </c>
      <c r="D48" s="194">
        <v>180</v>
      </c>
      <c r="E48" s="196">
        <f>C48*D48</f>
        <v>34920</v>
      </c>
      <c r="F48" s="296" t="s">
        <v>98</v>
      </c>
      <c r="G48" s="297"/>
      <c r="J48" s="183"/>
      <c r="K48" s="180"/>
      <c r="L48" s="181"/>
      <c r="M48" s="181"/>
      <c r="N48" s="184"/>
    </row>
    <row r="49" spans="2:15" s="1" customFormat="1" ht="24" customHeight="1" x14ac:dyDescent="0.35">
      <c r="B49" s="10" t="s">
        <v>5</v>
      </c>
      <c r="C49" s="258"/>
      <c r="D49" s="194">
        <f>+D48*1.5</f>
        <v>270</v>
      </c>
      <c r="E49" s="196">
        <f>C49*D49</f>
        <v>0</v>
      </c>
      <c r="F49" s="106"/>
      <c r="G49"/>
      <c r="H49"/>
      <c r="I49"/>
      <c r="J49" s="183"/>
      <c r="K49" s="180"/>
      <c r="L49" s="181"/>
      <c r="M49" s="181"/>
      <c r="N49" s="184"/>
      <c r="O49"/>
    </row>
    <row r="50" spans="2:15" ht="24" customHeight="1" x14ac:dyDescent="0.35">
      <c r="B50" s="10" t="s">
        <v>6</v>
      </c>
      <c r="C50" s="258">
        <v>13000</v>
      </c>
      <c r="D50" s="194"/>
      <c r="E50" s="196">
        <f>+C50</f>
        <v>13000</v>
      </c>
      <c r="F50" s="277" t="s">
        <v>95</v>
      </c>
      <c r="I50" s="176"/>
      <c r="J50" s="283"/>
      <c r="K50" s="180"/>
      <c r="L50" s="181"/>
      <c r="M50" s="181"/>
      <c r="N50" s="184"/>
    </row>
    <row r="51" spans="2:15" s="1" customFormat="1" ht="24" customHeight="1" thickBot="1" x14ac:dyDescent="0.4">
      <c r="B51" s="135" t="s">
        <v>19</v>
      </c>
      <c r="C51" s="273"/>
      <c r="D51" s="219"/>
      <c r="E51" s="221">
        <v>13000</v>
      </c>
      <c r="F51" s="106" t="s">
        <v>75</v>
      </c>
      <c r="I51" s="176"/>
      <c r="J51" s="183"/>
      <c r="K51" s="180"/>
      <c r="L51" s="181"/>
      <c r="M51" s="181"/>
      <c r="N51" s="184"/>
      <c r="O51"/>
    </row>
    <row r="52" spans="2:15" ht="24" customHeight="1" thickBot="1" x14ac:dyDescent="0.4">
      <c r="B52" s="134" t="s">
        <v>11</v>
      </c>
      <c r="C52" s="260"/>
      <c r="D52" s="200"/>
      <c r="E52" s="201">
        <f>+E48+E49+E50-E51</f>
        <v>34920</v>
      </c>
      <c r="F52" s="106"/>
      <c r="I52" s="176"/>
      <c r="J52" s="183"/>
      <c r="K52" s="180"/>
      <c r="L52" s="181"/>
      <c r="M52" s="181"/>
      <c r="N52" s="184"/>
      <c r="O52" s="1"/>
    </row>
    <row r="53" spans="2:15" ht="24" customHeight="1" thickBot="1" x14ac:dyDescent="0.4">
      <c r="F53" s="170"/>
      <c r="I53" s="183"/>
      <c r="J53" s="185"/>
      <c r="K53" s="186"/>
      <c r="L53" s="181"/>
      <c r="M53" s="187"/>
      <c r="N53" s="188"/>
    </row>
    <row r="54" spans="2:15" ht="24" customHeight="1" x14ac:dyDescent="0.35">
      <c r="B54" s="1276" t="s">
        <v>17</v>
      </c>
      <c r="C54" s="1277"/>
      <c r="D54" s="1277"/>
      <c r="E54" s="1278"/>
      <c r="F54" s="106"/>
      <c r="J54" s="185"/>
      <c r="K54" s="180"/>
      <c r="L54" s="187"/>
      <c r="M54" s="181"/>
      <c r="N54" s="184"/>
    </row>
    <row r="55" spans="2:15" ht="24" customHeight="1" x14ac:dyDescent="0.35">
      <c r="B55" s="8" t="s">
        <v>7</v>
      </c>
      <c r="C55" s="270" t="s">
        <v>8</v>
      </c>
      <c r="D55" s="217" t="s">
        <v>4</v>
      </c>
      <c r="E55" s="218" t="s">
        <v>9</v>
      </c>
      <c r="F55" s="106"/>
      <c r="J55" s="185"/>
      <c r="K55" s="180"/>
      <c r="L55" s="181"/>
      <c r="M55" s="181"/>
      <c r="N55" s="184"/>
    </row>
    <row r="56" spans="2:15" ht="24" customHeight="1" x14ac:dyDescent="0.35">
      <c r="B56" s="10" t="s">
        <v>3</v>
      </c>
      <c r="C56" s="258">
        <v>194</v>
      </c>
      <c r="D56" s="194">
        <v>132</v>
      </c>
      <c r="E56" s="196">
        <f>C56*D56</f>
        <v>25608</v>
      </c>
      <c r="J56" s="189"/>
      <c r="K56" s="180"/>
      <c r="L56" s="181"/>
      <c r="M56" s="181"/>
      <c r="N56" s="184"/>
    </row>
    <row r="57" spans="2:15" ht="24" customHeight="1" x14ac:dyDescent="0.35">
      <c r="B57" s="10" t="s">
        <v>5</v>
      </c>
      <c r="C57" s="258">
        <v>5.5</v>
      </c>
      <c r="D57" s="194">
        <f>+D56*1.5</f>
        <v>198</v>
      </c>
      <c r="E57" s="196">
        <f>C57*D57</f>
        <v>1089</v>
      </c>
      <c r="J57" s="189"/>
      <c r="K57" s="180"/>
      <c r="L57" s="181"/>
      <c r="M57" s="181"/>
      <c r="N57" s="184"/>
    </row>
    <row r="58" spans="2:15" ht="24" customHeight="1" x14ac:dyDescent="0.35">
      <c r="B58" s="10" t="s">
        <v>6</v>
      </c>
      <c r="C58" s="258">
        <v>5000</v>
      </c>
      <c r="D58" s="194"/>
      <c r="E58" s="222">
        <f>+C58</f>
        <v>5000</v>
      </c>
      <c r="F58" s="49"/>
      <c r="J58" s="185"/>
      <c r="K58" s="180"/>
      <c r="L58" s="181"/>
      <c r="M58" s="181"/>
      <c r="N58" s="184"/>
    </row>
    <row r="59" spans="2:15" ht="24" customHeight="1" thickBot="1" x14ac:dyDescent="0.4">
      <c r="B59" s="128" t="s">
        <v>19</v>
      </c>
      <c r="C59" s="273"/>
      <c r="D59" s="219"/>
      <c r="E59" s="199">
        <f>+C59</f>
        <v>0</v>
      </c>
      <c r="J59" s="185"/>
      <c r="K59" s="180"/>
      <c r="L59" s="181"/>
      <c r="M59" s="181"/>
      <c r="N59" s="184"/>
    </row>
    <row r="60" spans="2:15" ht="24" customHeight="1" thickBot="1" x14ac:dyDescent="0.4">
      <c r="B60" s="12" t="s">
        <v>11</v>
      </c>
      <c r="C60" s="272"/>
      <c r="D60" s="223"/>
      <c r="E60" s="201">
        <f>+E56+E57+E58-E59</f>
        <v>31697</v>
      </c>
      <c r="J60" s="190"/>
      <c r="K60" s="191"/>
      <c r="L60" s="181"/>
      <c r="M60" s="181"/>
      <c r="N60" s="184"/>
    </row>
    <row r="61" spans="2:15" ht="24" customHeight="1" thickBot="1" x14ac:dyDescent="0.4">
      <c r="J61" s="185"/>
      <c r="K61" s="180"/>
      <c r="L61" s="181"/>
      <c r="M61" s="181"/>
      <c r="N61" s="184"/>
      <c r="O61" s="1"/>
    </row>
    <row r="62" spans="2:15" ht="24" customHeight="1" x14ac:dyDescent="0.35">
      <c r="B62" s="1276" t="s">
        <v>86</v>
      </c>
      <c r="C62" s="1277"/>
      <c r="D62" s="1277"/>
      <c r="E62" s="1278"/>
      <c r="J62" s="185"/>
      <c r="K62" s="180"/>
      <c r="L62" s="181"/>
      <c r="M62" s="181"/>
      <c r="N62" s="184"/>
      <c r="O62" s="1"/>
    </row>
    <row r="63" spans="2:15" ht="24" customHeight="1" x14ac:dyDescent="0.35">
      <c r="B63" s="8" t="s">
        <v>7</v>
      </c>
      <c r="C63" s="270" t="s">
        <v>8</v>
      </c>
      <c r="D63" s="217" t="s">
        <v>4</v>
      </c>
      <c r="E63" s="218" t="s">
        <v>9</v>
      </c>
      <c r="G63" s="1"/>
      <c r="H63" s="115"/>
      <c r="I63" s="1"/>
      <c r="J63" s="182"/>
      <c r="K63" s="180"/>
      <c r="L63" s="181"/>
      <c r="M63" s="181"/>
      <c r="N63" s="184"/>
    </row>
    <row r="64" spans="2:15" ht="24" customHeight="1" x14ac:dyDescent="0.35">
      <c r="B64" s="10" t="s">
        <v>3</v>
      </c>
      <c r="C64" s="258">
        <v>194</v>
      </c>
      <c r="D64" s="194">
        <v>110</v>
      </c>
      <c r="E64" s="196">
        <f>C64*D64</f>
        <v>21340</v>
      </c>
      <c r="J64" s="176"/>
      <c r="K64" s="180"/>
      <c r="L64" s="181"/>
      <c r="M64" s="181"/>
      <c r="N64" s="184"/>
    </row>
    <row r="65" spans="2:15" ht="24" customHeight="1" x14ac:dyDescent="0.35">
      <c r="B65" s="10" t="s">
        <v>5</v>
      </c>
      <c r="C65" s="258">
        <v>3</v>
      </c>
      <c r="D65" s="194">
        <f>+D64*1.5</f>
        <v>165</v>
      </c>
      <c r="E65" s="196">
        <f>+C65*D65</f>
        <v>495</v>
      </c>
      <c r="J65" s="176"/>
      <c r="K65" s="180"/>
      <c r="L65" s="181"/>
      <c r="M65" s="181"/>
      <c r="N65" s="184"/>
    </row>
    <row r="66" spans="2:15" ht="24" customHeight="1" thickBot="1" x14ac:dyDescent="0.4">
      <c r="B66" s="128" t="s">
        <v>19</v>
      </c>
      <c r="C66" s="273"/>
      <c r="D66" s="219"/>
      <c r="E66" s="199">
        <f>+C66</f>
        <v>0</v>
      </c>
      <c r="J66" s="1314"/>
      <c r="K66" s="1314"/>
      <c r="L66" s="181"/>
      <c r="M66" s="181"/>
      <c r="N66" s="184"/>
    </row>
    <row r="67" spans="2:15" ht="24" customHeight="1" thickBot="1" x14ac:dyDescent="0.4">
      <c r="B67" s="12" t="s">
        <v>11</v>
      </c>
      <c r="C67" s="272"/>
      <c r="D67" s="223"/>
      <c r="E67" s="201">
        <f>+E64+E65-E66</f>
        <v>21835</v>
      </c>
      <c r="J67" s="176"/>
      <c r="K67" s="176"/>
      <c r="L67" s="176"/>
      <c r="M67" s="176"/>
      <c r="N67" s="176"/>
    </row>
    <row r="68" spans="2:15" ht="24" customHeight="1" thickBot="1" x14ac:dyDescent="0.4">
      <c r="J68" s="176"/>
      <c r="K68" s="176"/>
      <c r="L68" s="176"/>
      <c r="M68" s="176"/>
      <c r="N68" s="176"/>
    </row>
    <row r="69" spans="2:15" ht="24" customHeight="1" x14ac:dyDescent="0.35">
      <c r="B69" s="1276" t="s">
        <v>39</v>
      </c>
      <c r="C69" s="1277"/>
      <c r="D69" s="1277"/>
      <c r="E69" s="1278"/>
      <c r="J69" s="176"/>
      <c r="K69" s="183"/>
      <c r="L69" s="183"/>
      <c r="M69" s="183"/>
      <c r="N69" s="183"/>
    </row>
    <row r="70" spans="2:15" ht="24" customHeight="1" x14ac:dyDescent="0.35">
      <c r="B70" s="8" t="s">
        <v>7</v>
      </c>
      <c r="C70" s="270" t="s">
        <v>8</v>
      </c>
      <c r="D70" s="217" t="s">
        <v>4</v>
      </c>
      <c r="E70" s="218" t="s">
        <v>9</v>
      </c>
      <c r="J70" s="183"/>
      <c r="K70" s="176"/>
      <c r="L70" s="176"/>
      <c r="M70" s="176"/>
      <c r="N70" s="176"/>
      <c r="O70" s="1"/>
    </row>
    <row r="71" spans="2:15" ht="24" customHeight="1" x14ac:dyDescent="0.35">
      <c r="B71" s="10" t="s">
        <v>3</v>
      </c>
      <c r="C71" s="258"/>
      <c r="D71" s="194"/>
      <c r="E71" s="196">
        <v>25000</v>
      </c>
      <c r="G71" s="1"/>
      <c r="H71" s="1"/>
      <c r="I71" s="1"/>
      <c r="J71" s="176"/>
      <c r="K71" s="176"/>
      <c r="L71" s="176"/>
      <c r="M71" s="176"/>
      <c r="N71" s="176"/>
    </row>
    <row r="72" spans="2:15" ht="24" customHeight="1" thickBot="1" x14ac:dyDescent="0.4">
      <c r="B72" s="10" t="s">
        <v>5</v>
      </c>
      <c r="C72" s="258">
        <v>10</v>
      </c>
      <c r="D72" s="194">
        <f>+E71/8/20*(1.5)</f>
        <v>234.375</v>
      </c>
      <c r="E72" s="196">
        <f>C72*D72</f>
        <v>2343.75</v>
      </c>
      <c r="J72" s="176"/>
      <c r="K72" s="176"/>
      <c r="L72" s="176"/>
      <c r="M72" s="176"/>
      <c r="N72" s="176"/>
    </row>
    <row r="73" spans="2:15" ht="24" customHeight="1" thickBot="1" x14ac:dyDescent="0.4">
      <c r="B73" s="12" t="s">
        <v>11</v>
      </c>
      <c r="C73" s="272"/>
      <c r="D73" s="223"/>
      <c r="E73" s="201">
        <f>+E71+E72</f>
        <v>27343.75</v>
      </c>
      <c r="J73" s="176"/>
      <c r="K73" s="176"/>
      <c r="L73" s="176"/>
      <c r="M73" s="176"/>
      <c r="N73" s="176"/>
    </row>
    <row r="74" spans="2:15" ht="24" customHeight="1" thickBot="1" x14ac:dyDescent="0.4">
      <c r="J74" s="176"/>
      <c r="K74" s="176"/>
      <c r="L74" s="176"/>
      <c r="M74" s="176"/>
      <c r="N74" s="176"/>
    </row>
    <row r="75" spans="2:15" ht="24" customHeight="1" x14ac:dyDescent="0.35">
      <c r="B75" s="1276" t="s">
        <v>41</v>
      </c>
      <c r="C75" s="1277"/>
      <c r="D75" s="1277"/>
      <c r="E75" s="1278"/>
      <c r="F75" s="298" t="s">
        <v>89</v>
      </c>
      <c r="J75" s="176"/>
      <c r="K75" s="176"/>
      <c r="L75" s="176"/>
      <c r="M75" s="176"/>
      <c r="N75" s="176"/>
    </row>
    <row r="76" spans="2:15" ht="24" customHeight="1" x14ac:dyDescent="0.35">
      <c r="B76" s="8" t="s">
        <v>7</v>
      </c>
      <c r="C76" s="270" t="s">
        <v>8</v>
      </c>
      <c r="D76" s="217" t="s">
        <v>4</v>
      </c>
      <c r="E76" s="218" t="s">
        <v>9</v>
      </c>
      <c r="J76" s="176"/>
      <c r="K76" s="176"/>
      <c r="L76" s="176"/>
      <c r="M76" s="176"/>
      <c r="N76" s="176"/>
    </row>
    <row r="77" spans="2:15" ht="24" customHeight="1" x14ac:dyDescent="0.35">
      <c r="B77" s="10" t="s">
        <v>3</v>
      </c>
      <c r="C77" s="258">
        <v>168</v>
      </c>
      <c r="D77" s="194">
        <v>375</v>
      </c>
      <c r="E77" s="196">
        <f>+C77*D77</f>
        <v>63000</v>
      </c>
      <c r="J77" s="176"/>
      <c r="K77" s="176"/>
      <c r="L77" s="176"/>
      <c r="M77" s="176"/>
      <c r="N77" s="176"/>
    </row>
    <row r="78" spans="2:15" ht="24" customHeight="1" thickBot="1" x14ac:dyDescent="0.4">
      <c r="B78" s="168" t="s">
        <v>19</v>
      </c>
      <c r="C78" s="274">
        <v>0</v>
      </c>
      <c r="D78" s="195" t="s">
        <v>63</v>
      </c>
      <c r="E78" s="224">
        <f>+C78</f>
        <v>0</v>
      </c>
      <c r="J78" s="176"/>
      <c r="K78" s="176"/>
      <c r="L78" s="176"/>
      <c r="M78" s="176"/>
      <c r="N78" s="176"/>
    </row>
    <row r="79" spans="2:15" ht="24" customHeight="1" thickBot="1" x14ac:dyDescent="0.4">
      <c r="B79" s="12" t="s">
        <v>11</v>
      </c>
      <c r="C79" s="275"/>
      <c r="D79" s="225"/>
      <c r="E79" s="201">
        <f>+E77-E78</f>
        <v>63000</v>
      </c>
      <c r="J79" s="176"/>
      <c r="K79" s="176"/>
      <c r="L79" s="176"/>
      <c r="M79" s="176"/>
      <c r="N79" s="176"/>
    </row>
    <row r="80" spans="2:15" ht="14.5" x14ac:dyDescent="0.35">
      <c r="J80" s="176"/>
      <c r="K80" s="176"/>
      <c r="L80" s="176"/>
      <c r="M80" s="176"/>
      <c r="N80" s="176"/>
    </row>
    <row r="81" spans="2:14" ht="14.5" x14ac:dyDescent="0.35">
      <c r="J81" s="176"/>
      <c r="K81" s="176"/>
      <c r="L81" s="176"/>
      <c r="M81" s="176"/>
      <c r="N81" s="176"/>
    </row>
    <row r="82" spans="2:14" ht="14.5" x14ac:dyDescent="0.35">
      <c r="J82" s="176"/>
      <c r="K82" s="176"/>
      <c r="L82" s="176"/>
      <c r="M82" s="176"/>
      <c r="N82" s="176"/>
    </row>
    <row r="83" spans="2:14" ht="14.5" x14ac:dyDescent="0.35">
      <c r="J83" s="176"/>
      <c r="K83" s="176"/>
      <c r="L83" s="176"/>
      <c r="M83" s="176"/>
      <c r="N83" s="176"/>
    </row>
    <row r="84" spans="2:14" ht="14.5" x14ac:dyDescent="0.35">
      <c r="J84" s="176"/>
      <c r="K84" s="176"/>
      <c r="L84" s="176"/>
      <c r="M84" s="176"/>
      <c r="N84" s="176"/>
    </row>
    <row r="85" spans="2:14" ht="14.5" x14ac:dyDescent="0.35">
      <c r="J85" s="176"/>
      <c r="K85" s="176"/>
      <c r="L85" s="176"/>
      <c r="M85" s="176"/>
      <c r="N85" s="176"/>
    </row>
    <row r="86" spans="2:14" ht="14.5" x14ac:dyDescent="0.35">
      <c r="J86" s="176"/>
      <c r="K86" s="176"/>
      <c r="L86" s="176"/>
      <c r="M86" s="176"/>
      <c r="N86" s="176"/>
    </row>
    <row r="87" spans="2:14" ht="14.5" x14ac:dyDescent="0.35">
      <c r="J87" s="176"/>
      <c r="K87" s="176"/>
      <c r="L87" s="176"/>
      <c r="M87" s="176"/>
      <c r="N87" s="176"/>
    </row>
    <row r="88" spans="2:14" ht="14.5" x14ac:dyDescent="0.35">
      <c r="J88" s="176"/>
      <c r="K88" s="176"/>
      <c r="L88" s="176"/>
      <c r="M88" s="176"/>
      <c r="N88" s="176"/>
    </row>
    <row r="89" spans="2:14" ht="14.5" x14ac:dyDescent="0.35">
      <c r="J89" s="176"/>
      <c r="K89" s="176"/>
      <c r="L89" s="176"/>
      <c r="M89" s="176"/>
      <c r="N89" s="176"/>
    </row>
    <row r="90" spans="2:14" ht="14.5" x14ac:dyDescent="0.35">
      <c r="J90" s="176"/>
      <c r="K90" s="176"/>
      <c r="L90" s="176"/>
      <c r="M90" s="176"/>
      <c r="N90" s="176"/>
    </row>
    <row r="91" spans="2:14" ht="14.5" x14ac:dyDescent="0.35">
      <c r="J91" s="176"/>
      <c r="K91" s="176"/>
      <c r="L91" s="176"/>
      <c r="M91" s="176"/>
      <c r="N91" s="176"/>
    </row>
    <row r="92" spans="2:14" ht="15" thickBot="1" x14ac:dyDescent="0.4">
      <c r="B92" s="1313" t="s">
        <v>88</v>
      </c>
      <c r="C92" s="1313"/>
      <c r="D92" s="1313"/>
      <c r="E92" s="1313"/>
      <c r="J92" s="176"/>
      <c r="K92" s="176"/>
      <c r="L92" s="176"/>
      <c r="M92" s="176"/>
      <c r="N92" s="176"/>
    </row>
    <row r="93" spans="2:14" ht="23.5" x14ac:dyDescent="0.35">
      <c r="B93" s="1276" t="s">
        <v>28</v>
      </c>
      <c r="C93" s="1277"/>
      <c r="D93" s="1277"/>
      <c r="E93" s="1278"/>
      <c r="J93" s="176"/>
      <c r="K93" s="176"/>
      <c r="L93" s="176"/>
      <c r="M93" s="176"/>
      <c r="N93" s="176"/>
    </row>
    <row r="94" spans="2:14" ht="14.5" x14ac:dyDescent="0.35">
      <c r="B94" s="8" t="s">
        <v>7</v>
      </c>
      <c r="C94" s="270" t="s">
        <v>8</v>
      </c>
      <c r="D94" s="217" t="s">
        <v>4</v>
      </c>
      <c r="E94" s="218" t="s">
        <v>9</v>
      </c>
      <c r="J94" s="176"/>
      <c r="K94" s="176"/>
      <c r="L94" s="176"/>
      <c r="M94" s="176"/>
      <c r="N94" s="176"/>
    </row>
    <row r="95" spans="2:14" ht="14.5" x14ac:dyDescent="0.35">
      <c r="B95" s="10" t="s">
        <v>3</v>
      </c>
      <c r="C95" s="258">
        <v>184</v>
      </c>
      <c r="D95" s="194">
        <v>150.5</v>
      </c>
      <c r="E95" s="196">
        <f>C95*D95</f>
        <v>27692</v>
      </c>
      <c r="J95" s="176"/>
      <c r="K95" s="176"/>
      <c r="L95" s="176"/>
      <c r="M95" s="176"/>
      <c r="N95" s="176"/>
    </row>
    <row r="96" spans="2:14" ht="14.5" x14ac:dyDescent="0.35">
      <c r="B96" s="10" t="s">
        <v>5</v>
      </c>
      <c r="C96" s="258">
        <v>17</v>
      </c>
      <c r="D96" s="194">
        <f>+D95*1.5</f>
        <v>225.75</v>
      </c>
      <c r="E96" s="196">
        <f>C96*D96</f>
        <v>3837.75</v>
      </c>
      <c r="J96" s="176"/>
      <c r="K96" s="176"/>
      <c r="L96" s="176"/>
      <c r="M96" s="176"/>
      <c r="N96" s="176"/>
    </row>
    <row r="97" spans="2:14" ht="14.5" x14ac:dyDescent="0.35">
      <c r="B97" s="10" t="s">
        <v>1</v>
      </c>
      <c r="C97" s="258">
        <v>0</v>
      </c>
      <c r="D97" s="194"/>
      <c r="E97" s="196">
        <f>+C97</f>
        <v>0</v>
      </c>
      <c r="J97" s="176"/>
      <c r="K97" s="176"/>
      <c r="L97" s="176"/>
      <c r="M97" s="176"/>
      <c r="N97" s="176"/>
    </row>
    <row r="98" spans="2:14" ht="14.5" x14ac:dyDescent="0.35">
      <c r="B98" s="10" t="s">
        <v>2</v>
      </c>
      <c r="C98" s="258">
        <v>14974</v>
      </c>
      <c r="D98" s="194"/>
      <c r="E98" s="196">
        <f>+C98</f>
        <v>14974</v>
      </c>
    </row>
    <row r="99" spans="2:14" ht="14.5" x14ac:dyDescent="0.35">
      <c r="B99" s="10" t="s">
        <v>6</v>
      </c>
      <c r="C99" s="258">
        <v>8000</v>
      </c>
      <c r="D99" s="194"/>
      <c r="E99" s="196">
        <f>+C99</f>
        <v>8000</v>
      </c>
    </row>
    <row r="100" spans="2:14" ht="15" thickBot="1" x14ac:dyDescent="0.4">
      <c r="B100" s="19" t="s">
        <v>19</v>
      </c>
      <c r="C100" s="258">
        <v>3000</v>
      </c>
      <c r="D100" s="194"/>
      <c r="E100" s="226">
        <f>+C100</f>
        <v>3000</v>
      </c>
    </row>
    <row r="101" spans="2:14" ht="16" thickBot="1" x14ac:dyDescent="0.4">
      <c r="B101" s="1296" t="s">
        <v>64</v>
      </c>
      <c r="C101" s="1297"/>
      <c r="D101" s="1298"/>
      <c r="E101" s="201">
        <f>+E95+E96+E97+E98+E99-E100</f>
        <v>51503.75</v>
      </c>
    </row>
    <row r="104" spans="2:14" ht="18" customHeight="1" x14ac:dyDescent="0.35">
      <c r="E104" s="203">
        <f>+E101-43529.75</f>
        <v>7974</v>
      </c>
    </row>
    <row r="108" spans="2:14" ht="18" customHeight="1" x14ac:dyDescent="0.35">
      <c r="F108" s="1"/>
    </row>
    <row r="112" spans="2:14" ht="18" customHeight="1" x14ac:dyDescent="0.35">
      <c r="F112" s="114"/>
    </row>
  </sheetData>
  <mergeCells count="17">
    <mergeCell ref="B38:E38"/>
    <mergeCell ref="B46:E46"/>
    <mergeCell ref="B54:E54"/>
    <mergeCell ref="B20:E20"/>
    <mergeCell ref="B29:E29"/>
    <mergeCell ref="B101:D101"/>
    <mergeCell ref="J66:K66"/>
    <mergeCell ref="B62:E62"/>
    <mergeCell ref="B69:E69"/>
    <mergeCell ref="B75:E75"/>
    <mergeCell ref="B93:E93"/>
    <mergeCell ref="B92:E92"/>
    <mergeCell ref="B2:E2"/>
    <mergeCell ref="F9:F11"/>
    <mergeCell ref="B11:E11"/>
    <mergeCell ref="H31:I31"/>
    <mergeCell ref="I2:Q2"/>
  </mergeCells>
  <pageMargins left="3.937007874015748E-2" right="3.937007874015748E-2" top="0.35433070866141736" bottom="0" header="0.31496062992125984" footer="0.31496062992125984"/>
  <pageSetup paperSize="9" fitToWidth="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5"/>
  <sheetViews>
    <sheetView workbookViewId="0">
      <selection activeCell="A6" sqref="A6"/>
    </sheetView>
  </sheetViews>
  <sheetFormatPr baseColWidth="10" defaultRowHeight="21" customHeight="1" x14ac:dyDescent="0.35"/>
  <cols>
    <col min="2" max="2" width="20.90625" customWidth="1"/>
    <col min="3" max="3" width="18.90625" style="261" customWidth="1"/>
    <col min="4" max="4" width="19.90625" style="202" customWidth="1"/>
    <col min="5" max="5" width="18.54296875" style="203" customWidth="1"/>
    <col min="6" max="6" width="21.6328125" customWidth="1"/>
    <col min="7" max="8" width="14.08984375" customWidth="1"/>
    <col min="9" max="9" width="12.54296875" customWidth="1"/>
    <col min="10" max="10" width="14.6328125" customWidth="1"/>
    <col min="11" max="11" width="14.54296875" bestFit="1" customWidth="1"/>
    <col min="12" max="12" width="13" customWidth="1"/>
    <col min="13" max="13" width="13.453125" customWidth="1"/>
    <col min="14" max="14" width="13.36328125" bestFit="1" customWidth="1"/>
    <col min="15" max="15" width="14.08984375" customWidth="1"/>
  </cols>
  <sheetData>
    <row r="1" spans="2:15" ht="21" customHeight="1" thickBot="1" x14ac:dyDescent="0.4">
      <c r="B1" s="1273" t="s">
        <v>10</v>
      </c>
      <c r="C1" s="1274"/>
      <c r="D1" s="1274"/>
      <c r="E1" s="1275"/>
      <c r="G1" s="80" t="s">
        <v>20</v>
      </c>
      <c r="H1" s="74" t="s">
        <v>8</v>
      </c>
      <c r="I1" s="74" t="s">
        <v>44</v>
      </c>
      <c r="J1" s="81" t="s">
        <v>43</v>
      </c>
      <c r="K1" s="74" t="s">
        <v>2</v>
      </c>
      <c r="L1" s="74" t="s">
        <v>24</v>
      </c>
      <c r="M1" s="74" t="s">
        <v>19</v>
      </c>
      <c r="N1" s="74" t="s">
        <v>18</v>
      </c>
      <c r="O1" s="68" t="s">
        <v>23</v>
      </c>
    </row>
    <row r="2" spans="2:15" s="1" customFormat="1" ht="21" customHeight="1" thickBot="1" x14ac:dyDescent="0.4">
      <c r="B2" s="16" t="s">
        <v>7</v>
      </c>
      <c r="C2" s="257" t="s">
        <v>8</v>
      </c>
      <c r="D2" s="192" t="s">
        <v>4</v>
      </c>
      <c r="E2" s="193" t="s">
        <v>9</v>
      </c>
      <c r="G2" s="230" t="s">
        <v>10</v>
      </c>
      <c r="H2" s="231">
        <f>+E3</f>
        <v>32486.399999999998</v>
      </c>
      <c r="I2" s="232">
        <f>+E4</f>
        <v>507.59999999999997</v>
      </c>
      <c r="J2" s="232">
        <f>+E5</f>
        <v>8000</v>
      </c>
      <c r="K2" s="232">
        <v>0</v>
      </c>
      <c r="L2" s="233">
        <f>+H2+I2+J2+K2</f>
        <v>40994</v>
      </c>
      <c r="M2" s="252">
        <f>+E7</f>
        <v>0</v>
      </c>
      <c r="N2" s="234">
        <f>+E8</f>
        <v>25616.57</v>
      </c>
      <c r="O2" s="235">
        <f>+L2-M2-N2</f>
        <v>15377.43</v>
      </c>
    </row>
    <row r="3" spans="2:15" ht="21" customHeight="1" thickBot="1" x14ac:dyDescent="0.4">
      <c r="B3" s="10" t="s">
        <v>3</v>
      </c>
      <c r="C3" s="258">
        <v>192</v>
      </c>
      <c r="D3" s="227">
        <v>169.2</v>
      </c>
      <c r="E3" s="196">
        <f>C3*D3</f>
        <v>32486.399999999998</v>
      </c>
      <c r="G3" s="236" t="s">
        <v>13</v>
      </c>
      <c r="H3" s="237">
        <f>+E13</f>
        <v>32486.399999999998</v>
      </c>
      <c r="I3" s="238">
        <f>+E14</f>
        <v>0</v>
      </c>
      <c r="J3" s="238">
        <f>+E15</f>
        <v>8000</v>
      </c>
      <c r="K3" s="238">
        <v>0</v>
      </c>
      <c r="L3" s="233">
        <f t="shared" ref="L3:L8" si="0">+H3+I3+J3+K3</f>
        <v>40486.399999999994</v>
      </c>
      <c r="M3" s="253">
        <f>+E17</f>
        <v>10000</v>
      </c>
      <c r="N3" s="239">
        <f>+E18</f>
        <v>22240.27</v>
      </c>
      <c r="O3" s="235">
        <f t="shared" ref="O3:O10" si="1">+L3-M3-N3</f>
        <v>8246.1299999999937</v>
      </c>
    </row>
    <row r="4" spans="2:15" ht="21" customHeight="1" thickBot="1" x14ac:dyDescent="0.4">
      <c r="B4" s="10" t="s">
        <v>5</v>
      </c>
      <c r="C4" s="258">
        <v>2</v>
      </c>
      <c r="D4" s="194">
        <f>+D3*1.5</f>
        <v>253.79999999999998</v>
      </c>
      <c r="E4" s="196">
        <f>C4*D4</f>
        <v>507.59999999999997</v>
      </c>
      <c r="G4" s="236" t="s">
        <v>15</v>
      </c>
      <c r="H4" s="237">
        <f>+E23</f>
        <v>34560</v>
      </c>
      <c r="I4" s="238">
        <f>+E24+E27</f>
        <v>810</v>
      </c>
      <c r="J4" s="238">
        <f>+E25</f>
        <v>8000</v>
      </c>
      <c r="K4" s="238">
        <v>0</v>
      </c>
      <c r="L4" s="233">
        <f t="shared" si="0"/>
        <v>43370</v>
      </c>
      <c r="M4" s="253">
        <v>0</v>
      </c>
      <c r="N4" s="249">
        <v>0</v>
      </c>
      <c r="O4" s="235">
        <f>+L4</f>
        <v>43370</v>
      </c>
    </row>
    <row r="5" spans="2:15" ht="21" customHeight="1" thickBot="1" x14ac:dyDescent="0.4">
      <c r="B5" s="10" t="s">
        <v>6</v>
      </c>
      <c r="C5" s="258">
        <v>8000</v>
      </c>
      <c r="D5" s="194"/>
      <c r="E5" s="196">
        <f>+C5</f>
        <v>8000</v>
      </c>
      <c r="G5" s="236" t="s">
        <v>16</v>
      </c>
      <c r="H5" s="237">
        <f>+E32</f>
        <v>29952</v>
      </c>
      <c r="I5" s="291">
        <f>+E33</f>
        <v>117</v>
      </c>
      <c r="J5" s="238">
        <f>+E34</f>
        <v>8000</v>
      </c>
      <c r="K5" s="238">
        <v>0</v>
      </c>
      <c r="L5" s="233">
        <f t="shared" si="0"/>
        <v>38069</v>
      </c>
      <c r="M5" s="253">
        <f>+E36</f>
        <v>10000</v>
      </c>
      <c r="N5" s="249">
        <v>0</v>
      </c>
      <c r="O5" s="235">
        <f>+L5-M5</f>
        <v>28069</v>
      </c>
    </row>
    <row r="6" spans="2:15" ht="21" customHeight="1" thickBot="1" x14ac:dyDescent="0.4">
      <c r="B6" s="1323" t="s">
        <v>99</v>
      </c>
      <c r="C6" s="1324"/>
      <c r="D6" s="1324"/>
      <c r="E6" s="304">
        <f>+E3+E4+E5</f>
        <v>40994</v>
      </c>
      <c r="G6" s="236" t="s">
        <v>0</v>
      </c>
      <c r="H6" s="237">
        <f>+E41</f>
        <v>37248</v>
      </c>
      <c r="I6" s="238">
        <f>+E42</f>
        <v>1891.5</v>
      </c>
      <c r="J6" s="238">
        <f>+E43</f>
        <v>13500</v>
      </c>
      <c r="K6" s="238"/>
      <c r="L6" s="233">
        <f t="shared" si="0"/>
        <v>52639.5</v>
      </c>
      <c r="M6" s="253">
        <v>0</v>
      </c>
      <c r="N6" s="249">
        <f>+E45</f>
        <v>25616.57</v>
      </c>
      <c r="O6" s="235">
        <f>+L6-M6-N6</f>
        <v>27022.93</v>
      </c>
    </row>
    <row r="7" spans="2:15" ht="21" customHeight="1" thickBot="1" x14ac:dyDescent="0.4">
      <c r="B7" s="299" t="s">
        <v>19</v>
      </c>
      <c r="C7" s="300"/>
      <c r="D7" s="301"/>
      <c r="E7" s="302">
        <v>0</v>
      </c>
      <c r="G7" s="236" t="s">
        <v>28</v>
      </c>
      <c r="H7" s="237">
        <f>+E50</f>
        <v>34560</v>
      </c>
      <c r="I7" s="238">
        <f>+E51</f>
        <v>0</v>
      </c>
      <c r="J7" s="238">
        <f>+E52</f>
        <v>13000</v>
      </c>
      <c r="K7" s="238">
        <v>0</v>
      </c>
      <c r="L7" s="233">
        <f t="shared" si="0"/>
        <v>47560</v>
      </c>
      <c r="M7" s="253">
        <f>+E54</f>
        <v>10000</v>
      </c>
      <c r="N7" s="249">
        <v>0</v>
      </c>
      <c r="O7" s="235">
        <f>+L7-M7-N7</f>
        <v>37560</v>
      </c>
    </row>
    <row r="8" spans="2:15" ht="21" customHeight="1" thickBot="1" x14ac:dyDescent="0.4">
      <c r="B8" s="128" t="s">
        <v>18</v>
      </c>
      <c r="C8" s="259"/>
      <c r="D8" s="197"/>
      <c r="E8" s="198">
        <v>25616.57</v>
      </c>
      <c r="F8" s="1325"/>
      <c r="G8" s="236" t="s">
        <v>17</v>
      </c>
      <c r="H8" s="237">
        <f>+E59</f>
        <v>25344</v>
      </c>
      <c r="I8" s="238">
        <f>+E60</f>
        <v>891</v>
      </c>
      <c r="J8" s="238">
        <f>+E61</f>
        <v>5000</v>
      </c>
      <c r="K8" s="238">
        <v>0</v>
      </c>
      <c r="L8" s="233">
        <f t="shared" si="0"/>
        <v>31235</v>
      </c>
      <c r="M8" s="253">
        <v>0</v>
      </c>
      <c r="N8" s="249">
        <v>0</v>
      </c>
      <c r="O8" s="240">
        <f t="shared" si="1"/>
        <v>31235</v>
      </c>
    </row>
    <row r="9" spans="2:15" ht="21" customHeight="1" thickBot="1" x14ac:dyDescent="0.4">
      <c r="B9" s="12" t="s">
        <v>11</v>
      </c>
      <c r="C9" s="272"/>
      <c r="D9" s="220"/>
      <c r="E9" s="303">
        <f>+E3+E4+E5-E7-E8</f>
        <v>15377.43</v>
      </c>
      <c r="F9" s="1325"/>
      <c r="G9" s="236" t="s">
        <v>86</v>
      </c>
      <c r="H9" s="241">
        <f>+E68</f>
        <v>21120</v>
      </c>
      <c r="I9" s="242">
        <f>+E69</f>
        <v>165</v>
      </c>
      <c r="J9" s="242">
        <v>0</v>
      </c>
      <c r="K9" s="242">
        <v>0</v>
      </c>
      <c r="L9" s="243">
        <f>K9+H9+I9+J9</f>
        <v>21285</v>
      </c>
      <c r="M9" s="254">
        <f>+E71</f>
        <v>0</v>
      </c>
      <c r="N9" s="250">
        <v>0</v>
      </c>
      <c r="O9" s="244">
        <f t="shared" si="1"/>
        <v>21285</v>
      </c>
    </row>
    <row r="10" spans="2:15" ht="21" customHeight="1" thickBot="1" x14ac:dyDescent="0.4">
      <c r="F10" s="1326"/>
      <c r="G10" s="245" t="s">
        <v>42</v>
      </c>
      <c r="H10" s="246">
        <f>+E76</f>
        <v>25000</v>
      </c>
      <c r="I10" s="247">
        <f>+E77</f>
        <v>820.3125</v>
      </c>
      <c r="J10" s="247">
        <v>0</v>
      </c>
      <c r="K10" s="247">
        <v>0</v>
      </c>
      <c r="L10" s="233">
        <f>K10+H10+I10+J10</f>
        <v>25820.3125</v>
      </c>
      <c r="M10" s="255">
        <v>0</v>
      </c>
      <c r="N10" s="251">
        <v>0</v>
      </c>
      <c r="O10" s="240">
        <f t="shared" si="1"/>
        <v>25820.3125</v>
      </c>
    </row>
    <row r="11" spans="2:15" ht="21" customHeight="1" thickBot="1" x14ac:dyDescent="0.4">
      <c r="B11" s="1273" t="s">
        <v>13</v>
      </c>
      <c r="C11" s="1274"/>
      <c r="D11" s="1274"/>
      <c r="E11" s="1275"/>
      <c r="G11" s="1327" t="s">
        <v>24</v>
      </c>
      <c r="H11" s="1328"/>
      <c r="I11" s="1328"/>
      <c r="J11" s="1328"/>
      <c r="K11" s="1328"/>
      <c r="L11" s="1328"/>
      <c r="M11" s="256">
        <f>SUM(M2:M10)</f>
        <v>30000</v>
      </c>
      <c r="N11" s="256">
        <f>SUM(N2:N10)</f>
        <v>73473.41</v>
      </c>
      <c r="O11" s="256">
        <f>SUM(O2:O10)</f>
        <v>237985.80249999999</v>
      </c>
    </row>
    <row r="12" spans="2:15" ht="21" customHeight="1" thickBot="1" x14ac:dyDescent="0.4">
      <c r="B12" s="16" t="s">
        <v>7</v>
      </c>
      <c r="C12" s="257" t="s">
        <v>8</v>
      </c>
      <c r="D12" s="192" t="s">
        <v>4</v>
      </c>
      <c r="E12" s="193" t="s">
        <v>9</v>
      </c>
      <c r="G12" s="248"/>
      <c r="H12" s="248"/>
      <c r="I12" s="248"/>
      <c r="J12" s="248"/>
      <c r="K12" s="248"/>
      <c r="L12" s="248"/>
      <c r="M12" s="1318">
        <f>+N11+O11+M11</f>
        <v>341459.21250000002</v>
      </c>
      <c r="N12" s="1319"/>
      <c r="O12" s="1320"/>
    </row>
    <row r="13" spans="2:15" s="1" customFormat="1" ht="21" customHeight="1" x14ac:dyDescent="0.35">
      <c r="B13" s="10" t="s">
        <v>3</v>
      </c>
      <c r="C13" s="258">
        <v>192</v>
      </c>
      <c r="D13" s="194">
        <v>169.2</v>
      </c>
      <c r="E13" s="196">
        <f>C13*D13</f>
        <v>32486.399999999998</v>
      </c>
      <c r="G13"/>
      <c r="H13"/>
      <c r="I13"/>
      <c r="J13"/>
      <c r="K13"/>
      <c r="L13"/>
      <c r="M13"/>
      <c r="N13"/>
      <c r="O13"/>
    </row>
    <row r="14" spans="2:15" ht="21" customHeight="1" x14ac:dyDescent="0.35">
      <c r="B14" s="10" t="s">
        <v>5</v>
      </c>
      <c r="C14" s="258">
        <v>0</v>
      </c>
      <c r="D14" s="194">
        <f>+D13*1.5</f>
        <v>253.79999999999998</v>
      </c>
      <c r="E14" s="196">
        <f>C14*D14</f>
        <v>0</v>
      </c>
      <c r="G14" s="1302" t="s">
        <v>96</v>
      </c>
      <c r="H14" s="1302"/>
    </row>
    <row r="15" spans="2:15" ht="21" customHeight="1" thickBot="1" x14ac:dyDescent="0.4">
      <c r="B15" s="10" t="s">
        <v>6</v>
      </c>
      <c r="C15" s="258">
        <v>8000</v>
      </c>
      <c r="D15" s="194"/>
      <c r="E15" s="196">
        <f>+C15</f>
        <v>8000</v>
      </c>
      <c r="G15" s="1302"/>
      <c r="H15" s="1302"/>
      <c r="I15" s="1"/>
      <c r="J15" s="1"/>
      <c r="K15" s="1"/>
      <c r="L15" s="1"/>
      <c r="M15" s="1"/>
      <c r="N15" s="1"/>
      <c r="O15" s="1"/>
    </row>
    <row r="16" spans="2:15" ht="21" customHeight="1" thickBot="1" x14ac:dyDescent="0.4">
      <c r="B16" s="1323" t="s">
        <v>99</v>
      </c>
      <c r="C16" s="1324"/>
      <c r="D16" s="1324"/>
      <c r="E16" s="304">
        <f>+E13+E14+E15</f>
        <v>40486.399999999994</v>
      </c>
      <c r="G16" s="1302"/>
      <c r="H16" s="1302"/>
      <c r="J16" s="4"/>
    </row>
    <row r="17" spans="1:15" ht="21" customHeight="1" thickBot="1" x14ac:dyDescent="0.4">
      <c r="B17" s="128" t="s">
        <v>19</v>
      </c>
      <c r="C17" s="259"/>
      <c r="D17" s="197"/>
      <c r="E17" s="198">
        <v>10000</v>
      </c>
      <c r="I17" s="4"/>
      <c r="J17" s="57"/>
      <c r="K17" s="61" t="s">
        <v>29</v>
      </c>
      <c r="L17" s="61" t="s">
        <v>30</v>
      </c>
      <c r="M17" s="61" t="s">
        <v>31</v>
      </c>
      <c r="N17" s="62" t="s">
        <v>32</v>
      </c>
    </row>
    <row r="18" spans="1:15" ht="21" customHeight="1" thickBot="1" x14ac:dyDescent="0.4">
      <c r="B18" s="131" t="s">
        <v>18</v>
      </c>
      <c r="C18" s="259"/>
      <c r="D18" s="197"/>
      <c r="E18" s="199">
        <v>22240.27</v>
      </c>
      <c r="G18" s="1282" t="s">
        <v>25</v>
      </c>
      <c r="H18" s="1282" t="s">
        <v>26</v>
      </c>
      <c r="J18" s="172" t="s">
        <v>0</v>
      </c>
      <c r="K18" s="63">
        <v>194</v>
      </c>
      <c r="L18" s="173">
        <f>+K18*1.5</f>
        <v>291</v>
      </c>
      <c r="M18" s="174"/>
      <c r="N18" s="175">
        <v>13500</v>
      </c>
    </row>
    <row r="19" spans="1:15" ht="21" customHeight="1" thickBot="1" x14ac:dyDescent="0.4">
      <c r="B19" s="12" t="s">
        <v>11</v>
      </c>
      <c r="C19" s="260"/>
      <c r="D19" s="200"/>
      <c r="E19" s="201">
        <f>+E13+E14+E15-E17-E18</f>
        <v>8246.1299999999937</v>
      </c>
      <c r="G19" s="1282"/>
      <c r="H19" s="1282"/>
      <c r="J19" s="58" t="s">
        <v>28</v>
      </c>
      <c r="K19" s="64">
        <v>180</v>
      </c>
      <c r="L19" s="50">
        <f t="shared" ref="L19:L25" si="2">+K19*1.5</f>
        <v>270</v>
      </c>
      <c r="M19" s="52"/>
      <c r="N19" s="53">
        <v>13000</v>
      </c>
    </row>
    <row r="20" spans="1:15" ht="21" customHeight="1" thickBot="1" x14ac:dyDescent="0.4">
      <c r="B20" s="276"/>
      <c r="C20" s="262"/>
      <c r="D20" s="204"/>
      <c r="E20" s="205"/>
      <c r="G20" s="1282"/>
      <c r="H20" s="1282"/>
      <c r="J20" s="58" t="s">
        <v>15</v>
      </c>
      <c r="K20" s="64">
        <v>180</v>
      </c>
      <c r="L20" s="50">
        <f t="shared" si="2"/>
        <v>270</v>
      </c>
      <c r="M20" s="52"/>
      <c r="N20" s="53">
        <v>8000</v>
      </c>
    </row>
    <row r="21" spans="1:15" ht="21" customHeight="1" thickBot="1" x14ac:dyDescent="0.4">
      <c r="B21" s="1273" t="s">
        <v>15</v>
      </c>
      <c r="C21" s="1274"/>
      <c r="D21" s="1274"/>
      <c r="E21" s="1275"/>
      <c r="G21" s="1282"/>
      <c r="H21" s="1321" t="s">
        <v>27</v>
      </c>
      <c r="J21" s="58" t="s">
        <v>10</v>
      </c>
      <c r="K21" s="64">
        <v>169.2</v>
      </c>
      <c r="L21" s="50">
        <f t="shared" si="2"/>
        <v>253.79999999999998</v>
      </c>
      <c r="M21" s="52"/>
      <c r="N21" s="53">
        <v>8000</v>
      </c>
    </row>
    <row r="22" spans="1:15" s="4" customFormat="1" ht="21" customHeight="1" x14ac:dyDescent="0.35">
      <c r="B22" s="16" t="s">
        <v>7</v>
      </c>
      <c r="C22" s="257" t="s">
        <v>8</v>
      </c>
      <c r="D22" s="192" t="s">
        <v>4</v>
      </c>
      <c r="E22" s="193" t="s">
        <v>9</v>
      </c>
      <c r="G22" s="1282"/>
      <c r="H22" s="1321"/>
      <c r="I22"/>
      <c r="J22" s="58" t="s">
        <v>13</v>
      </c>
      <c r="K22" s="64">
        <v>169.2</v>
      </c>
      <c r="L22" s="50">
        <f t="shared" si="2"/>
        <v>253.79999999999998</v>
      </c>
      <c r="M22" s="52"/>
      <c r="N22" s="53">
        <v>8000</v>
      </c>
      <c r="O22"/>
    </row>
    <row r="23" spans="1:15" ht="21" customHeight="1" x14ac:dyDescent="0.35">
      <c r="B23" s="10" t="s">
        <v>3</v>
      </c>
      <c r="C23" s="258">
        <v>192</v>
      </c>
      <c r="D23" s="194">
        <v>180</v>
      </c>
      <c r="E23" s="196">
        <f>C23*D23</f>
        <v>34560</v>
      </c>
      <c r="G23" s="1282"/>
      <c r="H23" s="1321"/>
      <c r="J23" s="59" t="s">
        <v>16</v>
      </c>
      <c r="K23" s="64">
        <v>156</v>
      </c>
      <c r="L23" s="50">
        <f t="shared" si="2"/>
        <v>234</v>
      </c>
      <c r="M23" s="52"/>
      <c r="N23" s="53">
        <v>3000</v>
      </c>
    </row>
    <row r="24" spans="1:15" ht="21" customHeight="1" thickBot="1" x14ac:dyDescent="0.4">
      <c r="A24" s="1"/>
      <c r="B24" s="10" t="s">
        <v>5</v>
      </c>
      <c r="C24" s="263">
        <v>3</v>
      </c>
      <c r="D24" s="194">
        <f>+D23*1.5</f>
        <v>270</v>
      </c>
      <c r="E24" s="196">
        <f>C24*D24</f>
        <v>810</v>
      </c>
      <c r="F24" s="1"/>
      <c r="G24" s="1282"/>
      <c r="H24" s="1321"/>
      <c r="I24" s="4"/>
      <c r="J24" s="59" t="s">
        <v>86</v>
      </c>
      <c r="K24" s="64">
        <v>110</v>
      </c>
      <c r="L24" s="50">
        <f t="shared" si="2"/>
        <v>165</v>
      </c>
      <c r="M24" s="52"/>
      <c r="N24" s="55">
        <v>7000</v>
      </c>
      <c r="O24" s="4"/>
    </row>
    <row r="25" spans="1:15" s="1" customFormat="1" ht="21" customHeight="1" thickBot="1" x14ac:dyDescent="0.4">
      <c r="A25"/>
      <c r="B25" s="10" t="s">
        <v>6</v>
      </c>
      <c r="C25" s="258">
        <v>8000</v>
      </c>
      <c r="D25" s="194"/>
      <c r="E25" s="196">
        <f>+C25</f>
        <v>8000</v>
      </c>
      <c r="F25" s="278"/>
      <c r="G25" s="47"/>
      <c r="H25"/>
      <c r="I25" s="171"/>
      <c r="J25" s="60" t="s">
        <v>17</v>
      </c>
      <c r="K25" s="65">
        <v>132</v>
      </c>
      <c r="L25" s="56">
        <f t="shared" si="2"/>
        <v>198</v>
      </c>
      <c r="M25" s="54">
        <v>0</v>
      </c>
      <c r="N25" s="55">
        <v>5000</v>
      </c>
      <c r="O25"/>
    </row>
    <row r="26" spans="1:15" ht="21" customHeight="1" thickBot="1" x14ac:dyDescent="0.4">
      <c r="B26" s="1323" t="s">
        <v>99</v>
      </c>
      <c r="C26" s="1324"/>
      <c r="D26" s="1324"/>
      <c r="E26" s="304">
        <f>+E23+E24+E25</f>
        <v>43370</v>
      </c>
      <c r="I26" s="171"/>
      <c r="J26" s="48"/>
      <c r="K26" s="66"/>
      <c r="L26" s="49"/>
      <c r="M26" s="49"/>
    </row>
    <row r="27" spans="1:15" ht="21" customHeight="1" thickBot="1" x14ac:dyDescent="0.4">
      <c r="B27" s="168" t="s">
        <v>19</v>
      </c>
      <c r="C27" s="264">
        <v>0</v>
      </c>
      <c r="D27" s="206"/>
      <c r="E27" s="207">
        <v>0</v>
      </c>
      <c r="F27" s="49"/>
      <c r="G27" s="1"/>
      <c r="H27" s="1"/>
      <c r="I27" s="171"/>
      <c r="J27" s="1"/>
      <c r="K27" s="51"/>
      <c r="L27" s="49"/>
      <c r="M27" s="49"/>
      <c r="O27" s="1"/>
    </row>
    <row r="28" spans="1:15" ht="21" customHeight="1" thickBot="1" x14ac:dyDescent="0.4">
      <c r="B28" s="134" t="s">
        <v>11</v>
      </c>
      <c r="C28" s="265"/>
      <c r="D28" s="208"/>
      <c r="E28" s="201">
        <f>+E23+E24+E25-E27</f>
        <v>43370</v>
      </c>
      <c r="H28" s="322" t="s">
        <v>106</v>
      </c>
      <c r="I28" s="323" t="s">
        <v>107</v>
      </c>
      <c r="K28" s="51"/>
      <c r="L28" s="51"/>
      <c r="M28" s="51"/>
      <c r="N28" s="1"/>
    </row>
    <row r="29" spans="1:15" ht="21" customHeight="1" thickBot="1" x14ac:dyDescent="0.4">
      <c r="H29" s="326">
        <v>16</v>
      </c>
      <c r="I29" s="327">
        <v>9</v>
      </c>
      <c r="J29" s="324">
        <f>+H29*I29</f>
        <v>144</v>
      </c>
      <c r="K29" s="279"/>
      <c r="L29" s="51"/>
      <c r="M29" s="51"/>
      <c r="N29" s="1"/>
    </row>
    <row r="30" spans="1:15" ht="21" customHeight="1" thickBot="1" x14ac:dyDescent="0.5">
      <c r="B30" s="1315" t="s">
        <v>16</v>
      </c>
      <c r="C30" s="1316"/>
      <c r="D30" s="1316"/>
      <c r="E30" s="1317"/>
      <c r="G30" s="106"/>
      <c r="H30" s="328">
        <v>6</v>
      </c>
      <c r="I30" s="329">
        <v>8</v>
      </c>
      <c r="J30" s="325">
        <f>+H30*I30</f>
        <v>48</v>
      </c>
      <c r="K30" s="177"/>
      <c r="L30" s="279"/>
      <c r="M30" s="279"/>
      <c r="N30" s="279"/>
    </row>
    <row r="31" spans="1:15" ht="21" customHeight="1" thickBot="1" x14ac:dyDescent="0.4">
      <c r="A31" s="106"/>
      <c r="B31" s="169" t="s">
        <v>7</v>
      </c>
      <c r="C31" s="266" t="s">
        <v>8</v>
      </c>
      <c r="D31" s="209" t="s">
        <v>4</v>
      </c>
      <c r="E31" s="210" t="s">
        <v>9</v>
      </c>
      <c r="G31" s="1322"/>
      <c r="H31" s="1311" t="s">
        <v>108</v>
      </c>
      <c r="I31" s="1312"/>
      <c r="J31" s="330">
        <f>SUM(J29:J30)</f>
        <v>192</v>
      </c>
      <c r="K31" s="180"/>
      <c r="L31" s="176"/>
      <c r="M31" s="178"/>
      <c r="N31" s="178"/>
    </row>
    <row r="32" spans="1:15" ht="21" customHeight="1" x14ac:dyDescent="0.35">
      <c r="A32" s="155"/>
      <c r="B32" s="165" t="s">
        <v>3</v>
      </c>
      <c r="C32" s="267">
        <v>192</v>
      </c>
      <c r="D32" s="211">
        <v>156</v>
      </c>
      <c r="E32" s="212">
        <f>C32*D32</f>
        <v>29952</v>
      </c>
      <c r="F32" s="155"/>
      <c r="G32" s="1322"/>
      <c r="J32" s="176"/>
      <c r="K32" s="180"/>
      <c r="L32" s="181"/>
      <c r="M32" s="181"/>
      <c r="N32" s="181"/>
    </row>
    <row r="33" spans="1:15" ht="21" customHeight="1" x14ac:dyDescent="0.35">
      <c r="A33" s="155"/>
      <c r="B33" s="165" t="s">
        <v>5</v>
      </c>
      <c r="C33" s="267">
        <v>0.5</v>
      </c>
      <c r="D33" s="211">
        <f>+D32*1.5</f>
        <v>234</v>
      </c>
      <c r="E33" s="212">
        <f>C33*D33</f>
        <v>117</v>
      </c>
      <c r="F33" s="155"/>
      <c r="G33" s="106"/>
      <c r="J33" s="176"/>
      <c r="K33" s="180"/>
      <c r="L33" s="181"/>
      <c r="M33" s="181"/>
      <c r="N33" s="181"/>
    </row>
    <row r="34" spans="1:15" ht="24.75" customHeight="1" thickBot="1" x14ac:dyDescent="0.4">
      <c r="A34" s="155"/>
      <c r="B34" s="165" t="s">
        <v>6</v>
      </c>
      <c r="C34" s="267">
        <v>8000</v>
      </c>
      <c r="D34" s="211"/>
      <c r="E34" s="212">
        <f>+C34</f>
        <v>8000</v>
      </c>
      <c r="F34" s="155"/>
      <c r="J34" s="176"/>
      <c r="K34" s="180"/>
      <c r="L34" s="181"/>
      <c r="M34" s="181"/>
      <c r="N34" s="181"/>
    </row>
    <row r="35" spans="1:15" ht="21" customHeight="1" thickBot="1" x14ac:dyDescent="0.4">
      <c r="A35" s="156"/>
      <c r="B35" s="1323" t="s">
        <v>99</v>
      </c>
      <c r="C35" s="1324"/>
      <c r="D35" s="1324"/>
      <c r="E35" s="304">
        <f>+E34+E33+E32</f>
        <v>38069</v>
      </c>
      <c r="F35" s="156"/>
      <c r="G35" s="1"/>
      <c r="J35" s="182"/>
      <c r="K35" s="180"/>
      <c r="L35" s="181"/>
      <c r="M35" s="181"/>
      <c r="N35" s="181"/>
    </row>
    <row r="36" spans="1:15" s="1" customFormat="1" ht="21" customHeight="1" thickBot="1" x14ac:dyDescent="0.4">
      <c r="A36" s="155"/>
      <c r="B36" s="167" t="s">
        <v>19</v>
      </c>
      <c r="C36" s="268"/>
      <c r="D36" s="213"/>
      <c r="E36" s="214">
        <v>10000</v>
      </c>
      <c r="F36" s="155"/>
      <c r="G36"/>
      <c r="H36"/>
      <c r="I36"/>
      <c r="J36" s="182"/>
      <c r="K36" s="180"/>
      <c r="L36" s="181"/>
      <c r="M36" s="181"/>
      <c r="N36" s="181"/>
      <c r="O36"/>
    </row>
    <row r="37" spans="1:15" ht="21" customHeight="1" thickBot="1" x14ac:dyDescent="0.4">
      <c r="A37" s="155"/>
      <c r="B37" s="166" t="s">
        <v>11</v>
      </c>
      <c r="C37" s="269"/>
      <c r="D37" s="215"/>
      <c r="E37" s="216">
        <f>+E32+E33+E34-E36</f>
        <v>28069</v>
      </c>
      <c r="F37" s="155"/>
      <c r="J37" s="183"/>
      <c r="K37" s="180"/>
      <c r="L37" s="181"/>
      <c r="M37" s="181"/>
      <c r="N37" s="181"/>
    </row>
    <row r="38" spans="1:15" ht="63" customHeight="1" thickBot="1" x14ac:dyDescent="0.4">
      <c r="A38" s="155"/>
      <c r="F38" s="155"/>
      <c r="J38" s="183"/>
      <c r="K38" s="180"/>
      <c r="L38" s="181"/>
      <c r="M38" s="181"/>
      <c r="N38" s="181"/>
      <c r="O38" s="1"/>
    </row>
    <row r="39" spans="1:15" ht="21" customHeight="1" x14ac:dyDescent="0.35">
      <c r="A39" s="155"/>
      <c r="B39" s="1276" t="s">
        <v>0</v>
      </c>
      <c r="C39" s="1277"/>
      <c r="D39" s="1277"/>
      <c r="E39" s="1278"/>
      <c r="F39" s="155"/>
      <c r="G39" s="1"/>
      <c r="H39" s="1"/>
      <c r="I39" s="1"/>
      <c r="J39" s="183"/>
      <c r="K39" s="180"/>
      <c r="L39" s="181"/>
      <c r="M39" s="181"/>
      <c r="N39" s="181"/>
    </row>
    <row r="40" spans="1:15" ht="21" customHeight="1" x14ac:dyDescent="0.35">
      <c r="A40" s="155"/>
      <c r="B40" s="8" t="s">
        <v>7</v>
      </c>
      <c r="C40" s="270" t="s">
        <v>8</v>
      </c>
      <c r="D40" s="217" t="s">
        <v>4</v>
      </c>
      <c r="E40" s="218" t="s">
        <v>9</v>
      </c>
      <c r="F40" s="155"/>
      <c r="J40" s="183"/>
      <c r="K40" s="180"/>
      <c r="L40" s="181"/>
      <c r="M40" s="181"/>
      <c r="N40" s="181"/>
    </row>
    <row r="41" spans="1:15" ht="21" customHeight="1" x14ac:dyDescent="0.35">
      <c r="B41" s="10" t="s">
        <v>3</v>
      </c>
      <c r="C41" s="258">
        <v>192</v>
      </c>
      <c r="D41" s="194">
        <v>194</v>
      </c>
      <c r="E41" s="196">
        <f>C41*D41</f>
        <v>37248</v>
      </c>
      <c r="F41" s="106"/>
      <c r="J41" s="183"/>
      <c r="K41" s="180"/>
      <c r="L41" s="181"/>
      <c r="M41" s="181"/>
      <c r="N41" s="181"/>
    </row>
    <row r="42" spans="1:15" ht="21" customHeight="1" x14ac:dyDescent="0.35">
      <c r="B42" s="10" t="s">
        <v>5</v>
      </c>
      <c r="C42" s="258">
        <v>6.5</v>
      </c>
      <c r="D42" s="194">
        <f>+D41*1.5</f>
        <v>291</v>
      </c>
      <c r="E42" s="196">
        <f>C42*D42</f>
        <v>1891.5</v>
      </c>
      <c r="I42" s="183"/>
      <c r="J42" s="180"/>
      <c r="K42" s="181"/>
      <c r="L42" s="181"/>
      <c r="M42" s="181"/>
    </row>
    <row r="43" spans="1:15" ht="21" customHeight="1" thickBot="1" x14ac:dyDescent="0.4">
      <c r="B43" s="10" t="s">
        <v>6</v>
      </c>
      <c r="C43" s="258">
        <v>13500</v>
      </c>
      <c r="D43" s="194"/>
      <c r="E43" s="196">
        <f>+C43</f>
        <v>13500</v>
      </c>
      <c r="H43" s="183"/>
      <c r="I43" s="180"/>
      <c r="J43" s="181"/>
      <c r="K43" s="181"/>
      <c r="L43" s="184"/>
    </row>
    <row r="44" spans="1:15" ht="21" customHeight="1" thickBot="1" x14ac:dyDescent="0.4">
      <c r="B44" s="1323" t="s">
        <v>99</v>
      </c>
      <c r="C44" s="1324"/>
      <c r="D44" s="1324"/>
      <c r="E44" s="304">
        <f>+E43+E42+E41</f>
        <v>52639.5</v>
      </c>
      <c r="H44" s="183"/>
      <c r="I44" s="180"/>
      <c r="J44" s="181"/>
      <c r="K44" s="181"/>
      <c r="L44" s="184"/>
    </row>
    <row r="45" spans="1:15" ht="21" customHeight="1" thickBot="1" x14ac:dyDescent="0.4">
      <c r="B45" s="131" t="s">
        <v>18</v>
      </c>
      <c r="C45" s="271"/>
      <c r="D45" s="219"/>
      <c r="E45" s="198">
        <v>25616.57</v>
      </c>
      <c r="H45" s="183"/>
      <c r="I45" s="180"/>
      <c r="J45" s="181"/>
      <c r="K45" s="181"/>
      <c r="L45" s="184"/>
    </row>
    <row r="46" spans="1:15" ht="21" customHeight="1" thickBot="1" x14ac:dyDescent="0.4">
      <c r="A46" s="1"/>
      <c r="B46" s="12" t="s">
        <v>11</v>
      </c>
      <c r="C46" s="272"/>
      <c r="D46" s="220"/>
      <c r="E46" s="201">
        <f>+E41+E42+E43-E45</f>
        <v>27022.93</v>
      </c>
      <c r="F46" s="180"/>
      <c r="G46" s="181"/>
      <c r="H46" s="181"/>
      <c r="I46" s="184"/>
    </row>
    <row r="47" spans="1:15" s="1" customFormat="1" ht="21" customHeight="1" thickBot="1" x14ac:dyDescent="0.4">
      <c r="A47"/>
      <c r="B47"/>
      <c r="C47" s="261"/>
      <c r="D47" s="202"/>
      <c r="E47" s="203"/>
      <c r="F47" s="155"/>
      <c r="G47" s="180"/>
      <c r="H47" s="181"/>
      <c r="I47" s="181"/>
      <c r="J47" s="184"/>
      <c r="K47"/>
    </row>
    <row r="48" spans="1:15" ht="21" customHeight="1" x14ac:dyDescent="0.35">
      <c r="A48" s="1"/>
      <c r="B48" s="1276" t="s">
        <v>28</v>
      </c>
      <c r="C48" s="1277"/>
      <c r="D48" s="1277"/>
      <c r="E48" s="1278"/>
      <c r="F48" s="106"/>
      <c r="G48" s="180"/>
      <c r="H48" s="181"/>
      <c r="I48" s="181"/>
      <c r="J48" s="184"/>
    </row>
    <row r="49" spans="1:15" s="1" customFormat="1" ht="21" customHeight="1" x14ac:dyDescent="0.35">
      <c r="A49"/>
      <c r="B49" s="8" t="s">
        <v>7</v>
      </c>
      <c r="C49" s="270" t="s">
        <v>8</v>
      </c>
      <c r="D49" s="217" t="s">
        <v>4</v>
      </c>
      <c r="E49" s="218" t="s">
        <v>9</v>
      </c>
      <c r="F49" s="106"/>
      <c r="G49" s="186"/>
      <c r="H49" s="181"/>
      <c r="I49" s="181"/>
      <c r="J49" s="184"/>
    </row>
    <row r="50" spans="1:15" ht="21" customHeight="1" x14ac:dyDescent="0.35">
      <c r="B50" s="10" t="s">
        <v>3</v>
      </c>
      <c r="C50" s="258">
        <v>192</v>
      </c>
      <c r="D50" s="194">
        <v>180</v>
      </c>
      <c r="E50" s="196">
        <f>C50*D50</f>
        <v>34560</v>
      </c>
      <c r="F50" s="306" t="s">
        <v>87</v>
      </c>
      <c r="J50" s="185"/>
      <c r="K50" s="180"/>
      <c r="L50" s="181"/>
      <c r="M50" s="187"/>
      <c r="N50" s="188"/>
    </row>
    <row r="51" spans="1:15" ht="21" customHeight="1" x14ac:dyDescent="0.35">
      <c r="B51" s="10" t="s">
        <v>5</v>
      </c>
      <c r="C51" s="258"/>
      <c r="D51" s="194">
        <f>+D50*1.5</f>
        <v>270</v>
      </c>
      <c r="E51" s="196">
        <f>C51*D51</f>
        <v>0</v>
      </c>
      <c r="F51" s="307" t="s">
        <v>92</v>
      </c>
      <c r="J51" s="185"/>
      <c r="K51" s="180"/>
      <c r="L51" s="187"/>
      <c r="M51" s="181"/>
      <c r="N51" s="184"/>
    </row>
    <row r="52" spans="1:15" ht="21" customHeight="1" thickBot="1" x14ac:dyDescent="0.4">
      <c r="B52" s="10" t="s">
        <v>6</v>
      </c>
      <c r="C52" s="258">
        <v>13000</v>
      </c>
      <c r="D52" s="194"/>
      <c r="E52" s="196">
        <f>+C52</f>
        <v>13000</v>
      </c>
      <c r="F52" s="308" t="s">
        <v>98</v>
      </c>
      <c r="J52" s="189"/>
      <c r="K52" s="180"/>
      <c r="L52" s="181"/>
      <c r="M52" s="181"/>
      <c r="N52" s="184"/>
    </row>
    <row r="53" spans="1:15" ht="21" customHeight="1" thickBot="1" x14ac:dyDescent="0.4">
      <c r="B53" s="1323" t="s">
        <v>99</v>
      </c>
      <c r="C53" s="1324"/>
      <c r="D53" s="1324"/>
      <c r="E53" s="304">
        <f>+E52+E51+E50</f>
        <v>47560</v>
      </c>
      <c r="F53" s="106"/>
      <c r="J53" s="189"/>
      <c r="K53" s="180"/>
      <c r="L53" s="181"/>
      <c r="M53" s="181"/>
      <c r="N53" s="184"/>
    </row>
    <row r="54" spans="1:15" ht="21" customHeight="1" thickBot="1" x14ac:dyDescent="0.4">
      <c r="B54" s="128" t="s">
        <v>19</v>
      </c>
      <c r="C54" s="273"/>
      <c r="D54" s="219"/>
      <c r="E54" s="198">
        <v>10000</v>
      </c>
      <c r="J54" s="185"/>
      <c r="K54" s="180"/>
      <c r="L54" s="181"/>
      <c r="M54" s="181"/>
      <c r="N54" s="184"/>
    </row>
    <row r="55" spans="1:15" ht="21" customHeight="1" thickBot="1" x14ac:dyDescent="0.4">
      <c r="B55" s="134" t="s">
        <v>11</v>
      </c>
      <c r="C55" s="260"/>
      <c r="D55" s="200"/>
      <c r="E55" s="201">
        <f>+E50+E51+E52-E54</f>
        <v>37560</v>
      </c>
      <c r="F55" s="49"/>
      <c r="J55" s="185"/>
      <c r="K55" s="180"/>
      <c r="L55" s="181"/>
      <c r="M55" s="181"/>
      <c r="N55" s="184"/>
    </row>
    <row r="56" spans="1:15" ht="21" customHeight="1" thickBot="1" x14ac:dyDescent="0.4">
      <c r="J56" s="190"/>
      <c r="K56" s="191"/>
      <c r="L56" s="181"/>
      <c r="M56" s="181"/>
      <c r="N56" s="184"/>
    </row>
    <row r="57" spans="1:15" ht="21" customHeight="1" x14ac:dyDescent="0.35">
      <c r="B57" s="1276" t="s">
        <v>17</v>
      </c>
      <c r="C57" s="1277"/>
      <c r="D57" s="1277"/>
      <c r="E57" s="1278"/>
      <c r="J57" s="185"/>
      <c r="K57" s="180"/>
      <c r="L57" s="181"/>
      <c r="M57" s="181"/>
      <c r="N57" s="184"/>
    </row>
    <row r="58" spans="1:15" ht="21" customHeight="1" x14ac:dyDescent="0.35">
      <c r="B58" s="8" t="s">
        <v>7</v>
      </c>
      <c r="C58" s="270" t="s">
        <v>8</v>
      </c>
      <c r="D58" s="217" t="s">
        <v>4</v>
      </c>
      <c r="E58" s="218" t="s">
        <v>9</v>
      </c>
      <c r="J58" s="185"/>
      <c r="K58" s="180"/>
      <c r="L58" s="181"/>
      <c r="M58" s="181"/>
      <c r="N58" s="184"/>
      <c r="O58" s="1"/>
    </row>
    <row r="59" spans="1:15" ht="21" customHeight="1" x14ac:dyDescent="0.35">
      <c r="B59" s="10" t="s">
        <v>3</v>
      </c>
      <c r="C59" s="258">
        <v>192</v>
      </c>
      <c r="D59" s="194">
        <v>132</v>
      </c>
      <c r="E59" s="196">
        <f>C59*D59</f>
        <v>25344</v>
      </c>
      <c r="G59" s="1"/>
      <c r="H59" s="115"/>
      <c r="I59" s="1"/>
      <c r="J59" s="182"/>
      <c r="K59" s="180"/>
      <c r="L59" s="181"/>
      <c r="M59" s="181"/>
      <c r="N59" s="184"/>
      <c r="O59" s="1"/>
    </row>
    <row r="60" spans="1:15" ht="21" customHeight="1" x14ac:dyDescent="0.35">
      <c r="B60" s="10" t="s">
        <v>5</v>
      </c>
      <c r="C60" s="258">
        <v>4.5</v>
      </c>
      <c r="D60" s="194">
        <f>+D59*1.5</f>
        <v>198</v>
      </c>
      <c r="E60" s="196">
        <f>C60*D60</f>
        <v>891</v>
      </c>
      <c r="J60" s="176"/>
      <c r="K60" s="180"/>
      <c r="L60" s="181"/>
      <c r="M60" s="181"/>
      <c r="N60" s="184"/>
    </row>
    <row r="61" spans="1:15" ht="21" customHeight="1" thickBot="1" x14ac:dyDescent="0.4">
      <c r="B61" s="10" t="s">
        <v>6</v>
      </c>
      <c r="C61" s="258">
        <v>5000</v>
      </c>
      <c r="D61" s="194"/>
      <c r="E61" s="222">
        <f>+C61</f>
        <v>5000</v>
      </c>
      <c r="J61" s="176"/>
      <c r="K61" s="180"/>
      <c r="L61" s="181"/>
      <c r="M61" s="181"/>
      <c r="N61" s="184"/>
    </row>
    <row r="62" spans="1:15" ht="21" customHeight="1" thickBot="1" x14ac:dyDescent="0.4">
      <c r="B62" s="1323" t="s">
        <v>99</v>
      </c>
      <c r="C62" s="1324"/>
      <c r="D62" s="1324"/>
      <c r="E62" s="304">
        <f>+E61+E60+E59</f>
        <v>31235</v>
      </c>
      <c r="J62" s="1314"/>
      <c r="K62" s="1314"/>
      <c r="L62" s="181"/>
      <c r="M62" s="181"/>
      <c r="N62" s="184"/>
    </row>
    <row r="63" spans="1:15" ht="21" customHeight="1" thickBot="1" x14ac:dyDescent="0.4">
      <c r="B63" s="128" t="s">
        <v>19</v>
      </c>
      <c r="C63" s="273"/>
      <c r="D63" s="219"/>
      <c r="E63" s="199">
        <f>+C63</f>
        <v>0</v>
      </c>
      <c r="J63" s="176"/>
      <c r="K63" s="176"/>
      <c r="L63" s="181"/>
      <c r="M63" s="181"/>
      <c r="N63" s="184"/>
    </row>
    <row r="64" spans="1:15" ht="21" customHeight="1" thickBot="1" x14ac:dyDescent="0.4">
      <c r="B64" s="12" t="s">
        <v>11</v>
      </c>
      <c r="C64" s="272"/>
      <c r="D64" s="223"/>
      <c r="E64" s="201">
        <f>+E59+E60+E61-E63</f>
        <v>31235</v>
      </c>
      <c r="J64" s="176"/>
      <c r="K64" s="176"/>
      <c r="L64" s="176"/>
      <c r="M64" s="176"/>
      <c r="N64" s="176"/>
    </row>
    <row r="65" spans="2:15" ht="21" customHeight="1" thickBot="1" x14ac:dyDescent="0.4">
      <c r="J65" s="176"/>
      <c r="K65" s="183"/>
      <c r="L65" s="176"/>
      <c r="M65" s="176"/>
      <c r="N65" s="176"/>
    </row>
    <row r="66" spans="2:15" ht="21" customHeight="1" x14ac:dyDescent="0.35">
      <c r="B66" s="1276" t="s">
        <v>86</v>
      </c>
      <c r="C66" s="1277"/>
      <c r="D66" s="1277"/>
      <c r="E66" s="1278"/>
      <c r="J66" s="183"/>
      <c r="K66" s="176"/>
      <c r="L66" s="183"/>
      <c r="M66" s="183"/>
      <c r="N66" s="183"/>
    </row>
    <row r="67" spans="2:15" ht="21" customHeight="1" x14ac:dyDescent="0.35">
      <c r="B67" s="8" t="s">
        <v>7</v>
      </c>
      <c r="C67" s="270" t="s">
        <v>8</v>
      </c>
      <c r="D67" s="217" t="s">
        <v>4</v>
      </c>
      <c r="E67" s="218" t="s">
        <v>9</v>
      </c>
      <c r="G67" s="1"/>
      <c r="H67" s="1"/>
      <c r="I67" s="1"/>
      <c r="J67" s="176"/>
      <c r="K67" s="176"/>
      <c r="L67" s="176"/>
      <c r="M67" s="176"/>
      <c r="N67" s="176"/>
      <c r="O67" s="1"/>
    </row>
    <row r="68" spans="2:15" ht="21" customHeight="1" x14ac:dyDescent="0.35">
      <c r="B68" s="10" t="s">
        <v>3</v>
      </c>
      <c r="C68" s="258">
        <v>192</v>
      </c>
      <c r="D68" s="194">
        <v>110</v>
      </c>
      <c r="E68" s="196">
        <f>C68*D68</f>
        <v>21120</v>
      </c>
      <c r="J68" s="176"/>
      <c r="K68" s="176"/>
      <c r="L68" s="176"/>
      <c r="M68" s="176"/>
      <c r="N68" s="176"/>
    </row>
    <row r="69" spans="2:15" ht="21" customHeight="1" thickBot="1" x14ac:dyDescent="0.4">
      <c r="B69" s="10" t="s">
        <v>5</v>
      </c>
      <c r="C69" s="258">
        <v>1</v>
      </c>
      <c r="D69" s="194">
        <f>+D68*1.5</f>
        <v>165</v>
      </c>
      <c r="E69" s="196">
        <f>+C69*D69</f>
        <v>165</v>
      </c>
      <c r="J69" s="176"/>
      <c r="K69" s="176"/>
      <c r="L69" s="176"/>
      <c r="M69" s="176"/>
      <c r="N69" s="176"/>
    </row>
    <row r="70" spans="2:15" ht="21" customHeight="1" thickBot="1" x14ac:dyDescent="0.4">
      <c r="B70" s="1323" t="s">
        <v>99</v>
      </c>
      <c r="C70" s="1324"/>
      <c r="D70" s="1324"/>
      <c r="E70" s="304">
        <f>+E69+E68</f>
        <v>21285</v>
      </c>
      <c r="J70" s="176"/>
      <c r="K70" s="176"/>
      <c r="L70" s="176"/>
      <c r="M70" s="176"/>
      <c r="N70" s="176"/>
    </row>
    <row r="71" spans="2:15" ht="21" customHeight="1" thickBot="1" x14ac:dyDescent="0.4">
      <c r="B71" s="128" t="s">
        <v>19</v>
      </c>
      <c r="C71" s="273"/>
      <c r="D71" s="219"/>
      <c r="E71" s="199">
        <f>+C71</f>
        <v>0</v>
      </c>
      <c r="J71" s="176"/>
      <c r="K71" s="176"/>
      <c r="L71" s="176"/>
      <c r="M71" s="176"/>
      <c r="N71" s="176"/>
    </row>
    <row r="72" spans="2:15" ht="21" customHeight="1" thickBot="1" x14ac:dyDescent="0.4">
      <c r="B72" s="12" t="s">
        <v>11</v>
      </c>
      <c r="C72" s="272"/>
      <c r="D72" s="223"/>
      <c r="E72" s="201">
        <f>+E68+E69-E71</f>
        <v>21285</v>
      </c>
      <c r="J72" s="176"/>
      <c r="K72" s="176"/>
      <c r="L72" s="176"/>
      <c r="M72" s="176"/>
      <c r="N72" s="176"/>
    </row>
    <row r="73" spans="2:15" ht="21" customHeight="1" thickBot="1" x14ac:dyDescent="0.4">
      <c r="J73" s="176"/>
      <c r="K73" s="176"/>
      <c r="L73" s="176"/>
      <c r="M73" s="176"/>
      <c r="N73" s="176"/>
    </row>
    <row r="74" spans="2:15" ht="21" customHeight="1" x14ac:dyDescent="0.35">
      <c r="B74" s="1276" t="s">
        <v>39</v>
      </c>
      <c r="C74" s="1277"/>
      <c r="D74" s="1277"/>
      <c r="E74" s="1278"/>
      <c r="J74" s="176"/>
      <c r="K74" s="176"/>
      <c r="L74" s="176"/>
      <c r="M74" s="176"/>
      <c r="N74" s="176"/>
    </row>
    <row r="75" spans="2:15" ht="21" customHeight="1" x14ac:dyDescent="0.35">
      <c r="B75" s="8" t="s">
        <v>7</v>
      </c>
      <c r="C75" s="270" t="s">
        <v>8</v>
      </c>
      <c r="D75" s="217" t="s">
        <v>4</v>
      </c>
      <c r="E75" s="218" t="s">
        <v>9</v>
      </c>
      <c r="J75" s="176"/>
      <c r="K75" s="176"/>
      <c r="L75" s="176"/>
      <c r="M75" s="176"/>
      <c r="N75" s="176"/>
    </row>
    <row r="76" spans="2:15" ht="21" customHeight="1" x14ac:dyDescent="0.35">
      <c r="B76" s="10" t="s">
        <v>3</v>
      </c>
      <c r="C76" s="258"/>
      <c r="D76" s="194"/>
      <c r="E76" s="196">
        <v>25000</v>
      </c>
      <c r="J76" s="176"/>
      <c r="K76" s="176"/>
      <c r="L76" s="176"/>
      <c r="M76" s="176"/>
      <c r="N76" s="176"/>
    </row>
    <row r="77" spans="2:15" ht="21" customHeight="1" thickBot="1" x14ac:dyDescent="0.4">
      <c r="B77" s="10" t="s">
        <v>5</v>
      </c>
      <c r="C77" s="258">
        <v>3.5</v>
      </c>
      <c r="D77" s="194">
        <f>+E76/8/20*(1.5)</f>
        <v>234.375</v>
      </c>
      <c r="E77" s="196">
        <f>C77*D77</f>
        <v>820.3125</v>
      </c>
      <c r="J77" s="176"/>
      <c r="K77" s="176"/>
      <c r="L77" s="176"/>
      <c r="M77" s="176"/>
      <c r="N77" s="176"/>
    </row>
    <row r="78" spans="2:15" ht="21" customHeight="1" thickBot="1" x14ac:dyDescent="0.4">
      <c r="B78" s="12" t="s">
        <v>11</v>
      </c>
      <c r="C78" s="272"/>
      <c r="D78" s="223"/>
      <c r="E78" s="201">
        <f>+E76+E77</f>
        <v>25820.3125</v>
      </c>
      <c r="J78" s="176"/>
      <c r="K78" s="176"/>
      <c r="L78" s="176"/>
      <c r="M78" s="176"/>
      <c r="N78" s="176"/>
    </row>
    <row r="79" spans="2:15" ht="21" customHeight="1" x14ac:dyDescent="0.35">
      <c r="J79" s="176"/>
      <c r="K79" s="176"/>
      <c r="L79" s="176"/>
      <c r="M79" s="176"/>
      <c r="N79" s="176"/>
    </row>
    <row r="80" spans="2:15" ht="21" customHeight="1" x14ac:dyDescent="0.35">
      <c r="J80" s="176"/>
      <c r="K80" s="176"/>
      <c r="L80" s="176"/>
      <c r="M80" s="176"/>
      <c r="N80" s="176"/>
    </row>
    <row r="81" spans="6:6" customFormat="1" ht="21" customHeight="1" x14ac:dyDescent="0.35">
      <c r="F81" s="1"/>
    </row>
    <row r="85" spans="6:6" customFormat="1" ht="21" customHeight="1" x14ac:dyDescent="0.35">
      <c r="F85" s="114"/>
    </row>
  </sheetData>
  <mergeCells count="27">
    <mergeCell ref="B70:D70"/>
    <mergeCell ref="B1:E1"/>
    <mergeCell ref="F8:F10"/>
    <mergeCell ref="B11:E11"/>
    <mergeCell ref="G11:L11"/>
    <mergeCell ref="B6:D6"/>
    <mergeCell ref="H31:I31"/>
    <mergeCell ref="B35:D35"/>
    <mergeCell ref="B44:D44"/>
    <mergeCell ref="B53:D53"/>
    <mergeCell ref="B62:D62"/>
    <mergeCell ref="B74:E74"/>
    <mergeCell ref="M12:O12"/>
    <mergeCell ref="J62:K62"/>
    <mergeCell ref="B21:E21"/>
    <mergeCell ref="G18:G24"/>
    <mergeCell ref="H18:H20"/>
    <mergeCell ref="H21:H24"/>
    <mergeCell ref="B30:E30"/>
    <mergeCell ref="G31:G32"/>
    <mergeCell ref="B39:E39"/>
    <mergeCell ref="B48:E48"/>
    <mergeCell ref="B57:E57"/>
    <mergeCell ref="B66:E66"/>
    <mergeCell ref="G14:H16"/>
    <mergeCell ref="B16:D16"/>
    <mergeCell ref="B26:D26"/>
  </mergeCells>
  <pageMargins left="0" right="0" top="0.15748031496062992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workbookViewId="0">
      <selection activeCell="F11" sqref="F11"/>
    </sheetView>
  </sheetViews>
  <sheetFormatPr baseColWidth="10" defaultRowHeight="21" customHeight="1" x14ac:dyDescent="0.35"/>
  <cols>
    <col min="2" max="2" width="20.90625" customWidth="1"/>
    <col min="3" max="3" width="18.90625" style="261" customWidth="1"/>
    <col min="4" max="4" width="19.90625" style="202" customWidth="1"/>
    <col min="5" max="5" width="18.54296875" style="203" customWidth="1"/>
    <col min="6" max="6" width="21.6328125" customWidth="1"/>
    <col min="7" max="8" width="14.08984375" customWidth="1"/>
    <col min="9" max="9" width="12.54296875" customWidth="1"/>
    <col min="10" max="10" width="14.6328125" customWidth="1"/>
    <col min="11" max="11" width="14.54296875" bestFit="1" customWidth="1"/>
    <col min="12" max="12" width="13" customWidth="1"/>
    <col min="13" max="13" width="13.453125" customWidth="1"/>
    <col min="14" max="14" width="13.36328125" bestFit="1" customWidth="1"/>
    <col min="15" max="15" width="14.08984375" customWidth="1"/>
  </cols>
  <sheetData>
    <row r="1" spans="2:15" ht="21" customHeight="1" thickBot="1" x14ac:dyDescent="0.4">
      <c r="B1" s="1273" t="s">
        <v>10</v>
      </c>
      <c r="C1" s="1274"/>
      <c r="D1" s="1274"/>
      <c r="E1" s="1275"/>
      <c r="G1" s="80" t="s">
        <v>20</v>
      </c>
      <c r="H1" s="74" t="s">
        <v>8</v>
      </c>
      <c r="I1" s="74" t="s">
        <v>44</v>
      </c>
      <c r="J1" s="81" t="s">
        <v>43</v>
      </c>
      <c r="K1" s="74" t="s">
        <v>2</v>
      </c>
      <c r="L1" s="74" t="s">
        <v>24</v>
      </c>
      <c r="M1" s="74" t="s">
        <v>19</v>
      </c>
      <c r="N1" s="74" t="s">
        <v>18</v>
      </c>
      <c r="O1" s="68" t="s">
        <v>23</v>
      </c>
    </row>
    <row r="2" spans="2:15" s="1" customFormat="1" ht="21" customHeight="1" thickBot="1" x14ac:dyDescent="0.4">
      <c r="B2" s="16" t="s">
        <v>7</v>
      </c>
      <c r="C2" s="257" t="s">
        <v>8</v>
      </c>
      <c r="D2" s="192" t="s">
        <v>4</v>
      </c>
      <c r="E2" s="193" t="s">
        <v>9</v>
      </c>
      <c r="G2" s="230" t="s">
        <v>10</v>
      </c>
      <c r="H2" s="231">
        <f>+E3</f>
        <v>32317.199999999997</v>
      </c>
      <c r="I2" s="232">
        <f>+E4</f>
        <v>1015.1999999999999</v>
      </c>
      <c r="J2" s="232">
        <f>+E5</f>
        <v>8000</v>
      </c>
      <c r="K2" s="232">
        <v>0</v>
      </c>
      <c r="L2" s="233">
        <f>+H2+I2+J2+K2</f>
        <v>41332.399999999994</v>
      </c>
      <c r="M2" s="252">
        <f>+E7</f>
        <v>0</v>
      </c>
      <c r="N2" s="234">
        <f>+E8</f>
        <v>25616.57</v>
      </c>
      <c r="O2" s="235">
        <f>+L2-M2-N2</f>
        <v>15715.829999999994</v>
      </c>
    </row>
    <row r="3" spans="2:15" ht="21" customHeight="1" thickBot="1" x14ac:dyDescent="0.4">
      <c r="B3" s="10" t="s">
        <v>3</v>
      </c>
      <c r="C3" s="258">
        <v>191</v>
      </c>
      <c r="D3" s="227">
        <v>169.2</v>
      </c>
      <c r="E3" s="196">
        <f>C3*D3</f>
        <v>32317.199999999997</v>
      </c>
      <c r="G3" s="236" t="s">
        <v>13</v>
      </c>
      <c r="H3" s="237">
        <f>+E13</f>
        <v>7444.7999999999993</v>
      </c>
      <c r="I3" s="238">
        <v>20000</v>
      </c>
      <c r="J3" s="238">
        <f>+E16</f>
        <v>2000</v>
      </c>
      <c r="K3" s="291">
        <f>+E17+E18</f>
        <v>21589.58</v>
      </c>
      <c r="L3" s="233">
        <f t="shared" ref="L3:L8" si="0">+H3+I3+J3+K3</f>
        <v>51034.380000000005</v>
      </c>
      <c r="M3" s="253">
        <f>+E20</f>
        <v>0</v>
      </c>
      <c r="N3" s="239">
        <f>+E21</f>
        <v>19199.240000000002</v>
      </c>
      <c r="O3" s="235">
        <f>+L3-M3-N3</f>
        <v>31835.140000000003</v>
      </c>
    </row>
    <row r="4" spans="2:15" ht="21" customHeight="1" thickBot="1" x14ac:dyDescent="0.4">
      <c r="B4" s="10" t="s">
        <v>5</v>
      </c>
      <c r="C4" s="258">
        <v>4</v>
      </c>
      <c r="D4" s="194">
        <f>+D3*1.5</f>
        <v>253.79999999999998</v>
      </c>
      <c r="E4" s="196">
        <f>C4*D4</f>
        <v>1015.1999999999999</v>
      </c>
      <c r="G4" s="236" t="s">
        <v>15</v>
      </c>
      <c r="H4" s="237">
        <f>+E26</f>
        <v>34380</v>
      </c>
      <c r="I4" s="238">
        <f>+E27+E30</f>
        <v>1080</v>
      </c>
      <c r="J4" s="238">
        <f>+E28</f>
        <v>8000</v>
      </c>
      <c r="K4" s="238">
        <v>0</v>
      </c>
      <c r="L4" s="233">
        <f t="shared" si="0"/>
        <v>43460</v>
      </c>
      <c r="M4" s="253">
        <v>0</v>
      </c>
      <c r="N4" s="249">
        <v>0</v>
      </c>
      <c r="O4" s="235">
        <f>+L4</f>
        <v>43460</v>
      </c>
    </row>
    <row r="5" spans="2:15" ht="21" customHeight="1" thickBot="1" x14ac:dyDescent="0.4">
      <c r="B5" s="10" t="s">
        <v>6</v>
      </c>
      <c r="C5" s="258">
        <v>8000</v>
      </c>
      <c r="D5" s="194"/>
      <c r="E5" s="196">
        <f>+C5</f>
        <v>8000</v>
      </c>
      <c r="G5" s="236" t="s">
        <v>16</v>
      </c>
      <c r="H5" s="237">
        <f>+E35</f>
        <v>29796</v>
      </c>
      <c r="I5" s="291">
        <f>+E36</f>
        <v>2223</v>
      </c>
      <c r="J5" s="238">
        <f>+E37</f>
        <v>8000</v>
      </c>
      <c r="K5" s="238">
        <v>0</v>
      </c>
      <c r="L5" s="233">
        <f t="shared" si="0"/>
        <v>40019</v>
      </c>
      <c r="M5" s="253">
        <f>+E39</f>
        <v>10000</v>
      </c>
      <c r="N5" s="249">
        <v>0</v>
      </c>
      <c r="O5" s="235">
        <f>+L5-M5</f>
        <v>30019</v>
      </c>
    </row>
    <row r="6" spans="2:15" ht="21" customHeight="1" thickBot="1" x14ac:dyDescent="0.4">
      <c r="B6" s="1323" t="s">
        <v>99</v>
      </c>
      <c r="C6" s="1324"/>
      <c r="D6" s="1324"/>
      <c r="E6" s="304">
        <f>+E3+E4+E5</f>
        <v>41332.399999999994</v>
      </c>
      <c r="G6" s="236" t="s">
        <v>0</v>
      </c>
      <c r="H6" s="237">
        <f>+E44</f>
        <v>37054</v>
      </c>
      <c r="I6" s="238">
        <f>+E45</f>
        <v>2764.5</v>
      </c>
      <c r="J6" s="238">
        <f>+E46</f>
        <v>13500</v>
      </c>
      <c r="K6" s="238"/>
      <c r="L6" s="233">
        <f t="shared" si="0"/>
        <v>53318.5</v>
      </c>
      <c r="M6" s="253">
        <v>0</v>
      </c>
      <c r="N6" s="249">
        <f>+E48</f>
        <v>25616.57</v>
      </c>
      <c r="O6" s="235">
        <f>+L6-M6-N6</f>
        <v>27701.93</v>
      </c>
    </row>
    <row r="7" spans="2:15" ht="21" customHeight="1" thickBot="1" x14ac:dyDescent="0.4">
      <c r="B7" s="299" t="s">
        <v>19</v>
      </c>
      <c r="C7" s="300"/>
      <c r="D7" s="301"/>
      <c r="E7" s="302">
        <v>0</v>
      </c>
      <c r="G7" s="236" t="s">
        <v>28</v>
      </c>
      <c r="H7" s="237">
        <f>+E53</f>
        <v>26280</v>
      </c>
      <c r="I7" s="238">
        <f>+E54</f>
        <v>0</v>
      </c>
      <c r="J7" s="238">
        <f>+E56</f>
        <v>13000</v>
      </c>
      <c r="K7" s="291">
        <f>+E55</f>
        <v>10620</v>
      </c>
      <c r="L7" s="233">
        <f t="shared" si="0"/>
        <v>49900</v>
      </c>
      <c r="M7" s="253">
        <f>+E58</f>
        <v>10000</v>
      </c>
      <c r="N7" s="249">
        <v>0</v>
      </c>
      <c r="O7" s="235">
        <f>+L7-M7-N7</f>
        <v>39900</v>
      </c>
    </row>
    <row r="8" spans="2:15" ht="21" customHeight="1" thickBot="1" x14ac:dyDescent="0.4">
      <c r="B8" s="128" t="s">
        <v>18</v>
      </c>
      <c r="C8" s="259"/>
      <c r="D8" s="197"/>
      <c r="E8" s="198">
        <v>25616.57</v>
      </c>
      <c r="F8" s="1325"/>
      <c r="G8" s="236" t="s">
        <v>17</v>
      </c>
      <c r="H8" s="237">
        <f>+E63</f>
        <v>19272</v>
      </c>
      <c r="I8" s="238">
        <f>+E64</f>
        <v>0</v>
      </c>
      <c r="J8" s="238">
        <f>+E65</f>
        <v>7000</v>
      </c>
      <c r="K8" s="291">
        <f>+E66</f>
        <v>7392</v>
      </c>
      <c r="L8" s="233">
        <f t="shared" si="0"/>
        <v>33664</v>
      </c>
      <c r="M8" s="253">
        <v>0</v>
      </c>
      <c r="N8" s="249">
        <v>0</v>
      </c>
      <c r="O8" s="240">
        <f>+L8-M8-N8</f>
        <v>33664</v>
      </c>
    </row>
    <row r="9" spans="2:15" ht="21" customHeight="1" thickBot="1" x14ac:dyDescent="0.4">
      <c r="B9" s="12" t="s">
        <v>11</v>
      </c>
      <c r="C9" s="272"/>
      <c r="D9" s="220"/>
      <c r="E9" s="303">
        <f>+E3+E4+E5-E7-E8</f>
        <v>15715.829999999994</v>
      </c>
      <c r="F9" s="1325"/>
      <c r="G9" s="236" t="s">
        <v>86</v>
      </c>
      <c r="H9" s="241">
        <f>+E73</f>
        <v>21010</v>
      </c>
      <c r="I9" s="242">
        <f>+E74</f>
        <v>660</v>
      </c>
      <c r="J9" s="316">
        <f>+E75</f>
        <v>3000</v>
      </c>
      <c r="K9" s="242">
        <v>0</v>
      </c>
      <c r="L9" s="243">
        <f>+H9+I9+J9+K9</f>
        <v>24670</v>
      </c>
      <c r="M9" s="254">
        <f>+E77</f>
        <v>0</v>
      </c>
      <c r="N9" s="250">
        <v>0</v>
      </c>
      <c r="O9" s="244">
        <f>+L9-M9-N9</f>
        <v>24670</v>
      </c>
    </row>
    <row r="10" spans="2:15" ht="21" customHeight="1" thickBot="1" x14ac:dyDescent="0.4">
      <c r="F10" s="1326"/>
      <c r="G10" s="245" t="s">
        <v>42</v>
      </c>
      <c r="H10" s="246">
        <f>+E82</f>
        <v>25000</v>
      </c>
      <c r="I10" s="247">
        <f>+E83</f>
        <v>0</v>
      </c>
      <c r="J10" s="247">
        <v>0</v>
      </c>
      <c r="K10" s="247">
        <v>0</v>
      </c>
      <c r="L10" s="233">
        <f>K10+H10+I10+J10</f>
        <v>25000</v>
      </c>
      <c r="M10" s="255">
        <v>0</v>
      </c>
      <c r="N10" s="251">
        <v>0</v>
      </c>
      <c r="O10" s="240">
        <f>+L10-M10-N10</f>
        <v>25000</v>
      </c>
    </row>
    <row r="11" spans="2:15" ht="21" customHeight="1" thickBot="1" x14ac:dyDescent="0.4">
      <c r="B11" s="1273" t="s">
        <v>13</v>
      </c>
      <c r="C11" s="1274"/>
      <c r="D11" s="1274"/>
      <c r="E11" s="1275"/>
      <c r="G11" s="1327" t="s">
        <v>105</v>
      </c>
      <c r="H11" s="1328"/>
      <c r="I11" s="1328"/>
      <c r="J11" s="1328"/>
      <c r="K11" s="1328"/>
      <c r="L11" s="1328"/>
      <c r="M11" s="256">
        <f>SUM(M2:M10)</f>
        <v>20000</v>
      </c>
      <c r="N11" s="256">
        <f>SUM(N2:N10)</f>
        <v>70432.38</v>
      </c>
      <c r="O11" s="256">
        <f>SUM(O2:O10)</f>
        <v>271965.90000000002</v>
      </c>
    </row>
    <row r="12" spans="2:15" ht="21" customHeight="1" thickBot="1" x14ac:dyDescent="0.4">
      <c r="B12" s="16" t="s">
        <v>7</v>
      </c>
      <c r="C12" s="257" t="s">
        <v>8</v>
      </c>
      <c r="D12" s="192" t="s">
        <v>4</v>
      </c>
      <c r="E12" s="193" t="s">
        <v>9</v>
      </c>
      <c r="G12" s="248"/>
      <c r="H12" s="248"/>
      <c r="I12" s="248"/>
      <c r="J12" s="248"/>
      <c r="K12" s="248"/>
      <c r="L12" s="248"/>
      <c r="M12" s="1318">
        <f>+N11+O11+M11</f>
        <v>362398.28</v>
      </c>
      <c r="N12" s="1319"/>
      <c r="O12" s="1320"/>
    </row>
    <row r="13" spans="2:15" s="1" customFormat="1" ht="21" customHeight="1" x14ac:dyDescent="0.35">
      <c r="B13" s="10" t="s">
        <v>3</v>
      </c>
      <c r="C13" s="258">
        <v>44</v>
      </c>
      <c r="D13" s="194">
        <v>169.2</v>
      </c>
      <c r="E13" s="196">
        <f>C13*D13</f>
        <v>7444.7999999999993</v>
      </c>
      <c r="G13"/>
      <c r="H13"/>
      <c r="I13"/>
      <c r="J13"/>
      <c r="K13"/>
      <c r="L13"/>
      <c r="M13"/>
      <c r="N13"/>
      <c r="O13"/>
    </row>
    <row r="14" spans="2:15" ht="21" customHeight="1" x14ac:dyDescent="0.35">
      <c r="B14" s="10" t="s">
        <v>5</v>
      </c>
      <c r="C14" s="258">
        <v>0</v>
      </c>
      <c r="D14" s="194">
        <f>+D13*1.5</f>
        <v>253.79999999999998</v>
      </c>
      <c r="E14" s="196">
        <f>C14*D14</f>
        <v>0</v>
      </c>
      <c r="G14" s="1302" t="s">
        <v>96</v>
      </c>
      <c r="H14" s="1302"/>
    </row>
    <row r="15" spans="2:15" ht="21" customHeight="1" x14ac:dyDescent="0.35">
      <c r="B15" s="10" t="s">
        <v>5</v>
      </c>
      <c r="C15" s="258"/>
      <c r="D15" s="194"/>
      <c r="E15" s="196">
        <v>20000</v>
      </c>
      <c r="G15" s="1302"/>
      <c r="H15" s="1302"/>
      <c r="I15" s="1"/>
      <c r="J15" s="1"/>
      <c r="K15" s="1"/>
      <c r="L15" s="1"/>
      <c r="M15" s="1"/>
      <c r="N15" s="1"/>
      <c r="O15" s="1"/>
    </row>
    <row r="16" spans="2:15" ht="21" customHeight="1" x14ac:dyDescent="0.35">
      <c r="B16" s="10" t="s">
        <v>104</v>
      </c>
      <c r="C16" s="315">
        <v>2000</v>
      </c>
      <c r="D16" s="194"/>
      <c r="E16" s="196">
        <f>+C16</f>
        <v>2000</v>
      </c>
      <c r="G16" s="1302"/>
      <c r="H16" s="1302"/>
      <c r="I16" s="1"/>
      <c r="J16" s="1"/>
      <c r="K16" s="1"/>
      <c r="L16" s="1"/>
      <c r="M16" s="1"/>
      <c r="N16" s="1"/>
      <c r="O16" s="1"/>
    </row>
    <row r="17" spans="1:15" ht="21" customHeight="1" x14ac:dyDescent="0.35">
      <c r="B17" s="10" t="s">
        <v>102</v>
      </c>
      <c r="C17" s="315"/>
      <c r="D17" s="194"/>
      <c r="E17" s="196">
        <v>9964.42</v>
      </c>
      <c r="G17" s="1302"/>
      <c r="H17" s="1302"/>
      <c r="I17" s="1"/>
      <c r="J17" s="1"/>
      <c r="K17" s="1"/>
      <c r="L17" s="1"/>
      <c r="M17" s="1"/>
      <c r="N17" s="1"/>
      <c r="O17" s="1"/>
    </row>
    <row r="18" spans="1:15" ht="21" customHeight="1" thickBot="1" x14ac:dyDescent="0.4">
      <c r="B18" s="94" t="s">
        <v>103</v>
      </c>
      <c r="C18" s="315"/>
      <c r="D18" s="194"/>
      <c r="E18" s="313">
        <v>11625.16</v>
      </c>
      <c r="G18" s="1302"/>
      <c r="H18" s="1302"/>
      <c r="J18" s="4"/>
    </row>
    <row r="19" spans="1:15" ht="21" customHeight="1" thickBot="1" x14ac:dyDescent="0.4">
      <c r="B19" s="1323" t="s">
        <v>99</v>
      </c>
      <c r="C19" s="1324"/>
      <c r="D19" s="1324"/>
      <c r="E19" s="304">
        <f>+E13+E16+E17+E18+E15</f>
        <v>51034.380000000005</v>
      </c>
      <c r="I19" s="4"/>
      <c r="J19" s="57"/>
      <c r="K19" s="61" t="s">
        <v>29</v>
      </c>
      <c r="L19" s="61" t="s">
        <v>30</v>
      </c>
      <c r="M19" s="61" t="s">
        <v>31</v>
      </c>
      <c r="N19" s="62" t="s">
        <v>32</v>
      </c>
    </row>
    <row r="20" spans="1:15" ht="21" customHeight="1" x14ac:dyDescent="0.35">
      <c r="B20" s="128" t="s">
        <v>19</v>
      </c>
      <c r="C20" s="259"/>
      <c r="D20" s="197"/>
      <c r="E20" s="198">
        <v>0</v>
      </c>
      <c r="G20" s="1282" t="s">
        <v>25</v>
      </c>
      <c r="H20" s="1282" t="s">
        <v>26</v>
      </c>
      <c r="J20" s="172" t="s">
        <v>0</v>
      </c>
      <c r="K20" s="63">
        <v>194</v>
      </c>
      <c r="L20" s="173">
        <f>+K20*1.5</f>
        <v>291</v>
      </c>
      <c r="M20" s="174"/>
      <c r="N20" s="175">
        <v>13500</v>
      </c>
    </row>
    <row r="21" spans="1:15" ht="21" customHeight="1" thickBot="1" x14ac:dyDescent="0.4">
      <c r="B21" s="131" t="s">
        <v>18</v>
      </c>
      <c r="C21" s="259"/>
      <c r="D21" s="197"/>
      <c r="E21" s="199">
        <v>19199.240000000002</v>
      </c>
      <c r="G21" s="1282"/>
      <c r="H21" s="1282"/>
      <c r="J21" s="58" t="s">
        <v>28</v>
      </c>
      <c r="K21" s="64">
        <v>180</v>
      </c>
      <c r="L21" s="50">
        <f t="shared" ref="L21:L27" si="1">+K21*1.5</f>
        <v>270</v>
      </c>
      <c r="M21" s="52"/>
      <c r="N21" s="53">
        <v>13000</v>
      </c>
    </row>
    <row r="22" spans="1:15" ht="21" customHeight="1" thickBot="1" x14ac:dyDescent="0.4">
      <c r="B22" s="12" t="s">
        <v>11</v>
      </c>
      <c r="C22" s="260"/>
      <c r="D22" s="200"/>
      <c r="E22" s="201">
        <f>+E19-E20-E21</f>
        <v>31835.140000000003</v>
      </c>
      <c r="G22" s="1282"/>
      <c r="H22" s="1282"/>
      <c r="J22" s="58" t="s">
        <v>15</v>
      </c>
      <c r="K22" s="64">
        <v>180</v>
      </c>
      <c r="L22" s="50">
        <f t="shared" si="1"/>
        <v>270</v>
      </c>
      <c r="M22" s="52"/>
      <c r="N22" s="53">
        <v>8000</v>
      </c>
    </row>
    <row r="23" spans="1:15" ht="21" customHeight="1" thickBot="1" x14ac:dyDescent="0.4">
      <c r="B23" s="305"/>
      <c r="C23" s="262"/>
      <c r="D23" s="204"/>
      <c r="E23" s="205"/>
      <c r="G23" s="1282"/>
      <c r="H23" s="1321" t="s">
        <v>27</v>
      </c>
      <c r="J23" s="58" t="s">
        <v>10</v>
      </c>
      <c r="K23" s="64">
        <v>169.2</v>
      </c>
      <c r="L23" s="50">
        <f t="shared" si="1"/>
        <v>253.79999999999998</v>
      </c>
      <c r="M23" s="52"/>
      <c r="N23" s="53">
        <v>8000</v>
      </c>
    </row>
    <row r="24" spans="1:15" s="4" customFormat="1" ht="21" customHeight="1" thickBot="1" x14ac:dyDescent="0.4">
      <c r="B24" s="1273" t="s">
        <v>15</v>
      </c>
      <c r="C24" s="1274"/>
      <c r="D24" s="1274"/>
      <c r="E24" s="1275"/>
      <c r="G24" s="1282"/>
      <c r="H24" s="1321"/>
      <c r="I24"/>
      <c r="J24" s="58" t="s">
        <v>13</v>
      </c>
      <c r="K24" s="64">
        <v>169.2</v>
      </c>
      <c r="L24" s="50">
        <f t="shared" si="1"/>
        <v>253.79999999999998</v>
      </c>
      <c r="M24" s="52"/>
      <c r="N24" s="53">
        <v>8000</v>
      </c>
      <c r="O24"/>
    </row>
    <row r="25" spans="1:15" ht="21" customHeight="1" x14ac:dyDescent="0.35">
      <c r="B25" s="16" t="s">
        <v>7</v>
      </c>
      <c r="C25" s="257" t="s">
        <v>8</v>
      </c>
      <c r="D25" s="192" t="s">
        <v>4</v>
      </c>
      <c r="E25" s="193" t="s">
        <v>9</v>
      </c>
      <c r="G25" s="1282"/>
      <c r="H25" s="1321"/>
      <c r="J25" s="59" t="s">
        <v>16</v>
      </c>
      <c r="K25" s="64">
        <v>156</v>
      </c>
      <c r="L25" s="50">
        <f t="shared" si="1"/>
        <v>234</v>
      </c>
      <c r="M25" s="52"/>
      <c r="N25" s="53">
        <v>3000</v>
      </c>
    </row>
    <row r="26" spans="1:15" ht="21" customHeight="1" thickBot="1" x14ac:dyDescent="0.4">
      <c r="A26" s="1"/>
      <c r="B26" s="10" t="s">
        <v>3</v>
      </c>
      <c r="C26" s="258">
        <v>191</v>
      </c>
      <c r="D26" s="194">
        <v>180</v>
      </c>
      <c r="E26" s="196">
        <f>C26*D26</f>
        <v>34380</v>
      </c>
      <c r="F26" s="1"/>
      <c r="G26" s="1282"/>
      <c r="H26" s="1321"/>
      <c r="I26" s="4"/>
      <c r="J26" s="59" t="s">
        <v>86</v>
      </c>
      <c r="K26" s="64">
        <v>110</v>
      </c>
      <c r="L26" s="50">
        <f t="shared" si="1"/>
        <v>165</v>
      </c>
      <c r="M26" s="52"/>
      <c r="N26" s="55">
        <v>7000</v>
      </c>
      <c r="O26" s="4"/>
    </row>
    <row r="27" spans="1:15" s="1" customFormat="1" ht="21" customHeight="1" thickBot="1" x14ac:dyDescent="0.4">
      <c r="A27"/>
      <c r="B27" s="10" t="s">
        <v>5</v>
      </c>
      <c r="C27" s="315">
        <v>4</v>
      </c>
      <c r="D27" s="194">
        <f>+D26*1.5</f>
        <v>270</v>
      </c>
      <c r="E27" s="196">
        <f>C27*D27</f>
        <v>1080</v>
      </c>
      <c r="F27" s="278"/>
      <c r="G27" s="47"/>
      <c r="H27"/>
      <c r="I27" s="171"/>
      <c r="J27" s="60" t="s">
        <v>17</v>
      </c>
      <c r="K27" s="65">
        <v>132</v>
      </c>
      <c r="L27" s="56">
        <f t="shared" si="1"/>
        <v>198</v>
      </c>
      <c r="M27" s="54">
        <v>0</v>
      </c>
      <c r="N27" s="55">
        <v>5000</v>
      </c>
      <c r="O27"/>
    </row>
    <row r="28" spans="1:15" s="1" customFormat="1" ht="21" customHeight="1" thickBot="1" x14ac:dyDescent="0.4">
      <c r="A28"/>
      <c r="B28" s="10" t="s">
        <v>6</v>
      </c>
      <c r="C28" s="258">
        <v>8000</v>
      </c>
      <c r="D28" s="194"/>
      <c r="E28" s="196">
        <f>+C28</f>
        <v>8000</v>
      </c>
      <c r="F28" s="278"/>
      <c r="G28" s="47"/>
      <c r="H28"/>
      <c r="I28" s="171"/>
      <c r="J28" s="314"/>
      <c r="K28" s="50"/>
      <c r="L28" s="50"/>
      <c r="M28" s="50"/>
      <c r="N28" s="50"/>
      <c r="O28"/>
    </row>
    <row r="29" spans="1:15" ht="21" customHeight="1" thickBot="1" x14ac:dyDescent="0.4">
      <c r="B29" s="1323" t="s">
        <v>99</v>
      </c>
      <c r="C29" s="1324"/>
      <c r="D29" s="1324"/>
      <c r="E29" s="304">
        <f>+E26+E27+E28</f>
        <v>43460</v>
      </c>
      <c r="G29" s="311"/>
      <c r="I29" s="171"/>
      <c r="J29" s="48"/>
      <c r="K29" s="66"/>
      <c r="L29" s="49"/>
      <c r="M29" s="49"/>
    </row>
    <row r="30" spans="1:15" ht="21" customHeight="1" thickBot="1" x14ac:dyDescent="0.4">
      <c r="B30" s="168" t="s">
        <v>19</v>
      </c>
      <c r="C30" s="264">
        <v>0</v>
      </c>
      <c r="D30" s="206"/>
      <c r="E30" s="207">
        <v>0</v>
      </c>
      <c r="F30" s="49"/>
      <c r="G30" s="311"/>
      <c r="H30" s="310"/>
      <c r="I30" s="171"/>
      <c r="J30" s="1"/>
      <c r="K30" s="51"/>
      <c r="L30" s="49"/>
      <c r="M30" s="49"/>
      <c r="O30" s="1"/>
    </row>
    <row r="31" spans="1:15" ht="27" customHeight="1" thickBot="1" x14ac:dyDescent="0.4">
      <c r="B31" s="134" t="s">
        <v>11</v>
      </c>
      <c r="C31" s="265"/>
      <c r="D31" s="208"/>
      <c r="E31" s="201">
        <f>+E29-E30</f>
        <v>43460</v>
      </c>
      <c r="I31" s="106"/>
      <c r="J31" s="1"/>
      <c r="K31" s="51"/>
      <c r="L31" s="51"/>
      <c r="M31" s="51"/>
      <c r="N31" s="1"/>
    </row>
    <row r="32" spans="1:15" ht="21" customHeight="1" thickBot="1" x14ac:dyDescent="0.4">
      <c r="G32" s="322" t="s">
        <v>106</v>
      </c>
      <c r="H32" s="323" t="s">
        <v>107</v>
      </c>
      <c r="J32" s="284"/>
      <c r="K32" s="284"/>
      <c r="L32" s="51"/>
      <c r="M32" s="51"/>
      <c r="N32" s="1"/>
    </row>
    <row r="33" spans="1:15" ht="21" customHeight="1" thickBot="1" x14ac:dyDescent="0.5">
      <c r="B33" s="1315" t="s">
        <v>16</v>
      </c>
      <c r="C33" s="1316"/>
      <c r="D33" s="1316"/>
      <c r="E33" s="1317"/>
      <c r="G33" s="326">
        <v>15</v>
      </c>
      <c r="H33" s="327">
        <v>9</v>
      </c>
      <c r="I33" s="324">
        <f>+G33*H33</f>
        <v>135</v>
      </c>
      <c r="J33" s="176"/>
      <c r="K33" s="177"/>
      <c r="L33" s="284"/>
      <c r="M33" s="284"/>
      <c r="N33" s="284"/>
    </row>
    <row r="34" spans="1:15" ht="21" customHeight="1" thickBot="1" x14ac:dyDescent="0.4">
      <c r="A34" s="106"/>
      <c r="B34" s="169" t="s">
        <v>7</v>
      </c>
      <c r="C34" s="266" t="s">
        <v>8</v>
      </c>
      <c r="D34" s="209" t="s">
        <v>4</v>
      </c>
      <c r="E34" s="210" t="s">
        <v>9</v>
      </c>
      <c r="G34" s="328">
        <v>7</v>
      </c>
      <c r="H34" s="329">
        <v>8</v>
      </c>
      <c r="I34" s="325">
        <f>+G34*H34</f>
        <v>56</v>
      </c>
      <c r="J34" s="179"/>
      <c r="K34" s="180"/>
      <c r="L34" s="176"/>
      <c r="M34" s="178"/>
      <c r="N34" s="178"/>
    </row>
    <row r="35" spans="1:15" ht="21" customHeight="1" thickBot="1" x14ac:dyDescent="0.4">
      <c r="A35" s="155"/>
      <c r="B35" s="165" t="s">
        <v>3</v>
      </c>
      <c r="C35" s="267">
        <v>191</v>
      </c>
      <c r="D35" s="211">
        <v>156</v>
      </c>
      <c r="E35" s="212">
        <f>C35*D35</f>
        <v>29796</v>
      </c>
      <c r="F35" s="155"/>
      <c r="G35" s="1311" t="s">
        <v>108</v>
      </c>
      <c r="H35" s="1312"/>
      <c r="I35" s="330">
        <f>SUM(I33:I34)</f>
        <v>191</v>
      </c>
      <c r="J35" s="176"/>
      <c r="K35" s="180"/>
      <c r="L35" s="181"/>
      <c r="M35" s="181"/>
      <c r="N35" s="181"/>
    </row>
    <row r="36" spans="1:15" ht="21" customHeight="1" x14ac:dyDescent="0.35">
      <c r="A36" s="155"/>
      <c r="B36" s="165" t="s">
        <v>5</v>
      </c>
      <c r="C36" s="267">
        <v>9.5</v>
      </c>
      <c r="D36" s="211">
        <f>+D35*1.5</f>
        <v>234</v>
      </c>
      <c r="E36" s="212">
        <f>C36*D36</f>
        <v>2223</v>
      </c>
      <c r="F36" s="155"/>
      <c r="G36" s="106"/>
      <c r="J36" s="176"/>
      <c r="K36" s="180"/>
      <c r="L36" s="181"/>
      <c r="M36" s="181"/>
      <c r="N36" s="181"/>
    </row>
    <row r="37" spans="1:15" ht="24.75" customHeight="1" thickBot="1" x14ac:dyDescent="0.4">
      <c r="A37" s="155"/>
      <c r="B37" s="165" t="s">
        <v>6</v>
      </c>
      <c r="C37" s="267">
        <v>8000</v>
      </c>
      <c r="D37" s="211"/>
      <c r="E37" s="212">
        <f>+C37</f>
        <v>8000</v>
      </c>
      <c r="F37" s="155"/>
      <c r="J37" s="176"/>
      <c r="K37" s="180"/>
      <c r="L37" s="181"/>
      <c r="M37" s="181"/>
      <c r="N37" s="181"/>
    </row>
    <row r="38" spans="1:15" ht="21" customHeight="1" thickBot="1" x14ac:dyDescent="0.4">
      <c r="A38" s="156"/>
      <c r="B38" s="1323" t="s">
        <v>99</v>
      </c>
      <c r="C38" s="1324"/>
      <c r="D38" s="1324"/>
      <c r="E38" s="304">
        <f>+E37+E36+E35</f>
        <v>40019</v>
      </c>
      <c r="F38" s="156"/>
      <c r="G38" s="1"/>
      <c r="J38" s="182"/>
      <c r="K38" s="180"/>
      <c r="L38" s="181"/>
      <c r="M38" s="181"/>
      <c r="N38" s="181"/>
    </row>
    <row r="39" spans="1:15" s="1" customFormat="1" ht="21" customHeight="1" thickBot="1" x14ac:dyDescent="0.4">
      <c r="A39" s="155"/>
      <c r="B39" s="167" t="s">
        <v>19</v>
      </c>
      <c r="C39" s="268"/>
      <c r="D39" s="213"/>
      <c r="E39" s="214">
        <v>10000</v>
      </c>
      <c r="F39" s="155"/>
      <c r="G39"/>
      <c r="H39"/>
      <c r="I39"/>
      <c r="J39" s="182"/>
      <c r="K39" s="180"/>
      <c r="L39" s="181"/>
      <c r="M39" s="181"/>
      <c r="N39" s="181"/>
      <c r="O39"/>
    </row>
    <row r="40" spans="1:15" ht="21" customHeight="1" thickBot="1" x14ac:dyDescent="0.4">
      <c r="A40" s="155"/>
      <c r="B40" s="166" t="s">
        <v>11</v>
      </c>
      <c r="C40" s="269"/>
      <c r="D40" s="215"/>
      <c r="E40" s="216">
        <f>+E35+E36+E37-E39</f>
        <v>30019</v>
      </c>
      <c r="F40" s="155"/>
      <c r="J40" s="183"/>
      <c r="K40" s="180"/>
      <c r="L40" s="181"/>
      <c r="M40" s="181"/>
      <c r="N40" s="181"/>
    </row>
    <row r="41" spans="1:15" ht="24.75" customHeight="1" thickBot="1" x14ac:dyDescent="0.4">
      <c r="A41" s="155"/>
      <c r="F41" s="155"/>
      <c r="J41" s="183"/>
      <c r="K41" s="180"/>
      <c r="L41" s="181"/>
      <c r="M41" s="181"/>
      <c r="N41" s="181"/>
      <c r="O41" s="1"/>
    </row>
    <row r="42" spans="1:15" ht="21" customHeight="1" x14ac:dyDescent="0.35">
      <c r="A42" s="155"/>
      <c r="B42" s="1276" t="s">
        <v>0</v>
      </c>
      <c r="C42" s="1277"/>
      <c r="D42" s="1277"/>
      <c r="E42" s="1278"/>
      <c r="F42" s="155"/>
      <c r="G42" s="1"/>
      <c r="H42" s="1"/>
      <c r="I42" s="1"/>
      <c r="J42" s="183"/>
      <c r="K42" s="180"/>
      <c r="L42" s="181"/>
      <c r="M42" s="181"/>
      <c r="N42" s="181"/>
    </row>
    <row r="43" spans="1:15" ht="21" customHeight="1" x14ac:dyDescent="0.35">
      <c r="A43" s="155"/>
      <c r="B43" s="8" t="s">
        <v>7</v>
      </c>
      <c r="C43" s="270" t="s">
        <v>8</v>
      </c>
      <c r="D43" s="217" t="s">
        <v>4</v>
      </c>
      <c r="E43" s="218" t="s">
        <v>9</v>
      </c>
      <c r="F43" s="155"/>
      <c r="J43" s="183"/>
      <c r="K43" s="180"/>
      <c r="L43" s="181"/>
      <c r="M43" s="181"/>
      <c r="N43" s="181"/>
    </row>
    <row r="44" spans="1:15" ht="21" customHeight="1" x14ac:dyDescent="0.35">
      <c r="B44" s="10" t="s">
        <v>3</v>
      </c>
      <c r="C44" s="258">
        <v>191</v>
      </c>
      <c r="D44" s="194">
        <v>194</v>
      </c>
      <c r="E44" s="196">
        <f>C44*D44</f>
        <v>37054</v>
      </c>
      <c r="F44" s="106"/>
      <c r="J44" s="183"/>
      <c r="K44" s="180"/>
      <c r="L44" s="181"/>
      <c r="M44" s="181"/>
      <c r="N44" s="181"/>
    </row>
    <row r="45" spans="1:15" ht="21" customHeight="1" x14ac:dyDescent="0.35">
      <c r="B45" s="10" t="s">
        <v>5</v>
      </c>
      <c r="C45" s="258">
        <v>9.5</v>
      </c>
      <c r="D45" s="194">
        <f>+D44*1.5</f>
        <v>291</v>
      </c>
      <c r="E45" s="196">
        <f>C45*D45</f>
        <v>2764.5</v>
      </c>
      <c r="I45" s="183"/>
      <c r="J45" s="180"/>
      <c r="K45" s="181"/>
      <c r="L45" s="181"/>
      <c r="M45" s="181"/>
    </row>
    <row r="46" spans="1:15" ht="21" customHeight="1" thickBot="1" x14ac:dyDescent="0.4">
      <c r="B46" s="10" t="s">
        <v>6</v>
      </c>
      <c r="C46" s="258">
        <v>13500</v>
      </c>
      <c r="D46" s="194"/>
      <c r="E46" s="196">
        <f>+C46</f>
        <v>13500</v>
      </c>
      <c r="H46" s="183"/>
      <c r="I46" s="180"/>
      <c r="J46" s="181"/>
      <c r="K46" s="181"/>
      <c r="L46" s="184"/>
    </row>
    <row r="47" spans="1:15" ht="21" customHeight="1" thickBot="1" x14ac:dyDescent="0.4">
      <c r="B47" s="1323" t="s">
        <v>99</v>
      </c>
      <c r="C47" s="1324"/>
      <c r="D47" s="1324"/>
      <c r="E47" s="304">
        <f>+E46+E45+E44</f>
        <v>53318.5</v>
      </c>
      <c r="H47" s="183"/>
      <c r="I47" s="180"/>
      <c r="J47" s="181"/>
      <c r="K47" s="181"/>
      <c r="L47" s="184"/>
    </row>
    <row r="48" spans="1:15" ht="21" customHeight="1" thickBot="1" x14ac:dyDescent="0.4">
      <c r="B48" s="131" t="s">
        <v>18</v>
      </c>
      <c r="C48" s="271"/>
      <c r="D48" s="219"/>
      <c r="E48" s="198">
        <v>25616.57</v>
      </c>
      <c r="H48" s="183"/>
      <c r="I48" s="180"/>
      <c r="J48" s="181"/>
      <c r="K48" s="181"/>
      <c r="L48" s="184"/>
    </row>
    <row r="49" spans="1:15" ht="21" customHeight="1" thickBot="1" x14ac:dyDescent="0.4">
      <c r="A49" s="1"/>
      <c r="B49" s="12" t="s">
        <v>11</v>
      </c>
      <c r="C49" s="272"/>
      <c r="D49" s="220"/>
      <c r="E49" s="201">
        <f>+E44+E45+E46-E48</f>
        <v>27701.93</v>
      </c>
      <c r="F49" s="180"/>
      <c r="G49" s="181"/>
      <c r="H49" s="181"/>
      <c r="I49" s="184"/>
    </row>
    <row r="50" spans="1:15" s="1" customFormat="1" ht="21" customHeight="1" thickBot="1" x14ac:dyDescent="0.4">
      <c r="A50"/>
      <c r="B50"/>
      <c r="C50" s="261"/>
      <c r="D50" s="202"/>
      <c r="E50" s="203"/>
      <c r="F50" s="155"/>
      <c r="G50" s="180"/>
      <c r="H50" s="181"/>
      <c r="I50" s="181"/>
      <c r="J50" s="184"/>
      <c r="K50"/>
    </row>
    <row r="51" spans="1:15" ht="21" customHeight="1" x14ac:dyDescent="0.35">
      <c r="A51" s="1"/>
      <c r="B51" s="1276" t="s">
        <v>28</v>
      </c>
      <c r="C51" s="1277"/>
      <c r="D51" s="1277"/>
      <c r="E51" s="1278"/>
      <c r="F51" s="106"/>
      <c r="G51" s="180"/>
      <c r="H51" s="181"/>
      <c r="I51" s="181"/>
      <c r="J51" s="184"/>
    </row>
    <row r="52" spans="1:15" s="1" customFormat="1" ht="21" customHeight="1" x14ac:dyDescent="0.35">
      <c r="A52"/>
      <c r="B52" s="8" t="s">
        <v>7</v>
      </c>
      <c r="C52" s="270" t="s">
        <v>8</v>
      </c>
      <c r="D52" s="217" t="s">
        <v>4</v>
      </c>
      <c r="E52" s="218" t="s">
        <v>9</v>
      </c>
      <c r="F52" s="106"/>
      <c r="G52" s="186"/>
      <c r="H52" s="181"/>
      <c r="I52" s="181"/>
      <c r="J52" s="184"/>
    </row>
    <row r="53" spans="1:15" ht="21" customHeight="1" x14ac:dyDescent="0.35">
      <c r="B53" s="10" t="s">
        <v>3</v>
      </c>
      <c r="C53" s="315">
        <v>146</v>
      </c>
      <c r="D53" s="194">
        <v>180</v>
      </c>
      <c r="E53" s="196">
        <f>C53*D53</f>
        <v>26280</v>
      </c>
      <c r="F53" s="306" t="s">
        <v>87</v>
      </c>
      <c r="J53" s="185"/>
      <c r="K53" s="180"/>
      <c r="L53" s="181"/>
      <c r="M53" s="187"/>
      <c r="N53" s="188"/>
    </row>
    <row r="54" spans="1:15" ht="21" customHeight="1" x14ac:dyDescent="0.35">
      <c r="B54" s="10" t="s">
        <v>5</v>
      </c>
      <c r="C54" s="258"/>
      <c r="D54" s="194">
        <f>+D53*1.5</f>
        <v>270</v>
      </c>
      <c r="E54" s="196">
        <f>C54*D54</f>
        <v>0</v>
      </c>
      <c r="F54" s="307" t="s">
        <v>92</v>
      </c>
      <c r="J54" s="185"/>
      <c r="K54" s="180"/>
      <c r="L54" s="187"/>
      <c r="M54" s="181"/>
      <c r="N54" s="184"/>
    </row>
    <row r="55" spans="1:15" ht="21" customHeight="1" x14ac:dyDescent="0.35">
      <c r="B55" s="10" t="s">
        <v>101</v>
      </c>
      <c r="C55" s="258">
        <v>59</v>
      </c>
      <c r="D55" s="194"/>
      <c r="E55" s="196">
        <f>+C55*D53</f>
        <v>10620</v>
      </c>
      <c r="F55" s="308" t="s">
        <v>98</v>
      </c>
      <c r="J55" s="189"/>
      <c r="K55" s="180"/>
      <c r="L55" s="181"/>
      <c r="M55" s="181"/>
      <c r="N55" s="184"/>
    </row>
    <row r="56" spans="1:15" ht="21" customHeight="1" thickBot="1" x14ac:dyDescent="0.4">
      <c r="B56" s="10" t="s">
        <v>6</v>
      </c>
      <c r="C56" s="258">
        <v>13000</v>
      </c>
      <c r="D56" s="194"/>
      <c r="E56" s="196">
        <f>+C56</f>
        <v>13000</v>
      </c>
      <c r="F56" s="309" t="s">
        <v>100</v>
      </c>
      <c r="J56" s="189"/>
      <c r="K56" s="180"/>
      <c r="L56" s="181"/>
      <c r="M56" s="181"/>
      <c r="N56" s="184"/>
    </row>
    <row r="57" spans="1:15" ht="21" customHeight="1" thickBot="1" x14ac:dyDescent="0.4">
      <c r="B57" s="1323" t="s">
        <v>99</v>
      </c>
      <c r="C57" s="1324"/>
      <c r="D57" s="1324"/>
      <c r="E57" s="304">
        <f>+E56+E54+E53+E55</f>
        <v>49900</v>
      </c>
      <c r="J57" s="185"/>
      <c r="K57" s="180"/>
      <c r="L57" s="181"/>
      <c r="M57" s="181"/>
      <c r="N57" s="184"/>
    </row>
    <row r="58" spans="1:15" ht="21" customHeight="1" thickBot="1" x14ac:dyDescent="0.4">
      <c r="B58" s="128" t="s">
        <v>19</v>
      </c>
      <c r="C58" s="273"/>
      <c r="D58" s="219"/>
      <c r="E58" s="198">
        <v>10000</v>
      </c>
      <c r="F58" s="49"/>
      <c r="J58" s="185"/>
      <c r="K58" s="180"/>
      <c r="L58" s="181"/>
      <c r="M58" s="181"/>
      <c r="N58" s="184"/>
    </row>
    <row r="59" spans="1:15" ht="21" customHeight="1" thickBot="1" x14ac:dyDescent="0.4">
      <c r="B59" s="134" t="s">
        <v>11</v>
      </c>
      <c r="C59" s="260"/>
      <c r="D59" s="200"/>
      <c r="E59" s="201">
        <f>+E57-E58</f>
        <v>39900</v>
      </c>
      <c r="J59" s="190"/>
      <c r="K59" s="191"/>
      <c r="L59" s="181"/>
      <c r="M59" s="181"/>
      <c r="N59" s="184"/>
    </row>
    <row r="60" spans="1:15" ht="21" customHeight="1" thickBot="1" x14ac:dyDescent="0.4">
      <c r="J60" s="185"/>
      <c r="K60" s="180"/>
      <c r="L60" s="181"/>
      <c r="M60" s="181"/>
      <c r="N60" s="184"/>
    </row>
    <row r="61" spans="1:15" ht="21" customHeight="1" x14ac:dyDescent="0.35">
      <c r="B61" s="1276" t="s">
        <v>17</v>
      </c>
      <c r="C61" s="1277"/>
      <c r="D61" s="1277"/>
      <c r="E61" s="1278"/>
      <c r="J61" s="185"/>
      <c r="K61" s="180"/>
      <c r="L61" s="181"/>
      <c r="M61" s="181"/>
      <c r="N61" s="184"/>
      <c r="O61" s="1"/>
    </row>
    <row r="62" spans="1:15" ht="21" customHeight="1" x14ac:dyDescent="0.35">
      <c r="B62" s="8" t="s">
        <v>7</v>
      </c>
      <c r="C62" s="270" t="s">
        <v>8</v>
      </c>
      <c r="D62" s="217" t="s">
        <v>4</v>
      </c>
      <c r="E62" s="218" t="s">
        <v>9</v>
      </c>
      <c r="F62" s="309" t="s">
        <v>100</v>
      </c>
      <c r="G62" s="1"/>
      <c r="H62" s="115"/>
      <c r="I62" s="1"/>
      <c r="J62" s="182"/>
      <c r="K62" s="180"/>
      <c r="L62" s="181"/>
      <c r="M62" s="181"/>
      <c r="N62" s="184"/>
      <c r="O62" s="1"/>
    </row>
    <row r="63" spans="1:15" ht="21" customHeight="1" x14ac:dyDescent="0.35">
      <c r="B63" s="10" t="s">
        <v>3</v>
      </c>
      <c r="C63" s="258">
        <v>146</v>
      </c>
      <c r="D63" s="194">
        <v>132</v>
      </c>
      <c r="E63" s="196">
        <f>C63*D63</f>
        <v>19272</v>
      </c>
      <c r="J63" s="176"/>
      <c r="K63" s="180"/>
      <c r="L63" s="181"/>
      <c r="M63" s="181"/>
      <c r="N63" s="184"/>
    </row>
    <row r="64" spans="1:15" ht="21" customHeight="1" x14ac:dyDescent="0.35">
      <c r="B64" s="10" t="s">
        <v>5</v>
      </c>
      <c r="C64" s="258"/>
      <c r="D64" s="194">
        <f>+D63*1.5</f>
        <v>198</v>
      </c>
      <c r="E64" s="196">
        <f>C64*D64</f>
        <v>0</v>
      </c>
      <c r="J64" s="176"/>
      <c r="K64" s="180"/>
      <c r="L64" s="181"/>
      <c r="M64" s="181"/>
      <c r="N64" s="184"/>
    </row>
    <row r="65" spans="2:15" ht="21" customHeight="1" x14ac:dyDescent="0.35">
      <c r="B65" s="10" t="s">
        <v>6</v>
      </c>
      <c r="C65" s="258">
        <v>7000</v>
      </c>
      <c r="D65" s="194"/>
      <c r="E65" s="222">
        <f>+C65</f>
        <v>7000</v>
      </c>
      <c r="J65" s="176"/>
      <c r="K65" s="180"/>
      <c r="L65" s="181"/>
      <c r="M65" s="181"/>
      <c r="N65" s="184"/>
    </row>
    <row r="66" spans="2:15" ht="21" customHeight="1" thickBot="1" x14ac:dyDescent="0.4">
      <c r="B66" s="94" t="s">
        <v>2</v>
      </c>
      <c r="C66" s="258">
        <f>8*7</f>
        <v>56</v>
      </c>
      <c r="D66" s="204">
        <v>132</v>
      </c>
      <c r="E66" s="312">
        <f>+C66*D66</f>
        <v>7392</v>
      </c>
      <c r="J66" s="1314"/>
      <c r="K66" s="1314"/>
      <c r="L66" s="181"/>
      <c r="M66" s="181"/>
      <c r="N66" s="184"/>
    </row>
    <row r="67" spans="2:15" ht="21" customHeight="1" thickBot="1" x14ac:dyDescent="0.4">
      <c r="B67" s="1323" t="s">
        <v>99</v>
      </c>
      <c r="C67" s="1324"/>
      <c r="D67" s="1324"/>
      <c r="E67" s="304">
        <f>+E63+E64+E65+E66</f>
        <v>33664</v>
      </c>
      <c r="J67" s="176"/>
      <c r="K67" s="176"/>
      <c r="L67" s="181"/>
      <c r="M67" s="181"/>
      <c r="N67" s="184"/>
    </row>
    <row r="68" spans="2:15" ht="21" customHeight="1" thickBot="1" x14ac:dyDescent="0.4">
      <c r="B68" s="128" t="s">
        <v>19</v>
      </c>
      <c r="C68" s="273"/>
      <c r="D68" s="219"/>
      <c r="E68" s="199">
        <f>+C68</f>
        <v>0</v>
      </c>
      <c r="J68" s="176"/>
      <c r="K68" s="176"/>
      <c r="L68" s="176"/>
      <c r="M68" s="176"/>
      <c r="N68" s="176"/>
    </row>
    <row r="69" spans="2:15" ht="21" customHeight="1" thickBot="1" x14ac:dyDescent="0.4">
      <c r="B69" s="12" t="s">
        <v>11</v>
      </c>
      <c r="C69" s="272"/>
      <c r="D69" s="223"/>
      <c r="E69" s="201">
        <f>+E67</f>
        <v>33664</v>
      </c>
      <c r="J69" s="176"/>
      <c r="K69" s="183"/>
      <c r="L69" s="176"/>
      <c r="M69" s="176"/>
      <c r="N69" s="176"/>
    </row>
    <row r="70" spans="2:15" ht="21" customHeight="1" thickBot="1" x14ac:dyDescent="0.4">
      <c r="J70" s="183"/>
      <c r="K70" s="176"/>
      <c r="L70" s="183"/>
      <c r="M70" s="183"/>
      <c r="N70" s="183"/>
    </row>
    <row r="71" spans="2:15" ht="21" customHeight="1" x14ac:dyDescent="0.35">
      <c r="B71" s="1276" t="s">
        <v>86</v>
      </c>
      <c r="C71" s="1277"/>
      <c r="D71" s="1277"/>
      <c r="E71" s="1278"/>
      <c r="G71" s="1"/>
      <c r="H71" s="1"/>
      <c r="I71" s="1"/>
      <c r="J71" s="176"/>
      <c r="K71" s="176"/>
      <c r="L71" s="176"/>
      <c r="M71" s="176"/>
      <c r="N71" s="176"/>
      <c r="O71" s="1"/>
    </row>
    <row r="72" spans="2:15" ht="21" customHeight="1" x14ac:dyDescent="0.35">
      <c r="B72" s="8" t="s">
        <v>7</v>
      </c>
      <c r="C72" s="270" t="s">
        <v>8</v>
      </c>
      <c r="D72" s="217" t="s">
        <v>4</v>
      </c>
      <c r="E72" s="218" t="s">
        <v>9</v>
      </c>
      <c r="J72" s="176"/>
      <c r="K72" s="176"/>
      <c r="L72" s="176"/>
      <c r="M72" s="176"/>
      <c r="N72" s="176"/>
    </row>
    <row r="73" spans="2:15" ht="21" customHeight="1" x14ac:dyDescent="0.35">
      <c r="B73" s="10" t="s">
        <v>3</v>
      </c>
      <c r="C73" s="258">
        <v>191</v>
      </c>
      <c r="D73" s="194">
        <v>110</v>
      </c>
      <c r="E73" s="196">
        <f>C73*D73</f>
        <v>21010</v>
      </c>
      <c r="J73" s="176"/>
      <c r="K73" s="176"/>
      <c r="L73" s="176"/>
      <c r="M73" s="176"/>
      <c r="N73" s="176"/>
    </row>
    <row r="74" spans="2:15" ht="21" customHeight="1" x14ac:dyDescent="0.35">
      <c r="B74" s="10" t="s">
        <v>5</v>
      </c>
      <c r="C74" s="258">
        <v>4</v>
      </c>
      <c r="D74" s="194">
        <f>+D73*1.5</f>
        <v>165</v>
      </c>
      <c r="E74" s="196">
        <f>+C74*D74</f>
        <v>660</v>
      </c>
      <c r="J74" s="176"/>
      <c r="K74" s="176"/>
      <c r="L74" s="176"/>
      <c r="M74" s="176"/>
      <c r="N74" s="176"/>
    </row>
    <row r="75" spans="2:15" ht="21" customHeight="1" thickBot="1" x14ac:dyDescent="0.4">
      <c r="B75" s="94" t="s">
        <v>6</v>
      </c>
      <c r="C75" s="272">
        <v>3000</v>
      </c>
      <c r="D75" s="204"/>
      <c r="E75" s="313">
        <f>+C75</f>
        <v>3000</v>
      </c>
      <c r="J75" s="176"/>
      <c r="K75" s="176"/>
      <c r="L75" s="176"/>
      <c r="M75" s="176"/>
      <c r="N75" s="176"/>
    </row>
    <row r="76" spans="2:15" ht="21" customHeight="1" thickBot="1" x14ac:dyDescent="0.4">
      <c r="B76" s="1323" t="s">
        <v>99</v>
      </c>
      <c r="C76" s="1324"/>
      <c r="D76" s="1324"/>
      <c r="E76" s="304">
        <f>+E75+E74+E73</f>
        <v>24670</v>
      </c>
      <c r="J76" s="176"/>
      <c r="K76" s="176"/>
      <c r="L76" s="176"/>
      <c r="M76" s="176"/>
      <c r="N76" s="176"/>
    </row>
    <row r="77" spans="2:15" ht="21" customHeight="1" thickBot="1" x14ac:dyDescent="0.4">
      <c r="B77" s="128" t="s">
        <v>19</v>
      </c>
      <c r="C77" s="273"/>
      <c r="D77" s="219"/>
      <c r="E77" s="199">
        <f>+C77</f>
        <v>0</v>
      </c>
      <c r="J77" s="176"/>
      <c r="K77" s="176"/>
      <c r="L77" s="176"/>
      <c r="M77" s="176"/>
      <c r="N77" s="176"/>
    </row>
    <row r="78" spans="2:15" ht="65.25" customHeight="1" thickBot="1" x14ac:dyDescent="0.4">
      <c r="B78" s="12" t="s">
        <v>11</v>
      </c>
      <c r="C78" s="272"/>
      <c r="D78" s="223"/>
      <c r="E78" s="201">
        <f>+E76-E77</f>
        <v>24670</v>
      </c>
      <c r="J78" s="176"/>
      <c r="K78" s="176"/>
      <c r="L78" s="176"/>
      <c r="M78" s="176"/>
      <c r="N78" s="176"/>
    </row>
    <row r="79" spans="2:15" ht="21" customHeight="1" thickBot="1" x14ac:dyDescent="0.4">
      <c r="J79" s="176"/>
      <c r="K79" s="176"/>
      <c r="L79" s="176"/>
      <c r="M79" s="176"/>
      <c r="N79" s="176"/>
    </row>
    <row r="80" spans="2:15" ht="21" customHeight="1" x14ac:dyDescent="0.35">
      <c r="B80" s="1276" t="s">
        <v>39</v>
      </c>
      <c r="C80" s="1277"/>
      <c r="D80" s="1277"/>
      <c r="E80" s="1278"/>
      <c r="J80" s="176"/>
      <c r="K80" s="176"/>
      <c r="L80" s="176"/>
      <c r="M80" s="176"/>
      <c r="N80" s="176"/>
    </row>
    <row r="81" spans="2:14" ht="21" customHeight="1" x14ac:dyDescent="0.35">
      <c r="B81" s="8" t="s">
        <v>7</v>
      </c>
      <c r="C81" s="270" t="s">
        <v>8</v>
      </c>
      <c r="D81" s="217" t="s">
        <v>4</v>
      </c>
      <c r="E81" s="218" t="s">
        <v>9</v>
      </c>
      <c r="J81" s="176"/>
      <c r="K81" s="176"/>
      <c r="L81" s="176"/>
      <c r="M81" s="176"/>
      <c r="N81" s="176"/>
    </row>
    <row r="82" spans="2:14" ht="21" customHeight="1" x14ac:dyDescent="0.35">
      <c r="B82" s="10" t="s">
        <v>3</v>
      </c>
      <c r="C82" s="258"/>
      <c r="D82" s="194"/>
      <c r="E82" s="196">
        <v>25000</v>
      </c>
      <c r="J82" s="176"/>
      <c r="K82" s="176"/>
      <c r="L82" s="176"/>
      <c r="M82" s="176"/>
      <c r="N82" s="176"/>
    </row>
    <row r="83" spans="2:14" ht="21" customHeight="1" thickBot="1" x14ac:dyDescent="0.4">
      <c r="B83" s="10" t="s">
        <v>5</v>
      </c>
      <c r="C83" s="258"/>
      <c r="D83" s="194">
        <f>+E82/8/20*(1.5)</f>
        <v>234.375</v>
      </c>
      <c r="E83" s="196">
        <f>C83*D83</f>
        <v>0</v>
      </c>
      <c r="J83" s="176"/>
      <c r="K83" s="176"/>
      <c r="L83" s="176"/>
      <c r="M83" s="176"/>
      <c r="N83" s="176"/>
    </row>
    <row r="84" spans="2:14" ht="21" customHeight="1" thickBot="1" x14ac:dyDescent="0.4">
      <c r="B84" s="12" t="s">
        <v>11</v>
      </c>
      <c r="C84" s="272"/>
      <c r="D84" s="223"/>
      <c r="E84" s="201">
        <f>+E82+E83</f>
        <v>25000</v>
      </c>
      <c r="J84" s="176"/>
      <c r="K84" s="176"/>
      <c r="L84" s="176"/>
      <c r="M84" s="176"/>
      <c r="N84" s="176"/>
    </row>
    <row r="85" spans="2:14" ht="21" customHeight="1" x14ac:dyDescent="0.35">
      <c r="J85" s="176"/>
      <c r="K85" s="176"/>
      <c r="L85" s="176"/>
      <c r="M85" s="176"/>
      <c r="N85" s="176"/>
    </row>
    <row r="86" spans="2:14" ht="14.5" x14ac:dyDescent="0.35">
      <c r="F86" s="1"/>
    </row>
    <row r="87" spans="2:14" ht="21" customHeight="1" x14ac:dyDescent="0.35">
      <c r="C87"/>
      <c r="D87"/>
      <c r="E87"/>
    </row>
    <row r="90" spans="2:14" ht="14.5" x14ac:dyDescent="0.35">
      <c r="F90" s="114"/>
    </row>
    <row r="91" spans="2:14" ht="21" customHeight="1" x14ac:dyDescent="0.35">
      <c r="C91"/>
      <c r="D91"/>
      <c r="E91"/>
    </row>
  </sheetData>
  <mergeCells count="26">
    <mergeCell ref="M12:O12"/>
    <mergeCell ref="B1:E1"/>
    <mergeCell ref="B6:D6"/>
    <mergeCell ref="F8:F10"/>
    <mergeCell ref="B11:E11"/>
    <mergeCell ref="G11:L11"/>
    <mergeCell ref="G14:H18"/>
    <mergeCell ref="B19:D19"/>
    <mergeCell ref="G20:G26"/>
    <mergeCell ref="H20:H22"/>
    <mergeCell ref="B24:E24"/>
    <mergeCell ref="H23:H26"/>
    <mergeCell ref="J66:K66"/>
    <mergeCell ref="B71:E71"/>
    <mergeCell ref="B29:D29"/>
    <mergeCell ref="B33:E33"/>
    <mergeCell ref="B38:D38"/>
    <mergeCell ref="B42:E42"/>
    <mergeCell ref="B47:D47"/>
    <mergeCell ref="G35:H35"/>
    <mergeCell ref="B76:D76"/>
    <mergeCell ref="B80:E80"/>
    <mergeCell ref="B51:E51"/>
    <mergeCell ref="B57:D57"/>
    <mergeCell ref="B61:E61"/>
    <mergeCell ref="B67:D67"/>
  </mergeCells>
  <pageMargins left="0.70866141732283472" right="0.70866141732283472" top="1.1811023622047245" bottom="0.15748031496062992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5"/>
  <sheetViews>
    <sheetView workbookViewId="0">
      <selection activeCell="A6" sqref="A6"/>
    </sheetView>
  </sheetViews>
  <sheetFormatPr baseColWidth="10" defaultRowHeight="21" customHeight="1" x14ac:dyDescent="0.35"/>
  <cols>
    <col min="2" max="2" width="20.90625" customWidth="1"/>
    <col min="3" max="3" width="18.90625" style="261" customWidth="1"/>
    <col min="4" max="4" width="19.90625" style="202" customWidth="1"/>
    <col min="5" max="5" width="18.54296875" style="203" customWidth="1"/>
    <col min="6" max="6" width="21.6328125" customWidth="1"/>
    <col min="7" max="9" width="14.08984375" customWidth="1"/>
    <col min="10" max="10" width="12.54296875" customWidth="1"/>
    <col min="11" max="11" width="14.6328125" customWidth="1"/>
    <col min="12" max="12" width="14.54296875" bestFit="1" customWidth="1"/>
    <col min="13" max="13" width="13" customWidth="1"/>
    <col min="14" max="14" width="13.453125" customWidth="1"/>
    <col min="15" max="15" width="13.36328125" bestFit="1" customWidth="1"/>
    <col min="16" max="16" width="14.08984375" customWidth="1"/>
  </cols>
  <sheetData>
    <row r="1" spans="2:16" ht="26.5" thickBot="1" x14ac:dyDescent="0.4">
      <c r="B1" s="1273" t="s">
        <v>10</v>
      </c>
      <c r="C1" s="1274"/>
      <c r="D1" s="1274"/>
      <c r="E1" s="1275"/>
      <c r="G1" s="80" t="s">
        <v>20</v>
      </c>
      <c r="H1" s="74" t="s">
        <v>8</v>
      </c>
      <c r="I1" s="74" t="s">
        <v>112</v>
      </c>
      <c r="J1" s="74" t="s">
        <v>44</v>
      </c>
      <c r="K1" s="81" t="s">
        <v>43</v>
      </c>
      <c r="L1" s="334" t="s">
        <v>121</v>
      </c>
      <c r="M1" s="74" t="s">
        <v>24</v>
      </c>
      <c r="N1" s="74" t="s">
        <v>19</v>
      </c>
      <c r="O1" s="74" t="s">
        <v>18</v>
      </c>
      <c r="P1" s="68" t="s">
        <v>23</v>
      </c>
    </row>
    <row r="2" spans="2:16" s="1" customFormat="1" ht="21" customHeight="1" thickBot="1" x14ac:dyDescent="0.4">
      <c r="B2" s="16" t="s">
        <v>7</v>
      </c>
      <c r="C2" s="257" t="s">
        <v>8</v>
      </c>
      <c r="D2" s="192" t="s">
        <v>4</v>
      </c>
      <c r="E2" s="193" t="s">
        <v>9</v>
      </c>
      <c r="G2" s="230" t="s">
        <v>10</v>
      </c>
      <c r="H2" s="351">
        <f>+E3</f>
        <v>31301.999999999996</v>
      </c>
      <c r="I2" s="352">
        <f>+E4</f>
        <v>1353.6</v>
      </c>
      <c r="J2" s="353">
        <f>+E5</f>
        <v>0</v>
      </c>
      <c r="K2" s="353">
        <f>+E7</f>
        <v>8000</v>
      </c>
      <c r="L2" s="335">
        <f>+E6</f>
        <v>16497</v>
      </c>
      <c r="M2" s="354">
        <f>SUM(H2:L2)</f>
        <v>57152.599999999991</v>
      </c>
      <c r="N2" s="339">
        <f>+E9</f>
        <v>0</v>
      </c>
      <c r="O2" s="234">
        <f>+E10</f>
        <v>37221.480000000003</v>
      </c>
      <c r="P2" s="235">
        <f>+M2-N2-O2</f>
        <v>19931.119999999988</v>
      </c>
    </row>
    <row r="3" spans="2:16" ht="21" customHeight="1" thickBot="1" x14ac:dyDescent="0.4">
      <c r="B3" s="10" t="s">
        <v>3</v>
      </c>
      <c r="C3" s="258">
        <v>185</v>
      </c>
      <c r="D3" s="227">
        <v>169.2</v>
      </c>
      <c r="E3" s="196">
        <f>C3*D3</f>
        <v>31301.999999999996</v>
      </c>
      <c r="G3" s="236" t="s">
        <v>15</v>
      </c>
      <c r="H3" s="355">
        <f>+E15</f>
        <v>33300</v>
      </c>
      <c r="I3" s="356">
        <f>+E16</f>
        <v>1440</v>
      </c>
      <c r="J3" s="357">
        <f>+E17+E21</f>
        <v>1350</v>
      </c>
      <c r="K3" s="357">
        <f>+E19</f>
        <v>8000</v>
      </c>
      <c r="L3" s="336">
        <f>+E18</f>
        <v>18045</v>
      </c>
      <c r="M3" s="354">
        <f t="shared" ref="M3:M9" si="0">SUM(H3:L3)</f>
        <v>62135</v>
      </c>
      <c r="N3" s="340">
        <v>0</v>
      </c>
      <c r="O3" s="249">
        <v>0</v>
      </c>
      <c r="P3" s="235">
        <f>+M3</f>
        <v>62135</v>
      </c>
    </row>
    <row r="4" spans="2:16" ht="21" customHeight="1" thickBot="1" x14ac:dyDescent="0.4">
      <c r="B4" s="10" t="s">
        <v>111</v>
      </c>
      <c r="C4" s="258">
        <v>8</v>
      </c>
      <c r="D4" s="227">
        <v>169.2</v>
      </c>
      <c r="E4" s="196">
        <f>C4*D4</f>
        <v>1353.6</v>
      </c>
      <c r="G4" s="236" t="s">
        <v>16</v>
      </c>
      <c r="H4" s="355">
        <f>+E26</f>
        <v>28860</v>
      </c>
      <c r="I4" s="356">
        <f>+E27</f>
        <v>1248</v>
      </c>
      <c r="J4" s="336">
        <f>+E28</f>
        <v>936</v>
      </c>
      <c r="K4" s="357">
        <f>+E30</f>
        <v>8000</v>
      </c>
      <c r="L4" s="336">
        <f>+E29</f>
        <v>16009.5</v>
      </c>
      <c r="M4" s="354">
        <f t="shared" si="0"/>
        <v>55053.5</v>
      </c>
      <c r="N4" s="340">
        <f>+E32</f>
        <v>10000</v>
      </c>
      <c r="O4" s="249">
        <v>0</v>
      </c>
      <c r="P4" s="235">
        <f>+M4-N4</f>
        <v>45053.5</v>
      </c>
    </row>
    <row r="5" spans="2:16" ht="21" customHeight="1" thickBot="1" x14ac:dyDescent="0.4">
      <c r="B5" s="10" t="s">
        <v>5</v>
      </c>
      <c r="C5" s="258">
        <v>0</v>
      </c>
      <c r="D5" s="194">
        <f>+D3*1.5</f>
        <v>253.79999999999998</v>
      </c>
      <c r="E5" s="196">
        <f>C5*D5</f>
        <v>0</v>
      </c>
      <c r="G5" s="236" t="s">
        <v>0</v>
      </c>
      <c r="H5" s="355">
        <f>+E37</f>
        <v>35890</v>
      </c>
      <c r="I5" s="356">
        <f>+E38</f>
        <v>1552</v>
      </c>
      <c r="J5" s="357">
        <f>+E39</f>
        <v>1891.5</v>
      </c>
      <c r="K5" s="357">
        <f>+E41</f>
        <v>13500</v>
      </c>
      <c r="L5" s="336">
        <f>+E40</f>
        <v>20055</v>
      </c>
      <c r="M5" s="354">
        <f t="shared" si="0"/>
        <v>72888.5</v>
      </c>
      <c r="N5" s="340">
        <v>0</v>
      </c>
      <c r="O5" s="249">
        <f>+E44</f>
        <v>0</v>
      </c>
      <c r="P5" s="235">
        <f>+M5-N5-O5</f>
        <v>72888.5</v>
      </c>
    </row>
    <row r="6" spans="2:16" ht="21" customHeight="1" thickBot="1" x14ac:dyDescent="0.4">
      <c r="B6" s="349" t="s">
        <v>122</v>
      </c>
      <c r="C6" s="258"/>
      <c r="D6" s="194"/>
      <c r="E6" s="196">
        <f>32994/2</f>
        <v>16497</v>
      </c>
      <c r="G6" s="236" t="s">
        <v>28</v>
      </c>
      <c r="H6" s="355">
        <f>+E49</f>
        <v>33300</v>
      </c>
      <c r="I6" s="356">
        <f>+E50</f>
        <v>1440</v>
      </c>
      <c r="J6" s="357">
        <f>+E51</f>
        <v>405</v>
      </c>
      <c r="K6" s="357">
        <f>+E53</f>
        <v>13000</v>
      </c>
      <c r="L6" s="336">
        <f>+E52</f>
        <v>17872.5</v>
      </c>
      <c r="M6" s="354">
        <f t="shared" si="0"/>
        <v>66017.5</v>
      </c>
      <c r="N6" s="340">
        <f>+E55</f>
        <v>10000</v>
      </c>
      <c r="O6" s="249">
        <v>0</v>
      </c>
      <c r="P6" s="235">
        <f>+M6-N6-O6</f>
        <v>56017.5</v>
      </c>
    </row>
    <row r="7" spans="2:16" ht="21" customHeight="1" thickBot="1" x14ac:dyDescent="0.4">
      <c r="B7" s="10" t="s">
        <v>6</v>
      </c>
      <c r="C7" s="258">
        <v>8000</v>
      </c>
      <c r="D7" s="194"/>
      <c r="E7" s="196">
        <f>+C7</f>
        <v>8000</v>
      </c>
      <c r="G7" s="236" t="s">
        <v>17</v>
      </c>
      <c r="H7" s="355">
        <f>+E60</f>
        <v>24420</v>
      </c>
      <c r="I7" s="356">
        <f>+E61</f>
        <v>1056</v>
      </c>
      <c r="J7" s="357">
        <f>+E62</f>
        <v>1584</v>
      </c>
      <c r="K7" s="357">
        <f>+E64</f>
        <v>7000</v>
      </c>
      <c r="L7" s="336">
        <f>+E63</f>
        <v>13580</v>
      </c>
      <c r="M7" s="354">
        <f t="shared" si="0"/>
        <v>47640</v>
      </c>
      <c r="N7" s="340">
        <f>+E66</f>
        <v>0</v>
      </c>
      <c r="O7" s="249">
        <v>0</v>
      </c>
      <c r="P7" s="240">
        <f>+M7-N7-O7</f>
        <v>47640</v>
      </c>
    </row>
    <row r="8" spans="2:16" ht="21" customHeight="1" thickBot="1" x14ac:dyDescent="0.4">
      <c r="B8" s="1323" t="s">
        <v>99</v>
      </c>
      <c r="C8" s="1324"/>
      <c r="D8" s="1324"/>
      <c r="E8" s="304">
        <f>SUM(E3:E7)</f>
        <v>57152.599999999991</v>
      </c>
      <c r="F8" s="1325"/>
      <c r="G8" s="236" t="s">
        <v>86</v>
      </c>
      <c r="H8" s="358">
        <f>+E71</f>
        <v>20350</v>
      </c>
      <c r="I8" s="359">
        <f>+E72</f>
        <v>880</v>
      </c>
      <c r="J8" s="360">
        <f>+E73</f>
        <v>330</v>
      </c>
      <c r="K8" s="337">
        <f>+E75</f>
        <v>3000</v>
      </c>
      <c r="L8" s="337">
        <f>+E74</f>
        <v>7276.666666666667</v>
      </c>
      <c r="M8" s="354">
        <f t="shared" si="0"/>
        <v>31836.666666666668</v>
      </c>
      <c r="N8" s="341">
        <f>+E77</f>
        <v>4000</v>
      </c>
      <c r="O8" s="250">
        <v>0</v>
      </c>
      <c r="P8" s="244">
        <f>+M8-N8-O8</f>
        <v>27836.666666666668</v>
      </c>
    </row>
    <row r="9" spans="2:16" ht="21" customHeight="1" thickBot="1" x14ac:dyDescent="0.4">
      <c r="B9" s="299" t="s">
        <v>19</v>
      </c>
      <c r="C9" s="300"/>
      <c r="D9" s="301"/>
      <c r="E9" s="302">
        <v>0</v>
      </c>
      <c r="F9" s="1325"/>
      <c r="G9" s="245" t="s">
        <v>42</v>
      </c>
      <c r="H9" s="361">
        <f>+E82</f>
        <v>25000</v>
      </c>
      <c r="I9" s="361" t="s">
        <v>113</v>
      </c>
      <c r="J9" s="362">
        <f>+E84</f>
        <v>468.75</v>
      </c>
      <c r="K9" s="362">
        <v>0</v>
      </c>
      <c r="L9" s="338">
        <f>+E83</f>
        <v>13650</v>
      </c>
      <c r="M9" s="354">
        <f t="shared" si="0"/>
        <v>39118.75</v>
      </c>
      <c r="N9" s="342">
        <v>0</v>
      </c>
      <c r="O9" s="251">
        <v>0</v>
      </c>
      <c r="P9" s="240">
        <f>+M9-N9-O9</f>
        <v>39118.75</v>
      </c>
    </row>
    <row r="10" spans="2:16" ht="21" customHeight="1" thickBot="1" x14ac:dyDescent="0.4">
      <c r="B10" s="128" t="s">
        <v>18</v>
      </c>
      <c r="C10" s="259"/>
      <c r="D10" s="197"/>
      <c r="E10" s="198">
        <v>37221.480000000003</v>
      </c>
      <c r="F10" s="1326"/>
      <c r="G10" s="1327" t="s">
        <v>110</v>
      </c>
      <c r="H10" s="1328"/>
      <c r="I10" s="1328"/>
      <c r="J10" s="1328"/>
      <c r="K10" s="1328"/>
      <c r="L10" s="1328"/>
      <c r="M10" s="1328"/>
      <c r="N10" s="256">
        <f>SUM(N2:N9)</f>
        <v>24000</v>
      </c>
      <c r="O10" s="256">
        <f>SUM(O2:O9)</f>
        <v>37221.480000000003</v>
      </c>
      <c r="P10" s="256">
        <f>SUM(P2:P9)</f>
        <v>370621.03666666668</v>
      </c>
    </row>
    <row r="11" spans="2:16" ht="21" customHeight="1" thickBot="1" x14ac:dyDescent="0.4">
      <c r="B11" s="12" t="s">
        <v>11</v>
      </c>
      <c r="C11" s="272"/>
      <c r="D11" s="220"/>
      <c r="E11" s="303">
        <f>+E8-E10</f>
        <v>19931.119999999988</v>
      </c>
      <c r="F11" s="4"/>
      <c r="G11" s="248"/>
      <c r="H11" s="248"/>
      <c r="I11" s="248"/>
      <c r="J11" s="248"/>
      <c r="K11" s="248"/>
      <c r="L11" s="248"/>
      <c r="M11" s="248"/>
      <c r="N11" s="1318">
        <f>+O10+P10+N10</f>
        <v>431842.51666666666</v>
      </c>
      <c r="O11" s="1319"/>
      <c r="P11" s="1320"/>
    </row>
    <row r="12" spans="2:16" ht="21" customHeight="1" thickBot="1" x14ac:dyDescent="0.4">
      <c r="F12" s="311"/>
      <c r="G12" s="322" t="s">
        <v>106</v>
      </c>
      <c r="H12" s="323" t="s">
        <v>107</v>
      </c>
      <c r="I12" s="323"/>
    </row>
    <row r="13" spans="2:16" s="1" customFormat="1" ht="21" customHeight="1" thickBot="1" x14ac:dyDescent="0.4">
      <c r="B13" s="1273" t="s">
        <v>15</v>
      </c>
      <c r="C13" s="1274"/>
      <c r="D13" s="1274"/>
      <c r="E13" s="1275"/>
      <c r="F13" s="363" t="s">
        <v>116</v>
      </c>
      <c r="G13" s="326">
        <v>17</v>
      </c>
      <c r="H13" s="327">
        <v>9</v>
      </c>
      <c r="I13" s="346"/>
      <c r="J13" s="324">
        <f>+G13*H13</f>
        <v>153</v>
      </c>
      <c r="K13"/>
      <c r="L13" t="s">
        <v>109</v>
      </c>
      <c r="M13"/>
      <c r="N13"/>
      <c r="O13"/>
      <c r="P13"/>
    </row>
    <row r="14" spans="2:16" ht="21" customHeight="1" x14ac:dyDescent="0.35">
      <c r="B14" s="16" t="s">
        <v>7</v>
      </c>
      <c r="C14" s="257" t="s">
        <v>8</v>
      </c>
      <c r="D14" s="192" t="s">
        <v>4</v>
      </c>
      <c r="E14" s="193" t="s">
        <v>9</v>
      </c>
      <c r="F14" s="364" t="s">
        <v>111</v>
      </c>
      <c r="G14" s="344">
        <v>1</v>
      </c>
      <c r="H14" s="345">
        <v>8</v>
      </c>
      <c r="I14" s="347"/>
      <c r="J14" s="324">
        <f>+G14*H14</f>
        <v>8</v>
      </c>
      <c r="K14" s="1"/>
      <c r="L14" s="1" t="s">
        <v>115</v>
      </c>
      <c r="M14" s="1"/>
      <c r="N14" s="1"/>
      <c r="O14" s="1"/>
      <c r="P14" s="1"/>
    </row>
    <row r="15" spans="2:16" ht="21" customHeight="1" thickBot="1" x14ac:dyDescent="0.4">
      <c r="B15" s="10" t="s">
        <v>3</v>
      </c>
      <c r="C15" s="258">
        <v>185</v>
      </c>
      <c r="D15" s="194">
        <v>180</v>
      </c>
      <c r="E15" s="196">
        <f>C15*D15</f>
        <v>33300</v>
      </c>
      <c r="F15" s="364" t="s">
        <v>117</v>
      </c>
      <c r="G15" s="328">
        <v>4</v>
      </c>
      <c r="H15" s="329">
        <v>8</v>
      </c>
      <c r="I15" s="348"/>
      <c r="J15" s="325">
        <f>+G15*H15</f>
        <v>32</v>
      </c>
      <c r="K15" s="1"/>
      <c r="L15" s="1"/>
      <c r="M15" s="1"/>
      <c r="N15" s="1"/>
      <c r="O15" s="1"/>
      <c r="P15" s="1"/>
    </row>
    <row r="16" spans="2:16" ht="21" customHeight="1" thickBot="1" x14ac:dyDescent="0.4">
      <c r="B16" s="10" t="s">
        <v>111</v>
      </c>
      <c r="C16" s="258">
        <v>8</v>
      </c>
      <c r="D16" s="194">
        <v>180</v>
      </c>
      <c r="E16" s="196">
        <f>C16*D16</f>
        <v>1440</v>
      </c>
      <c r="F16" s="311"/>
      <c r="G16" s="1311" t="s">
        <v>108</v>
      </c>
      <c r="H16" s="1312"/>
      <c r="I16" s="332"/>
      <c r="J16" s="330">
        <f>SUM(J13:J15)</f>
        <v>193</v>
      </c>
      <c r="K16" s="1"/>
      <c r="L16" s="1"/>
      <c r="M16" s="1"/>
      <c r="N16" s="1"/>
      <c r="O16" s="1"/>
      <c r="P16" s="1"/>
    </row>
    <row r="17" spans="1:16" ht="21" customHeight="1" thickBot="1" x14ac:dyDescent="0.4">
      <c r="B17" s="10" t="s">
        <v>5</v>
      </c>
      <c r="C17" s="315">
        <v>5</v>
      </c>
      <c r="D17" s="194">
        <f>+D15*1.5</f>
        <v>270</v>
      </c>
      <c r="E17" s="196">
        <f>C17*D17</f>
        <v>1350</v>
      </c>
      <c r="F17" s="49"/>
      <c r="G17" s="321"/>
      <c r="H17" s="321"/>
      <c r="I17" s="321"/>
      <c r="J17" s="1"/>
      <c r="K17" s="4"/>
    </row>
    <row r="18" spans="1:16" ht="21" customHeight="1" thickBot="1" x14ac:dyDescent="0.4">
      <c r="B18" s="349" t="s">
        <v>118</v>
      </c>
      <c r="C18" s="315"/>
      <c r="D18" s="194"/>
      <c r="E18" s="196">
        <f>36090/2</f>
        <v>18045</v>
      </c>
      <c r="G18" s="321"/>
      <c r="H18" s="321"/>
      <c r="I18" s="321"/>
      <c r="K18" s="57"/>
      <c r="L18" s="61" t="s">
        <v>29</v>
      </c>
      <c r="M18" s="61" t="s">
        <v>30</v>
      </c>
      <c r="N18" s="61"/>
      <c r="O18" s="62" t="s">
        <v>32</v>
      </c>
    </row>
    <row r="19" spans="1:16" ht="21" customHeight="1" thickBot="1" x14ac:dyDescent="0.4">
      <c r="B19" s="10" t="s">
        <v>6</v>
      </c>
      <c r="C19" s="258">
        <v>8000</v>
      </c>
      <c r="D19" s="194"/>
      <c r="E19" s="196">
        <f>+C19</f>
        <v>8000</v>
      </c>
      <c r="J19" s="4"/>
      <c r="K19" s="172" t="s">
        <v>0</v>
      </c>
      <c r="L19" s="63">
        <v>194</v>
      </c>
      <c r="M19" s="173">
        <f>+L19*1.5</f>
        <v>291</v>
      </c>
      <c r="N19" s="174"/>
      <c r="O19" s="175">
        <v>13500</v>
      </c>
    </row>
    <row r="20" spans="1:16" ht="21" customHeight="1" thickBot="1" x14ac:dyDescent="0.4">
      <c r="B20" s="1323" t="s">
        <v>99</v>
      </c>
      <c r="C20" s="1324"/>
      <c r="D20" s="1324"/>
      <c r="E20" s="304">
        <f>SUM(E15:E19)</f>
        <v>62135</v>
      </c>
      <c r="G20" s="1282" t="s">
        <v>25</v>
      </c>
      <c r="H20" s="1282" t="s">
        <v>26</v>
      </c>
      <c r="I20" s="331"/>
      <c r="K20" s="58" t="s">
        <v>28</v>
      </c>
      <c r="L20" s="64">
        <v>180</v>
      </c>
      <c r="M20" s="50">
        <f t="shared" ref="M20:M25" si="1">+L20*1.5</f>
        <v>270</v>
      </c>
      <c r="N20" s="52"/>
      <c r="O20" s="53">
        <v>13000</v>
      </c>
    </row>
    <row r="21" spans="1:16" ht="21" customHeight="1" thickBot="1" x14ac:dyDescent="0.4">
      <c r="B21" s="168" t="s">
        <v>19</v>
      </c>
      <c r="C21" s="264">
        <v>0</v>
      </c>
      <c r="D21" s="206"/>
      <c r="E21" s="207">
        <v>0</v>
      </c>
      <c r="G21" s="1282"/>
      <c r="H21" s="1282"/>
      <c r="I21" s="331"/>
      <c r="K21" s="58" t="s">
        <v>15</v>
      </c>
      <c r="L21" s="64">
        <v>180</v>
      </c>
      <c r="M21" s="50">
        <f t="shared" si="1"/>
        <v>270</v>
      </c>
      <c r="N21" s="52"/>
      <c r="O21" s="53">
        <v>8000</v>
      </c>
    </row>
    <row r="22" spans="1:16" ht="21" customHeight="1" thickBot="1" x14ac:dyDescent="0.4">
      <c r="B22" s="134" t="s">
        <v>11</v>
      </c>
      <c r="C22" s="265"/>
      <c r="D22" s="208"/>
      <c r="E22" s="201">
        <f>+E20-E21</f>
        <v>62135</v>
      </c>
      <c r="F22" s="155"/>
      <c r="G22" s="1282"/>
      <c r="H22" s="1282"/>
      <c r="I22" s="331"/>
      <c r="K22" s="58" t="s">
        <v>10</v>
      </c>
      <c r="L22" s="64">
        <v>169.2</v>
      </c>
      <c r="M22" s="50">
        <f t="shared" si="1"/>
        <v>253.79999999999998</v>
      </c>
      <c r="N22" s="52"/>
      <c r="O22" s="53">
        <v>8000</v>
      </c>
    </row>
    <row r="23" spans="1:16" ht="21" customHeight="1" thickBot="1" x14ac:dyDescent="0.4">
      <c r="F23" s="155"/>
      <c r="G23" s="1282"/>
      <c r="H23" s="1321" t="s">
        <v>27</v>
      </c>
      <c r="I23" s="333"/>
      <c r="K23" s="59" t="s">
        <v>16</v>
      </c>
      <c r="L23" s="64">
        <v>156</v>
      </c>
      <c r="M23" s="50">
        <f t="shared" si="1"/>
        <v>234</v>
      </c>
      <c r="N23" s="52"/>
      <c r="O23" s="53">
        <v>8000</v>
      </c>
    </row>
    <row r="24" spans="1:16" s="4" customFormat="1" ht="21" customHeight="1" thickBot="1" x14ac:dyDescent="0.5">
      <c r="B24" s="1315" t="s">
        <v>16</v>
      </c>
      <c r="C24" s="1316"/>
      <c r="D24" s="1316"/>
      <c r="E24" s="1317"/>
      <c r="F24" s="155"/>
      <c r="G24" s="1282"/>
      <c r="H24" s="1321"/>
      <c r="I24" s="333"/>
      <c r="J24"/>
      <c r="K24" s="59" t="s">
        <v>86</v>
      </c>
      <c r="L24" s="64">
        <v>110</v>
      </c>
      <c r="M24" s="50">
        <f t="shared" si="1"/>
        <v>165</v>
      </c>
      <c r="N24" s="52"/>
      <c r="O24" s="53">
        <v>3000</v>
      </c>
      <c r="P24"/>
    </row>
    <row r="25" spans="1:16" ht="21" customHeight="1" thickBot="1" x14ac:dyDescent="0.4">
      <c r="B25" s="169" t="s">
        <v>7</v>
      </c>
      <c r="C25" s="266" t="s">
        <v>8</v>
      </c>
      <c r="D25" s="209" t="s">
        <v>4</v>
      </c>
      <c r="E25" s="210" t="s">
        <v>9</v>
      </c>
      <c r="F25" s="156"/>
      <c r="G25" s="1282"/>
      <c r="H25" s="1321"/>
      <c r="I25" s="333"/>
      <c r="K25" s="60" t="s">
        <v>17</v>
      </c>
      <c r="L25" s="65">
        <v>132</v>
      </c>
      <c r="M25" s="56">
        <f t="shared" si="1"/>
        <v>198</v>
      </c>
      <c r="N25" s="54"/>
      <c r="O25" s="55">
        <v>7000</v>
      </c>
      <c r="P25" s="4"/>
    </row>
    <row r="26" spans="1:16" ht="21" customHeight="1" x14ac:dyDescent="0.35">
      <c r="A26" s="1"/>
      <c r="B26" s="165" t="s">
        <v>3</v>
      </c>
      <c r="C26" s="267">
        <v>185</v>
      </c>
      <c r="D26" s="211">
        <v>156</v>
      </c>
      <c r="E26" s="212">
        <f>C26*D26</f>
        <v>28860</v>
      </c>
      <c r="F26" s="155"/>
      <c r="G26" s="1282"/>
      <c r="H26" s="1321"/>
      <c r="I26" s="333"/>
      <c r="J26" s="4"/>
      <c r="K26" s="318"/>
      <c r="L26" s="50"/>
      <c r="M26" s="50"/>
      <c r="N26" s="50"/>
      <c r="O26" s="50"/>
    </row>
    <row r="27" spans="1:16" s="1" customFormat="1" ht="21" customHeight="1" x14ac:dyDescent="0.35">
      <c r="A27"/>
      <c r="B27" s="165" t="s">
        <v>111</v>
      </c>
      <c r="C27" s="267">
        <v>8</v>
      </c>
      <c r="D27" s="211">
        <v>156</v>
      </c>
      <c r="E27" s="212">
        <f>C27*D27</f>
        <v>1248</v>
      </c>
      <c r="F27" s="155"/>
      <c r="G27" s="47"/>
      <c r="H27"/>
      <c r="I27"/>
      <c r="J27" s="171"/>
      <c r="K27" s="48"/>
      <c r="L27" s="66"/>
      <c r="M27" s="49"/>
      <c r="N27" s="49"/>
      <c r="O27"/>
      <c r="P27"/>
    </row>
    <row r="28" spans="1:16" s="1" customFormat="1" ht="21" customHeight="1" x14ac:dyDescent="0.35">
      <c r="A28"/>
      <c r="B28" s="165" t="s">
        <v>5</v>
      </c>
      <c r="C28" s="267">
        <v>4</v>
      </c>
      <c r="D28" s="211">
        <f>+D26*1.5</f>
        <v>234</v>
      </c>
      <c r="E28" s="212">
        <f>C28*D28</f>
        <v>936</v>
      </c>
      <c r="F28" s="155"/>
      <c r="G28" s="47"/>
      <c r="H28"/>
      <c r="I28"/>
      <c r="J28" s="171"/>
      <c r="L28" s="51"/>
      <c r="M28" s="49"/>
      <c r="N28" s="49"/>
      <c r="O28"/>
      <c r="P28"/>
    </row>
    <row r="29" spans="1:16" ht="21" customHeight="1" x14ac:dyDescent="0.35">
      <c r="B29" s="350" t="s">
        <v>120</v>
      </c>
      <c r="C29" s="267"/>
      <c r="D29" s="211"/>
      <c r="E29" s="212">
        <v>16009.5</v>
      </c>
      <c r="F29" s="155"/>
      <c r="G29" s="311"/>
      <c r="J29" s="171"/>
      <c r="K29" s="1"/>
      <c r="L29" s="51"/>
      <c r="M29" s="51"/>
      <c r="N29" s="51"/>
      <c r="O29" s="1"/>
      <c r="P29" s="1"/>
    </row>
    <row r="30" spans="1:16" ht="21" customHeight="1" thickBot="1" x14ac:dyDescent="0.4">
      <c r="B30" s="165" t="s">
        <v>6</v>
      </c>
      <c r="C30" s="267">
        <v>8000</v>
      </c>
      <c r="D30" s="211"/>
      <c r="E30" s="212">
        <f>+C30</f>
        <v>8000</v>
      </c>
      <c r="F30" s="155"/>
      <c r="G30" s="311"/>
      <c r="H30" s="310"/>
      <c r="I30" s="310"/>
      <c r="J30" s="171"/>
      <c r="K30" s="284"/>
      <c r="L30" s="284"/>
      <c r="M30" s="51"/>
      <c r="N30" s="51"/>
      <c r="O30" s="1"/>
    </row>
    <row r="31" spans="1:16" ht="27" customHeight="1" thickBot="1" x14ac:dyDescent="0.4">
      <c r="B31" s="1323" t="s">
        <v>99</v>
      </c>
      <c r="C31" s="1324"/>
      <c r="D31" s="1324"/>
      <c r="E31" s="304">
        <f>SUM(E26:E30)</f>
        <v>55053.5</v>
      </c>
      <c r="F31" s="106"/>
      <c r="J31" s="106"/>
      <c r="K31" s="176"/>
      <c r="L31" s="177"/>
      <c r="M31" s="284"/>
      <c r="N31" s="284"/>
      <c r="O31" s="284"/>
    </row>
    <row r="32" spans="1:16" ht="21" customHeight="1" thickBot="1" x14ac:dyDescent="0.4">
      <c r="B32" s="167" t="s">
        <v>19</v>
      </c>
      <c r="C32" s="268"/>
      <c r="D32" s="213"/>
      <c r="E32" s="214">
        <v>10000</v>
      </c>
      <c r="K32" s="176"/>
      <c r="L32" s="177"/>
      <c r="M32" s="284"/>
      <c r="N32" s="284"/>
      <c r="O32" s="284"/>
    </row>
    <row r="33" spans="1:16" ht="21" customHeight="1" thickBot="1" x14ac:dyDescent="0.4">
      <c r="B33" s="166" t="s">
        <v>11</v>
      </c>
      <c r="C33" s="269"/>
      <c r="D33" s="215"/>
      <c r="E33" s="216">
        <f>+E31-E32</f>
        <v>45053.5</v>
      </c>
      <c r="G33" s="106"/>
      <c r="K33" s="179"/>
      <c r="L33" s="180"/>
      <c r="M33" s="176"/>
      <c r="N33" s="178"/>
      <c r="O33" s="178"/>
    </row>
    <row r="34" spans="1:16" ht="128.25" customHeight="1" thickBot="1" x14ac:dyDescent="0.4">
      <c r="G34" s="106"/>
      <c r="K34" s="176"/>
      <c r="L34" s="180"/>
      <c r="M34" s="181"/>
      <c r="N34" s="181"/>
      <c r="O34" s="181"/>
    </row>
    <row r="35" spans="1:16" ht="19.5" customHeight="1" x14ac:dyDescent="0.35">
      <c r="A35" s="106"/>
      <c r="B35" s="1276" t="s">
        <v>0</v>
      </c>
      <c r="C35" s="1277"/>
      <c r="D35" s="1277"/>
      <c r="E35" s="1278"/>
      <c r="G35" s="1322"/>
      <c r="K35" s="176"/>
      <c r="L35" s="180"/>
      <c r="M35" s="181"/>
      <c r="N35" s="181"/>
      <c r="O35" s="181"/>
    </row>
    <row r="36" spans="1:16" ht="19.5" customHeight="1" x14ac:dyDescent="0.35">
      <c r="A36" s="155"/>
      <c r="B36" s="8" t="s">
        <v>7</v>
      </c>
      <c r="C36" s="270" t="s">
        <v>8</v>
      </c>
      <c r="D36" s="217" t="s">
        <v>4</v>
      </c>
      <c r="E36" s="218" t="s">
        <v>9</v>
      </c>
      <c r="G36" s="1322"/>
      <c r="K36" s="176"/>
      <c r="L36" s="180"/>
      <c r="M36" s="181"/>
      <c r="N36" s="181"/>
      <c r="O36" s="181"/>
    </row>
    <row r="37" spans="1:16" ht="19.5" customHeight="1" x14ac:dyDescent="0.35">
      <c r="A37" s="155"/>
      <c r="B37" s="10" t="s">
        <v>3</v>
      </c>
      <c r="C37" s="258">
        <v>185</v>
      </c>
      <c r="D37" s="194">
        <v>194</v>
      </c>
      <c r="E37" s="196">
        <f>C37*D37</f>
        <v>35890</v>
      </c>
      <c r="F37" s="180"/>
      <c r="G37" s="106"/>
      <c r="K37" s="182"/>
      <c r="L37" s="180"/>
      <c r="M37" s="181"/>
      <c r="N37" s="181"/>
      <c r="O37" s="181"/>
    </row>
    <row r="38" spans="1:16" ht="19.5" customHeight="1" x14ac:dyDescent="0.35">
      <c r="A38" s="155"/>
      <c r="B38" s="10" t="s">
        <v>111</v>
      </c>
      <c r="C38" s="258">
        <v>8</v>
      </c>
      <c r="D38" s="194">
        <v>194</v>
      </c>
      <c r="E38" s="196">
        <f>C38*D38</f>
        <v>1552</v>
      </c>
      <c r="F38" s="155"/>
      <c r="K38" s="182"/>
      <c r="L38" s="180"/>
      <c r="M38" s="181"/>
      <c r="N38" s="181"/>
      <c r="O38" s="181"/>
    </row>
    <row r="39" spans="1:16" ht="19.5" customHeight="1" x14ac:dyDescent="0.35">
      <c r="A39" s="155"/>
      <c r="B39" s="10" t="s">
        <v>5</v>
      </c>
      <c r="C39" s="315">
        <v>6.5</v>
      </c>
      <c r="D39" s="194">
        <f>+D37*1.5</f>
        <v>291</v>
      </c>
      <c r="E39" s="196">
        <f>C39*D39</f>
        <v>1891.5</v>
      </c>
      <c r="F39" s="155"/>
      <c r="G39" s="1"/>
      <c r="K39" s="182"/>
      <c r="L39" s="180"/>
      <c r="M39" s="181"/>
      <c r="N39" s="181"/>
      <c r="O39" s="181"/>
    </row>
    <row r="40" spans="1:16" ht="19.5" customHeight="1" x14ac:dyDescent="0.35">
      <c r="A40" s="156"/>
      <c r="B40" s="349" t="s">
        <v>114</v>
      </c>
      <c r="C40" s="258"/>
      <c r="D40" s="194"/>
      <c r="E40" s="196">
        <f>40110/2</f>
        <v>20055</v>
      </c>
      <c r="F40" s="106"/>
      <c r="G40" s="1"/>
      <c r="K40" s="183"/>
      <c r="L40" s="180"/>
      <c r="M40" s="181"/>
      <c r="N40" s="181"/>
      <c r="O40" s="181"/>
    </row>
    <row r="41" spans="1:16" s="1" customFormat="1" ht="19.5" customHeight="1" thickBot="1" x14ac:dyDescent="0.4">
      <c r="A41" s="155"/>
      <c r="B41" s="10" t="s">
        <v>6</v>
      </c>
      <c r="C41" s="258">
        <v>13500</v>
      </c>
      <c r="D41" s="194"/>
      <c r="E41" s="196">
        <f>+C41</f>
        <v>13500</v>
      </c>
      <c r="F41" s="106"/>
      <c r="G41"/>
      <c r="H41"/>
      <c r="I41"/>
      <c r="J41"/>
      <c r="K41" s="183"/>
      <c r="L41" s="180"/>
      <c r="M41" s="181"/>
      <c r="N41" s="181"/>
      <c r="O41" s="181"/>
      <c r="P41"/>
    </row>
    <row r="42" spans="1:16" ht="19.5" customHeight="1" thickBot="1" x14ac:dyDescent="0.4">
      <c r="A42" s="155"/>
      <c r="B42" s="1323" t="s">
        <v>99</v>
      </c>
      <c r="C42" s="1324"/>
      <c r="D42" s="1324"/>
      <c r="E42" s="304">
        <f>SUM(E37:E41)</f>
        <v>72888.5</v>
      </c>
      <c r="F42" s="317"/>
      <c r="K42" s="183"/>
      <c r="L42" s="180"/>
      <c r="M42" s="181"/>
      <c r="N42" s="181"/>
      <c r="O42" s="181"/>
      <c r="P42" s="1"/>
    </row>
    <row r="43" spans="1:16" ht="19.5" customHeight="1" x14ac:dyDescent="0.35">
      <c r="A43" s="155"/>
      <c r="B43" s="320" t="s">
        <v>19</v>
      </c>
      <c r="C43" s="319"/>
      <c r="D43" s="319"/>
      <c r="E43" s="343">
        <v>0</v>
      </c>
      <c r="F43" s="317"/>
      <c r="K43" s="183"/>
      <c r="L43" s="180"/>
      <c r="M43" s="181"/>
      <c r="N43" s="181"/>
      <c r="O43" s="181"/>
    </row>
    <row r="44" spans="1:16" ht="19.5" customHeight="1" thickBot="1" x14ac:dyDescent="0.4">
      <c r="A44" s="155"/>
      <c r="B44" s="131" t="s">
        <v>18</v>
      </c>
      <c r="C44" s="271"/>
      <c r="D44" s="219"/>
      <c r="E44" s="198">
        <v>0</v>
      </c>
      <c r="F44" s="317"/>
      <c r="G44" s="1"/>
      <c r="H44" s="1"/>
      <c r="I44" s="1"/>
      <c r="J44" s="1"/>
      <c r="K44" s="183"/>
      <c r="L44" s="180"/>
      <c r="M44" s="181"/>
      <c r="N44" s="181"/>
      <c r="O44" s="181"/>
    </row>
    <row r="45" spans="1:16" ht="19.5" customHeight="1" thickBot="1" x14ac:dyDescent="0.4">
      <c r="A45" s="155"/>
      <c r="B45" s="12" t="s">
        <v>11</v>
      </c>
      <c r="C45" s="272"/>
      <c r="D45" s="220"/>
      <c r="E45" s="201">
        <f>+E42-E43-E44</f>
        <v>72888.5</v>
      </c>
      <c r="F45" s="176"/>
      <c r="G45" s="1"/>
      <c r="H45" s="1"/>
      <c r="I45" s="1"/>
      <c r="J45" s="1"/>
      <c r="K45" s="180"/>
      <c r="L45" s="181"/>
      <c r="M45" s="181"/>
      <c r="N45" s="181"/>
    </row>
    <row r="46" spans="1:16" ht="15.75" customHeight="1" thickBot="1" x14ac:dyDescent="0.4">
      <c r="K46" s="181"/>
      <c r="L46" s="181"/>
      <c r="M46" s="184"/>
    </row>
    <row r="47" spans="1:16" ht="19.5" customHeight="1" x14ac:dyDescent="0.35">
      <c r="B47" s="1276" t="s">
        <v>28</v>
      </c>
      <c r="C47" s="1277"/>
      <c r="D47" s="1277"/>
      <c r="E47" s="1278"/>
      <c r="F47" s="49"/>
      <c r="J47" s="183"/>
      <c r="K47" s="181"/>
      <c r="L47" s="181"/>
      <c r="M47" s="184"/>
    </row>
    <row r="48" spans="1:16" ht="19.5" customHeight="1" x14ac:dyDescent="0.35">
      <c r="B48" s="8" t="s">
        <v>7</v>
      </c>
      <c r="C48" s="270" t="s">
        <v>8</v>
      </c>
      <c r="D48" s="217" t="s">
        <v>4</v>
      </c>
      <c r="E48" s="218" t="s">
        <v>9</v>
      </c>
      <c r="H48" s="183"/>
      <c r="I48" s="183"/>
      <c r="J48" s="180"/>
      <c r="K48" s="181"/>
      <c r="L48" s="181"/>
      <c r="M48" s="184"/>
    </row>
    <row r="49" spans="1:16" ht="19.5" customHeight="1" x14ac:dyDescent="0.35">
      <c r="B49" s="10" t="s">
        <v>3</v>
      </c>
      <c r="C49" s="315">
        <v>185</v>
      </c>
      <c r="D49" s="194">
        <v>180</v>
      </c>
      <c r="E49" s="196">
        <f>C49*D49</f>
        <v>33300</v>
      </c>
      <c r="H49" s="183"/>
      <c r="I49" s="183"/>
      <c r="J49" s="180"/>
    </row>
    <row r="50" spans="1:16" ht="19.5" customHeight="1" x14ac:dyDescent="0.35">
      <c r="B50" s="10" t="s">
        <v>111</v>
      </c>
      <c r="C50" s="315">
        <v>8</v>
      </c>
      <c r="D50" s="194">
        <v>180</v>
      </c>
      <c r="E50" s="196">
        <f>C50*D50</f>
        <v>1440</v>
      </c>
      <c r="H50" s="183"/>
      <c r="I50" s="183"/>
      <c r="J50" s="180"/>
      <c r="K50" s="184"/>
      <c r="M50" s="1"/>
      <c r="N50" s="1"/>
      <c r="O50" s="1"/>
    </row>
    <row r="51" spans="1:16" ht="19.5" customHeight="1" x14ac:dyDescent="0.35">
      <c r="A51" s="1"/>
      <c r="B51" s="10" t="s">
        <v>5</v>
      </c>
      <c r="C51" s="315">
        <v>1.5</v>
      </c>
      <c r="D51" s="194">
        <f>+D49*1.5</f>
        <v>270</v>
      </c>
      <c r="E51" s="196">
        <f>C51*D51</f>
        <v>405</v>
      </c>
      <c r="F51" s="106"/>
      <c r="G51" s="181"/>
      <c r="H51" s="181"/>
      <c r="I51" s="181"/>
      <c r="J51" s="184"/>
      <c r="K51" s="184"/>
      <c r="P51" s="1"/>
    </row>
    <row r="52" spans="1:16" s="1" customFormat="1" ht="19.5" customHeight="1" x14ac:dyDescent="0.35">
      <c r="A52"/>
      <c r="B52" s="349" t="s">
        <v>118</v>
      </c>
      <c r="C52" s="258"/>
      <c r="D52" s="194"/>
      <c r="E52" s="196">
        <f>35745/2</f>
        <v>17872.5</v>
      </c>
      <c r="F52"/>
      <c r="G52" s="180"/>
      <c r="H52" s="181"/>
      <c r="I52" s="181"/>
      <c r="J52" s="181"/>
      <c r="K52" s="184"/>
      <c r="P52"/>
    </row>
    <row r="53" spans="1:16" ht="19.5" customHeight="1" thickBot="1" x14ac:dyDescent="0.4">
      <c r="A53" s="1"/>
      <c r="B53" s="10" t="s">
        <v>6</v>
      </c>
      <c r="C53" s="258">
        <v>13000</v>
      </c>
      <c r="D53" s="194"/>
      <c r="E53" s="196">
        <f>+C53</f>
        <v>13000</v>
      </c>
      <c r="G53" s="180"/>
      <c r="H53" s="181"/>
      <c r="I53" s="181"/>
      <c r="J53" s="181"/>
      <c r="K53" s="184"/>
      <c r="L53" s="1"/>
      <c r="M53" s="1"/>
      <c r="N53" s="1"/>
      <c r="O53" s="1"/>
      <c r="P53" s="1"/>
    </row>
    <row r="54" spans="1:16" ht="19.5" customHeight="1" thickBot="1" x14ac:dyDescent="0.4">
      <c r="A54" s="1"/>
      <c r="B54" s="1323" t="s">
        <v>99</v>
      </c>
      <c r="C54" s="1324"/>
      <c r="D54" s="1324"/>
      <c r="E54" s="304">
        <f>SUM(E49:E53)</f>
        <v>66017.5</v>
      </c>
      <c r="G54" s="186"/>
      <c r="H54" s="181"/>
      <c r="I54" s="181"/>
      <c r="J54" s="181"/>
      <c r="K54" s="185"/>
      <c r="L54" s="180"/>
      <c r="M54" s="181"/>
      <c r="N54" s="187"/>
      <c r="O54" s="188"/>
      <c r="P54" s="1"/>
    </row>
    <row r="55" spans="1:16" s="1" customFormat="1" ht="19.5" customHeight="1" thickBot="1" x14ac:dyDescent="0.4">
      <c r="A55"/>
      <c r="B55" s="128" t="s">
        <v>19</v>
      </c>
      <c r="C55" s="273"/>
      <c r="D55" s="219"/>
      <c r="E55" s="198">
        <v>10000</v>
      </c>
      <c r="F55"/>
      <c r="G55" s="186"/>
      <c r="H55" s="181"/>
      <c r="I55" s="181"/>
      <c r="J55" s="181"/>
      <c r="K55" s="189"/>
      <c r="L55" s="180"/>
      <c r="M55" s="181"/>
      <c r="N55" s="181"/>
      <c r="O55" s="184"/>
      <c r="P55"/>
    </row>
    <row r="56" spans="1:16" ht="19.5" customHeight="1" thickBot="1" x14ac:dyDescent="0.4">
      <c r="B56" s="134" t="s">
        <v>11</v>
      </c>
      <c r="C56" s="260"/>
      <c r="D56" s="200"/>
      <c r="E56" s="201">
        <f>+E54-E55</f>
        <v>56017.5</v>
      </c>
      <c r="K56" s="189"/>
      <c r="L56" s="180"/>
      <c r="M56" s="181"/>
      <c r="N56" s="181"/>
      <c r="O56" s="184"/>
    </row>
    <row r="57" spans="1:16" ht="14.25" customHeight="1" thickBot="1" x14ac:dyDescent="0.4">
      <c r="K57" s="185"/>
      <c r="L57" s="180"/>
      <c r="M57" s="181"/>
      <c r="N57" s="181"/>
      <c r="O57" s="184"/>
    </row>
    <row r="58" spans="1:16" ht="19.5" customHeight="1" x14ac:dyDescent="0.35">
      <c r="B58" s="1276" t="s">
        <v>17</v>
      </c>
      <c r="C58" s="1277"/>
      <c r="D58" s="1277"/>
      <c r="E58" s="1278"/>
      <c r="K58" s="185"/>
      <c r="L58" s="180"/>
      <c r="M58" s="181"/>
      <c r="N58" s="181"/>
      <c r="O58" s="184"/>
    </row>
    <row r="59" spans="1:16" ht="19.5" customHeight="1" x14ac:dyDescent="0.35">
      <c r="B59" s="8" t="s">
        <v>7</v>
      </c>
      <c r="C59" s="270" t="s">
        <v>8</v>
      </c>
      <c r="D59" s="217" t="s">
        <v>4</v>
      </c>
      <c r="E59" s="218" t="s">
        <v>9</v>
      </c>
      <c r="K59" s="190"/>
      <c r="L59" s="191"/>
      <c r="M59" s="181"/>
      <c r="N59" s="181"/>
      <c r="O59" s="184"/>
    </row>
    <row r="60" spans="1:16" ht="19.5" customHeight="1" x14ac:dyDescent="0.35">
      <c r="B60" s="10" t="s">
        <v>3</v>
      </c>
      <c r="C60" s="258">
        <v>185</v>
      </c>
      <c r="D60" s="194">
        <v>132</v>
      </c>
      <c r="E60" s="196">
        <f>C60*D60</f>
        <v>24420</v>
      </c>
      <c r="K60" s="185"/>
      <c r="L60" s="180"/>
      <c r="M60" s="181"/>
      <c r="N60" s="181"/>
      <c r="O60" s="184"/>
    </row>
    <row r="61" spans="1:16" ht="19.5" customHeight="1" x14ac:dyDescent="0.35">
      <c r="B61" s="10" t="s">
        <v>111</v>
      </c>
      <c r="C61" s="258">
        <v>8</v>
      </c>
      <c r="D61" s="194">
        <v>132</v>
      </c>
      <c r="E61" s="196">
        <f>C61*D61</f>
        <v>1056</v>
      </c>
      <c r="K61" s="185"/>
      <c r="L61" s="180"/>
      <c r="M61" s="181"/>
      <c r="N61" s="181"/>
      <c r="O61" s="184"/>
    </row>
    <row r="62" spans="1:16" ht="19.5" customHeight="1" x14ac:dyDescent="0.35">
      <c r="B62" s="10" t="s">
        <v>5</v>
      </c>
      <c r="C62" s="258">
        <v>8</v>
      </c>
      <c r="D62" s="194">
        <f>+D60*1.5</f>
        <v>198</v>
      </c>
      <c r="E62" s="196">
        <f>C62*D62</f>
        <v>1584</v>
      </c>
      <c r="K62" s="182"/>
      <c r="L62" s="180"/>
      <c r="M62" s="181"/>
      <c r="N62" s="181"/>
      <c r="O62" s="184"/>
      <c r="P62" s="1"/>
    </row>
    <row r="63" spans="1:16" ht="19.5" customHeight="1" x14ac:dyDescent="0.35">
      <c r="B63" s="349" t="s">
        <v>118</v>
      </c>
      <c r="C63" s="258"/>
      <c r="D63" s="194"/>
      <c r="E63" s="196">
        <v>13580</v>
      </c>
      <c r="K63" s="182"/>
      <c r="L63" s="180"/>
      <c r="M63" s="181"/>
      <c r="N63" s="181"/>
      <c r="O63" s="184"/>
      <c r="P63" s="1"/>
    </row>
    <row r="64" spans="1:16" ht="19.5" customHeight="1" thickBot="1" x14ac:dyDescent="0.4">
      <c r="B64" s="10" t="s">
        <v>6</v>
      </c>
      <c r="C64" s="258">
        <v>7000</v>
      </c>
      <c r="D64" s="194"/>
      <c r="E64" s="222">
        <f>+C64</f>
        <v>7000</v>
      </c>
      <c r="G64" s="1"/>
      <c r="H64" s="115"/>
      <c r="I64" s="115"/>
      <c r="J64" s="1"/>
      <c r="K64" s="176"/>
      <c r="L64" s="180"/>
      <c r="M64" s="181"/>
      <c r="N64" s="181"/>
      <c r="O64" s="184"/>
      <c r="P64" s="1"/>
    </row>
    <row r="65" spans="2:16" ht="19.5" customHeight="1" thickBot="1" x14ac:dyDescent="0.4">
      <c r="B65" s="1323" t="s">
        <v>99</v>
      </c>
      <c r="C65" s="1324"/>
      <c r="D65" s="1324"/>
      <c r="E65" s="304">
        <f>SUM(E60:E64)</f>
        <v>47640</v>
      </c>
      <c r="G65" s="1"/>
      <c r="H65" s="115"/>
      <c r="I65" s="115"/>
      <c r="J65" s="1"/>
      <c r="K65" s="176"/>
      <c r="L65" s="180"/>
      <c r="M65" s="181"/>
      <c r="N65" s="181"/>
      <c r="O65" s="184"/>
    </row>
    <row r="66" spans="2:16" ht="19.5" customHeight="1" thickBot="1" x14ac:dyDescent="0.4">
      <c r="B66" s="128" t="s">
        <v>19</v>
      </c>
      <c r="C66" s="273"/>
      <c r="D66" s="219"/>
      <c r="E66" s="199">
        <v>0</v>
      </c>
      <c r="K66" s="176"/>
      <c r="L66" s="180"/>
      <c r="M66" s="181"/>
      <c r="N66" s="181"/>
      <c r="O66" s="184"/>
    </row>
    <row r="67" spans="2:16" ht="19.5" customHeight="1" thickBot="1" x14ac:dyDescent="0.4">
      <c r="B67" s="12" t="s">
        <v>11</v>
      </c>
      <c r="C67" s="272"/>
      <c r="D67" s="223"/>
      <c r="E67" s="201">
        <f>+E65-E66</f>
        <v>47640</v>
      </c>
      <c r="K67" s="1314"/>
      <c r="L67" s="1314"/>
      <c r="M67" s="181"/>
      <c r="N67" s="181"/>
      <c r="O67" s="184"/>
    </row>
    <row r="68" spans="2:16" ht="15" customHeight="1" thickBot="1" x14ac:dyDescent="0.4">
      <c r="K68" s="176"/>
      <c r="L68" s="176"/>
      <c r="M68" s="181"/>
      <c r="N68" s="181"/>
      <c r="O68" s="184"/>
    </row>
    <row r="69" spans="2:16" ht="19.5" customHeight="1" x14ac:dyDescent="0.35">
      <c r="B69" s="1276" t="s">
        <v>86</v>
      </c>
      <c r="C69" s="1277"/>
      <c r="D69" s="1277"/>
      <c r="E69" s="1278"/>
      <c r="K69" s="176"/>
      <c r="L69" s="176"/>
      <c r="M69" s="176"/>
      <c r="N69" s="176"/>
      <c r="O69" s="176"/>
    </row>
    <row r="70" spans="2:16" ht="19.5" customHeight="1" x14ac:dyDescent="0.35">
      <c r="B70" s="8" t="s">
        <v>7</v>
      </c>
      <c r="C70" s="270" t="s">
        <v>8</v>
      </c>
      <c r="D70" s="217" t="s">
        <v>4</v>
      </c>
      <c r="E70" s="218" t="s">
        <v>9</v>
      </c>
      <c r="K70" s="176"/>
      <c r="L70" s="183"/>
      <c r="M70" s="176"/>
      <c r="N70" s="176"/>
      <c r="O70" s="176"/>
    </row>
    <row r="71" spans="2:16" ht="19.5" customHeight="1" x14ac:dyDescent="0.35">
      <c r="B71" s="10" t="s">
        <v>3</v>
      </c>
      <c r="C71" s="258">
        <v>185</v>
      </c>
      <c r="D71" s="194">
        <v>110</v>
      </c>
      <c r="E71" s="196">
        <f>C71*D71</f>
        <v>20350</v>
      </c>
      <c r="K71" s="183"/>
      <c r="L71" s="176"/>
      <c r="M71" s="183"/>
      <c r="N71" s="183"/>
      <c r="O71" s="183"/>
    </row>
    <row r="72" spans="2:16" ht="19.5" customHeight="1" x14ac:dyDescent="0.35">
      <c r="B72" s="10" t="s">
        <v>111</v>
      </c>
      <c r="C72" s="258">
        <v>8</v>
      </c>
      <c r="D72" s="194">
        <v>110</v>
      </c>
      <c r="E72" s="196">
        <f>C72*D72</f>
        <v>880</v>
      </c>
      <c r="K72" s="183"/>
      <c r="L72" s="176"/>
      <c r="M72" s="183"/>
      <c r="N72" s="183"/>
      <c r="O72" s="183"/>
    </row>
    <row r="73" spans="2:16" ht="19.5" customHeight="1" x14ac:dyDescent="0.35">
      <c r="B73" s="10" t="s">
        <v>5</v>
      </c>
      <c r="C73" s="258">
        <v>2</v>
      </c>
      <c r="D73" s="194">
        <f>+D71*1.5</f>
        <v>165</v>
      </c>
      <c r="E73" s="196">
        <f>+C73*D73</f>
        <v>330</v>
      </c>
      <c r="K73" s="176"/>
      <c r="L73" s="176"/>
      <c r="M73" s="176"/>
      <c r="N73" s="176"/>
      <c r="O73" s="176"/>
    </row>
    <row r="74" spans="2:16" ht="19.5" customHeight="1" x14ac:dyDescent="0.35">
      <c r="B74" s="349" t="s">
        <v>114</v>
      </c>
      <c r="C74" s="365" t="s">
        <v>119</v>
      </c>
      <c r="D74" s="194"/>
      <c r="E74" s="196">
        <f>10915/6*4</f>
        <v>7276.666666666667</v>
      </c>
      <c r="K74" s="176"/>
      <c r="L74" s="176"/>
      <c r="M74" s="176"/>
      <c r="N74" s="176"/>
      <c r="O74" s="176"/>
      <c r="P74" s="1"/>
    </row>
    <row r="75" spans="2:16" ht="19.5" customHeight="1" thickBot="1" x14ac:dyDescent="0.4">
      <c r="B75" s="94" t="s">
        <v>6</v>
      </c>
      <c r="C75" s="260">
        <v>3000</v>
      </c>
      <c r="D75" s="204"/>
      <c r="E75" s="313">
        <f>+C75</f>
        <v>3000</v>
      </c>
      <c r="G75" s="1"/>
      <c r="H75" s="1"/>
      <c r="I75" s="1"/>
      <c r="J75" s="1"/>
      <c r="K75" s="176"/>
      <c r="L75" s="176"/>
      <c r="M75" s="176"/>
      <c r="N75" s="176"/>
      <c r="O75" s="176"/>
    </row>
    <row r="76" spans="2:16" ht="19.5" customHeight="1" thickBot="1" x14ac:dyDescent="0.4">
      <c r="B76" s="1323" t="s">
        <v>99</v>
      </c>
      <c r="C76" s="1324"/>
      <c r="D76" s="1324"/>
      <c r="E76" s="304">
        <f>SUM(E71:E75)</f>
        <v>31836.666666666668</v>
      </c>
      <c r="K76" s="176"/>
      <c r="L76" s="176"/>
      <c r="M76" s="176"/>
      <c r="N76" s="176"/>
      <c r="O76" s="176"/>
    </row>
    <row r="77" spans="2:16" ht="19.5" customHeight="1" thickBot="1" x14ac:dyDescent="0.4">
      <c r="B77" s="128" t="s">
        <v>19</v>
      </c>
      <c r="C77" s="273"/>
      <c r="D77" s="219"/>
      <c r="E77" s="199">
        <v>4000</v>
      </c>
      <c r="F77" s="1"/>
      <c r="K77" s="176"/>
      <c r="L77" s="176"/>
      <c r="M77" s="176"/>
      <c r="N77" s="176"/>
      <c r="O77" s="176"/>
    </row>
    <row r="78" spans="2:16" ht="19.5" customHeight="1" thickBot="1" x14ac:dyDescent="0.4">
      <c r="B78" s="12" t="s">
        <v>11</v>
      </c>
      <c r="C78" s="272"/>
      <c r="D78" s="223"/>
      <c r="E78" s="201">
        <f>+E76-E77</f>
        <v>27836.666666666668</v>
      </c>
      <c r="K78" s="176"/>
      <c r="L78" s="176"/>
      <c r="M78" s="176"/>
      <c r="N78" s="176"/>
      <c r="O78" s="176"/>
    </row>
    <row r="79" spans="2:16" ht="21" customHeight="1" thickBot="1" x14ac:dyDescent="0.4">
      <c r="K79" s="176"/>
      <c r="L79" s="176"/>
      <c r="M79" s="176"/>
      <c r="N79" s="176"/>
      <c r="O79" s="176"/>
    </row>
    <row r="80" spans="2:16" ht="21" customHeight="1" x14ac:dyDescent="0.35">
      <c r="B80" s="1276" t="s">
        <v>39</v>
      </c>
      <c r="C80" s="1277"/>
      <c r="D80" s="1277"/>
      <c r="E80" s="1278"/>
      <c r="K80" s="176"/>
      <c r="L80" s="176"/>
      <c r="M80" s="176"/>
      <c r="N80" s="176"/>
      <c r="O80" s="176"/>
    </row>
    <row r="81" spans="2:15" ht="21" customHeight="1" x14ac:dyDescent="0.35">
      <c r="B81" s="8" t="s">
        <v>7</v>
      </c>
      <c r="C81" s="270" t="s">
        <v>8</v>
      </c>
      <c r="D81" s="217" t="s">
        <v>4</v>
      </c>
      <c r="E81" s="218" t="s">
        <v>9</v>
      </c>
      <c r="F81" s="114"/>
      <c r="K81" s="176"/>
      <c r="L81" s="176"/>
      <c r="M81" s="176"/>
      <c r="N81" s="176"/>
      <c r="O81" s="176"/>
    </row>
    <row r="82" spans="2:15" ht="24" customHeight="1" x14ac:dyDescent="0.35">
      <c r="B82" s="10" t="s">
        <v>3</v>
      </c>
      <c r="C82" s="258"/>
      <c r="D82" s="194"/>
      <c r="E82" s="196">
        <v>25000</v>
      </c>
      <c r="K82" s="176"/>
      <c r="L82" s="176"/>
      <c r="M82" s="176"/>
      <c r="N82" s="176"/>
      <c r="O82" s="176"/>
    </row>
    <row r="83" spans="2:15" ht="21" customHeight="1" x14ac:dyDescent="0.35">
      <c r="B83" s="10" t="s">
        <v>1</v>
      </c>
      <c r="C83" s="258"/>
      <c r="D83" s="194"/>
      <c r="E83" s="196">
        <v>13650</v>
      </c>
      <c r="K83" s="176"/>
      <c r="L83" s="176"/>
      <c r="M83" s="176"/>
      <c r="N83" s="176"/>
      <c r="O83" s="176"/>
    </row>
    <row r="84" spans="2:15" ht="21" customHeight="1" thickBot="1" x14ac:dyDescent="0.4">
      <c r="B84" s="10" t="s">
        <v>5</v>
      </c>
      <c r="C84" s="258">
        <v>2</v>
      </c>
      <c r="D84" s="194">
        <f>+E82/8/20*(1.5)</f>
        <v>234.375</v>
      </c>
      <c r="E84" s="196">
        <f>C84*D84</f>
        <v>468.75</v>
      </c>
      <c r="K84" s="176"/>
      <c r="L84" s="176"/>
      <c r="M84" s="176"/>
      <c r="N84" s="176"/>
      <c r="O84" s="176"/>
    </row>
    <row r="85" spans="2:15" ht="21.75" customHeight="1" thickBot="1" x14ac:dyDescent="0.4">
      <c r="B85" s="12" t="s">
        <v>11</v>
      </c>
      <c r="C85" s="272"/>
      <c r="D85" s="223"/>
      <c r="E85" s="201">
        <f>+E83+E82+E84</f>
        <v>39118.75</v>
      </c>
      <c r="K85" s="176"/>
      <c r="L85" s="176"/>
      <c r="M85" s="176"/>
      <c r="N85" s="176"/>
      <c r="O85" s="176"/>
    </row>
    <row r="86" spans="2:15" ht="14.5" x14ac:dyDescent="0.35">
      <c r="K86" s="176"/>
      <c r="L86" s="176"/>
      <c r="M86" s="176"/>
      <c r="N86" s="176"/>
      <c r="O86" s="176"/>
    </row>
    <row r="87" spans="2:15" ht="14.5" x14ac:dyDescent="0.35">
      <c r="K87" s="176"/>
      <c r="L87" s="176"/>
      <c r="M87" s="176"/>
      <c r="N87" s="176"/>
      <c r="O87" s="176"/>
    </row>
    <row r="88" spans="2:15" ht="14.5" x14ac:dyDescent="0.35">
      <c r="C88"/>
      <c r="D88"/>
      <c r="E88"/>
    </row>
    <row r="89" spans="2:15" ht="14.5" x14ac:dyDescent="0.35"/>
    <row r="90" spans="2:15" ht="14.5" x14ac:dyDescent="0.35"/>
    <row r="91" spans="2:15" ht="14.5" x14ac:dyDescent="0.35"/>
    <row r="92" spans="2:15" ht="21" customHeight="1" x14ac:dyDescent="0.35">
      <c r="C92"/>
      <c r="D92"/>
      <c r="E92"/>
    </row>
    <row r="94" spans="2:15" ht="14.5" x14ac:dyDescent="0.35"/>
    <row r="95" spans="2:15" ht="14.5" x14ac:dyDescent="0.35"/>
  </sheetData>
  <mergeCells count="24">
    <mergeCell ref="B76:D76"/>
    <mergeCell ref="B80:E80"/>
    <mergeCell ref="G16:H16"/>
    <mergeCell ref="B47:E47"/>
    <mergeCell ref="B54:D54"/>
    <mergeCell ref="B58:E58"/>
    <mergeCell ref="K67:L67"/>
    <mergeCell ref="B65:D65"/>
    <mergeCell ref="B69:E69"/>
    <mergeCell ref="B20:D20"/>
    <mergeCell ref="B24:E24"/>
    <mergeCell ref="G35:G36"/>
    <mergeCell ref="B31:D31"/>
    <mergeCell ref="B35:E35"/>
    <mergeCell ref="B42:D42"/>
    <mergeCell ref="G20:G26"/>
    <mergeCell ref="H20:H22"/>
    <mergeCell ref="H23:H26"/>
    <mergeCell ref="N11:P11"/>
    <mergeCell ref="B13:E13"/>
    <mergeCell ref="B1:E1"/>
    <mergeCell ref="B8:D8"/>
    <mergeCell ref="F8:F10"/>
    <mergeCell ref="G10:M10"/>
  </mergeCells>
  <pageMargins left="0" right="0" top="0" bottom="0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95"/>
  <sheetViews>
    <sheetView workbookViewId="0">
      <selection activeCell="A6" sqref="A6"/>
    </sheetView>
  </sheetViews>
  <sheetFormatPr baseColWidth="10" defaultRowHeight="21" customHeight="1" x14ac:dyDescent="0.35"/>
  <cols>
    <col min="2" max="2" width="20.90625" customWidth="1"/>
    <col min="3" max="3" width="18.90625" style="261" customWidth="1"/>
    <col min="4" max="4" width="19.90625" style="202" customWidth="1"/>
    <col min="5" max="5" width="18.54296875" style="203" customWidth="1"/>
    <col min="6" max="6" width="21.6328125" customWidth="1"/>
    <col min="7" max="9" width="14.08984375" customWidth="1"/>
    <col min="10" max="10" width="12.54296875" customWidth="1"/>
    <col min="11" max="11" width="14.6328125" customWidth="1"/>
    <col min="12" max="12" width="14.54296875" bestFit="1" customWidth="1"/>
    <col min="13" max="13" width="13" customWidth="1"/>
    <col min="14" max="14" width="13.453125" customWidth="1"/>
    <col min="15" max="15" width="14.453125" bestFit="1" customWidth="1"/>
    <col min="16" max="16" width="14.08984375" customWidth="1"/>
  </cols>
  <sheetData>
    <row r="1" spans="2:17" ht="24" thickBot="1" x14ac:dyDescent="0.4">
      <c r="B1" s="1273" t="s">
        <v>10</v>
      </c>
      <c r="C1" s="1274"/>
      <c r="D1" s="1274"/>
      <c r="E1" s="1275"/>
      <c r="F1" s="414"/>
      <c r="H1" s="80" t="s">
        <v>20</v>
      </c>
      <c r="I1" s="74" t="s">
        <v>8</v>
      </c>
      <c r="J1" s="74" t="s">
        <v>112</v>
      </c>
      <c r="K1" s="74" t="s">
        <v>44</v>
      </c>
      <c r="L1" s="81" t="s">
        <v>43</v>
      </c>
      <c r="M1" s="74" t="s">
        <v>24</v>
      </c>
      <c r="N1" s="74" t="s">
        <v>19</v>
      </c>
      <c r="O1" s="74" t="s">
        <v>18</v>
      </c>
      <c r="P1" s="68" t="s">
        <v>23</v>
      </c>
    </row>
    <row r="2" spans="2:17" s="1" customFormat="1" ht="21" customHeight="1" thickBot="1" x14ac:dyDescent="0.4">
      <c r="B2" s="16" t="s">
        <v>7</v>
      </c>
      <c r="C2" s="257" t="s">
        <v>8</v>
      </c>
      <c r="D2" s="192" t="s">
        <v>4</v>
      </c>
      <c r="E2" s="193" t="s">
        <v>9</v>
      </c>
      <c r="F2" s="415"/>
      <c r="H2" s="230" t="s">
        <v>10</v>
      </c>
      <c r="I2" s="351">
        <f>+E3</f>
        <v>31301.999999999996</v>
      </c>
      <c r="J2" s="352">
        <f>+E5</f>
        <v>1353.6</v>
      </c>
      <c r="K2" s="335">
        <f>+E6+E7+E4</f>
        <v>3634.5</v>
      </c>
      <c r="L2" s="353">
        <f>+E8</f>
        <v>8000</v>
      </c>
      <c r="M2" s="354">
        <f t="shared" ref="M2:M9" si="0">SUM(I2:L2)</f>
        <v>44290.099999999991</v>
      </c>
      <c r="N2" s="339">
        <f>+E10</f>
        <v>0</v>
      </c>
      <c r="O2" s="411">
        <f>+E11</f>
        <v>25616.57</v>
      </c>
      <c r="P2" s="235">
        <f>+M2-N2-O2</f>
        <v>18673.529999999992</v>
      </c>
    </row>
    <row r="3" spans="2:17" ht="21" customHeight="1" thickBot="1" x14ac:dyDescent="0.4">
      <c r="B3" s="10" t="s">
        <v>3</v>
      </c>
      <c r="C3" s="258">
        <v>185</v>
      </c>
      <c r="D3" s="227">
        <v>169.2</v>
      </c>
      <c r="E3" s="196">
        <f>C3*D3</f>
        <v>31301.999999999996</v>
      </c>
      <c r="F3" s="416"/>
      <c r="H3" s="236" t="s">
        <v>15</v>
      </c>
      <c r="I3" s="355">
        <f>+E16</f>
        <v>33300</v>
      </c>
      <c r="J3" s="356">
        <f>+E18</f>
        <v>1440</v>
      </c>
      <c r="K3" s="336">
        <f>+E20+E19+E17</f>
        <v>5655</v>
      </c>
      <c r="L3" s="357">
        <f>+E21</f>
        <v>8000</v>
      </c>
      <c r="M3" s="354">
        <f t="shared" si="0"/>
        <v>48395</v>
      </c>
      <c r="N3" s="340">
        <v>0</v>
      </c>
      <c r="O3" s="249">
        <v>0</v>
      </c>
      <c r="P3" s="235">
        <f>+M3</f>
        <v>48395</v>
      </c>
    </row>
    <row r="4" spans="2:17" ht="21" customHeight="1" thickBot="1" x14ac:dyDescent="0.4">
      <c r="B4" s="10" t="s">
        <v>155</v>
      </c>
      <c r="C4" s="258"/>
      <c r="D4" s="227"/>
      <c r="E4" s="196">
        <v>3000</v>
      </c>
      <c r="F4" s="416"/>
      <c r="H4" s="236" t="s">
        <v>16</v>
      </c>
      <c r="I4" s="355">
        <f>+E28</f>
        <v>28860</v>
      </c>
      <c r="J4" s="356">
        <f>+E30</f>
        <v>1248</v>
      </c>
      <c r="K4" s="336">
        <f>+E31+E32+E29</f>
        <v>3585</v>
      </c>
      <c r="L4" s="357">
        <f>+E33</f>
        <v>8000</v>
      </c>
      <c r="M4" s="354">
        <f t="shared" si="0"/>
        <v>41693</v>
      </c>
      <c r="N4" s="340">
        <f>+E35</f>
        <v>10000</v>
      </c>
      <c r="O4" s="249">
        <v>0</v>
      </c>
      <c r="P4" s="235">
        <f>+M4-N4</f>
        <v>31693</v>
      </c>
    </row>
    <row r="5" spans="2:17" ht="21" customHeight="1" thickBot="1" x14ac:dyDescent="0.4">
      <c r="B5" s="10" t="s">
        <v>111</v>
      </c>
      <c r="C5" s="258">
        <v>8</v>
      </c>
      <c r="D5" s="227">
        <v>169.2</v>
      </c>
      <c r="E5" s="196">
        <f>C5*D5</f>
        <v>1353.6</v>
      </c>
      <c r="F5" s="416"/>
      <c r="H5" s="236" t="s">
        <v>0</v>
      </c>
      <c r="I5" s="355">
        <f>+E40</f>
        <v>35890</v>
      </c>
      <c r="J5" s="356">
        <f>+E41</f>
        <v>1552</v>
      </c>
      <c r="K5" s="336">
        <f>+E43+E42</f>
        <v>3152.5</v>
      </c>
      <c r="L5" s="357">
        <f>+E44</f>
        <v>13500</v>
      </c>
      <c r="M5" s="354">
        <f t="shared" si="0"/>
        <v>54094.5</v>
      </c>
      <c r="N5" s="340">
        <v>0</v>
      </c>
      <c r="O5" s="249">
        <f>+E47</f>
        <v>25616.57</v>
      </c>
      <c r="P5" s="235">
        <f>+M5-N5-O5</f>
        <v>28477.93</v>
      </c>
    </row>
    <row r="6" spans="2:17" ht="21" customHeight="1" thickBot="1" x14ac:dyDescent="0.4">
      <c r="B6" s="10" t="s">
        <v>5</v>
      </c>
      <c r="C6" s="258">
        <v>2.5</v>
      </c>
      <c r="D6" s="194">
        <f>+D3*1.5</f>
        <v>253.79999999999998</v>
      </c>
      <c r="E6" s="196">
        <f>C6*D6</f>
        <v>634.5</v>
      </c>
      <c r="F6" s="416"/>
      <c r="H6" s="236" t="s">
        <v>28</v>
      </c>
      <c r="I6" s="356">
        <f>+E52+E56+E57+E58</f>
        <v>31500</v>
      </c>
      <c r="J6" s="356">
        <f>+E53</f>
        <v>1440</v>
      </c>
      <c r="K6" s="336">
        <f>+E54+E55</f>
        <v>2385</v>
      </c>
      <c r="L6" s="357">
        <f>+E59</f>
        <v>13000</v>
      </c>
      <c r="M6" s="354">
        <f t="shared" si="0"/>
        <v>48325</v>
      </c>
      <c r="N6" s="340">
        <f>+E61</f>
        <v>6000</v>
      </c>
      <c r="O6" s="249">
        <v>0</v>
      </c>
      <c r="P6" s="235">
        <f>+M6-N6-O6</f>
        <v>42325</v>
      </c>
    </row>
    <row r="7" spans="2:17" ht="21" customHeight="1" thickBot="1" x14ac:dyDescent="0.4">
      <c r="B7" s="10" t="s">
        <v>139</v>
      </c>
      <c r="C7" s="258">
        <v>0</v>
      </c>
      <c r="D7" s="194">
        <f>+D5*2</f>
        <v>338.4</v>
      </c>
      <c r="E7" s="196">
        <f>+C7*D7</f>
        <v>0</v>
      </c>
      <c r="F7" s="416"/>
      <c r="H7" s="236" t="s">
        <v>17</v>
      </c>
      <c r="I7" s="356">
        <f>+E66+E68</f>
        <v>23100</v>
      </c>
      <c r="J7" s="356">
        <f>+E67</f>
        <v>1056</v>
      </c>
      <c r="K7" s="336">
        <f>+E69+E70</f>
        <v>1650</v>
      </c>
      <c r="L7" s="357">
        <f>+E71</f>
        <v>12000</v>
      </c>
      <c r="M7" s="354">
        <f t="shared" si="0"/>
        <v>37806</v>
      </c>
      <c r="N7" s="340">
        <f>+E73</f>
        <v>0</v>
      </c>
      <c r="O7" s="249">
        <v>0</v>
      </c>
      <c r="P7" s="240">
        <f>+M7-N7-O7</f>
        <v>37806</v>
      </c>
    </row>
    <row r="8" spans="2:17" ht="21" customHeight="1" thickBot="1" x14ac:dyDescent="0.4">
      <c r="B8" s="10" t="s">
        <v>6</v>
      </c>
      <c r="C8" s="258">
        <v>8000</v>
      </c>
      <c r="D8" s="194"/>
      <c r="E8" s="196">
        <f>+C8</f>
        <v>8000</v>
      </c>
      <c r="F8" s="417"/>
      <c r="G8" s="1325"/>
      <c r="H8" s="236" t="s">
        <v>86</v>
      </c>
      <c r="I8" s="395">
        <f>+E78</f>
        <v>4840</v>
      </c>
      <c r="J8" s="396">
        <v>0</v>
      </c>
      <c r="K8" s="397">
        <f>+E79</f>
        <v>160</v>
      </c>
      <c r="L8" s="398">
        <v>0</v>
      </c>
      <c r="M8" s="399">
        <f t="shared" si="0"/>
        <v>5000</v>
      </c>
      <c r="N8" s="400">
        <f>+E81</f>
        <v>0</v>
      </c>
      <c r="O8" s="401">
        <v>0</v>
      </c>
      <c r="P8" s="402">
        <f>+M8-N8-O8</f>
        <v>5000</v>
      </c>
    </row>
    <row r="9" spans="2:17" ht="21" customHeight="1" thickBot="1" x14ac:dyDescent="0.4">
      <c r="B9" s="1323" t="s">
        <v>99</v>
      </c>
      <c r="C9" s="1324"/>
      <c r="D9" s="1324"/>
      <c r="E9" s="304">
        <f>SUM(E3:E8)</f>
        <v>44290.1</v>
      </c>
      <c r="F9" s="418"/>
      <c r="G9" s="1325"/>
      <c r="H9" s="245" t="s">
        <v>42</v>
      </c>
      <c r="I9" s="361">
        <f>+E86</f>
        <v>25000</v>
      </c>
      <c r="J9" s="361">
        <v>0</v>
      </c>
      <c r="K9" s="362">
        <f>+E87</f>
        <v>3281.25</v>
      </c>
      <c r="L9" s="362">
        <v>0</v>
      </c>
      <c r="M9" s="354">
        <f t="shared" si="0"/>
        <v>28281.25</v>
      </c>
      <c r="N9" s="342">
        <v>0</v>
      </c>
      <c r="O9" s="251">
        <v>0</v>
      </c>
      <c r="P9" s="240">
        <f>+M9-N9-O9</f>
        <v>28281.25</v>
      </c>
    </row>
    <row r="10" spans="2:17" ht="21" customHeight="1" thickBot="1" x14ac:dyDescent="0.4">
      <c r="B10" s="1339" t="s">
        <v>19</v>
      </c>
      <c r="C10" s="1340"/>
      <c r="D10" s="1341"/>
      <c r="E10" s="302">
        <v>0</v>
      </c>
      <c r="F10" s="418"/>
      <c r="G10" s="1326"/>
      <c r="H10" s="1332" t="s">
        <v>124</v>
      </c>
      <c r="I10" s="1333"/>
      <c r="J10" s="1333"/>
      <c r="K10" s="1333"/>
      <c r="L10" s="1333"/>
      <c r="M10" s="1334"/>
      <c r="N10" s="256">
        <f>SUM(N2:N9)</f>
        <v>16000</v>
      </c>
      <c r="O10" s="256">
        <f>SUM(O2:O9)</f>
        <v>51233.14</v>
      </c>
      <c r="P10" s="256">
        <f>SUM(P2:P9)</f>
        <v>240651.71</v>
      </c>
    </row>
    <row r="11" spans="2:17" ht="21" customHeight="1" thickBot="1" x14ac:dyDescent="0.4">
      <c r="B11" s="1336" t="s">
        <v>18</v>
      </c>
      <c r="C11" s="1337"/>
      <c r="D11" s="1338"/>
      <c r="E11" s="198">
        <v>25616.57</v>
      </c>
      <c r="F11" s="419"/>
      <c r="G11" s="4"/>
      <c r="H11" s="248"/>
      <c r="I11" s="248"/>
      <c r="J11" s="248"/>
      <c r="K11" s="248"/>
      <c r="L11" s="248"/>
      <c r="M11" s="248"/>
      <c r="N11" s="1318">
        <f>+O10+P10+N10</f>
        <v>307884.84999999998</v>
      </c>
      <c r="O11" s="1319"/>
      <c r="P11" s="1320"/>
    </row>
    <row r="12" spans="2:17" ht="21" customHeight="1" thickBot="1" x14ac:dyDescent="0.4">
      <c r="B12" s="1296" t="s">
        <v>11</v>
      </c>
      <c r="C12" s="1297"/>
      <c r="D12" s="1335"/>
      <c r="E12" s="303">
        <f>+E9-E11</f>
        <v>18673.53</v>
      </c>
      <c r="F12" s="420"/>
      <c r="G12" s="311"/>
      <c r="H12" s="322" t="s">
        <v>106</v>
      </c>
      <c r="I12" s="323" t="s">
        <v>107</v>
      </c>
      <c r="J12" s="323" t="s">
        <v>123</v>
      </c>
    </row>
    <row r="13" spans="2:17" s="1" customFormat="1" ht="21" customHeight="1" thickBot="1" x14ac:dyDescent="0.4">
      <c r="B13"/>
      <c r="C13" s="261"/>
      <c r="D13" s="202"/>
      <c r="E13" s="203"/>
      <c r="F13" s="414"/>
      <c r="G13" s="363" t="s">
        <v>116</v>
      </c>
      <c r="H13" s="326">
        <v>17</v>
      </c>
      <c r="I13" s="327">
        <v>9</v>
      </c>
      <c r="J13" s="324">
        <f>+H13*I13</f>
        <v>153</v>
      </c>
      <c r="L13"/>
      <c r="M13"/>
      <c r="N13"/>
      <c r="O13"/>
      <c r="P13"/>
      <c r="Q13"/>
    </row>
    <row r="14" spans="2:17" ht="21" customHeight="1" thickBot="1" x14ac:dyDescent="0.4">
      <c r="B14" s="1273" t="s">
        <v>15</v>
      </c>
      <c r="C14" s="1274"/>
      <c r="D14" s="1274"/>
      <c r="E14" s="1275"/>
      <c r="F14" s="415"/>
      <c r="G14" s="364" t="s">
        <v>111</v>
      </c>
      <c r="H14" s="344">
        <v>1</v>
      </c>
      <c r="I14" s="345">
        <v>8</v>
      </c>
      <c r="J14" s="324">
        <f>+H14*I14</f>
        <v>8</v>
      </c>
      <c r="L14" s="1"/>
      <c r="M14" s="1"/>
      <c r="N14" s="1"/>
      <c r="O14" s="1"/>
      <c r="P14" s="1"/>
      <c r="Q14" s="1"/>
    </row>
    <row r="15" spans="2:17" ht="21" customHeight="1" thickBot="1" x14ac:dyDescent="0.4">
      <c r="B15" s="16" t="s">
        <v>7</v>
      </c>
      <c r="C15" s="257" t="s">
        <v>8</v>
      </c>
      <c r="D15" s="192" t="s">
        <v>4</v>
      </c>
      <c r="E15" s="193" t="s">
        <v>9</v>
      </c>
      <c r="F15" s="416"/>
      <c r="G15" s="364" t="s">
        <v>117</v>
      </c>
      <c r="H15" s="328">
        <v>4</v>
      </c>
      <c r="I15" s="329">
        <v>8</v>
      </c>
      <c r="J15" s="325">
        <f>+H15*I15</f>
        <v>32</v>
      </c>
      <c r="L15" s="1"/>
      <c r="M15" s="1"/>
      <c r="N15" s="1"/>
      <c r="O15" s="1"/>
      <c r="P15" s="1"/>
      <c r="Q15" s="1"/>
    </row>
    <row r="16" spans="2:17" ht="21" customHeight="1" thickBot="1" x14ac:dyDescent="0.4">
      <c r="B16" s="10" t="s">
        <v>3</v>
      </c>
      <c r="C16" s="258">
        <v>185</v>
      </c>
      <c r="D16" s="194">
        <v>180</v>
      </c>
      <c r="E16" s="196">
        <f>C16*D16</f>
        <v>33300</v>
      </c>
      <c r="F16" s="416"/>
      <c r="G16" s="311"/>
      <c r="H16" s="1311" t="s">
        <v>108</v>
      </c>
      <c r="I16" s="1312"/>
      <c r="J16" s="330">
        <f>SUM(J13:J15)</f>
        <v>193</v>
      </c>
      <c r="L16" s="1"/>
      <c r="M16" s="1"/>
      <c r="N16" s="1"/>
      <c r="O16" s="1"/>
      <c r="P16" s="1"/>
      <c r="Q16" s="1"/>
    </row>
    <row r="17" spans="1:16" ht="21" customHeight="1" thickBot="1" x14ac:dyDescent="0.4">
      <c r="B17" s="10" t="s">
        <v>155</v>
      </c>
      <c r="C17" s="258"/>
      <c r="D17" s="194"/>
      <c r="E17" s="196">
        <v>3000</v>
      </c>
      <c r="F17" s="416"/>
      <c r="G17" s="49"/>
      <c r="H17" s="321"/>
      <c r="I17" s="321"/>
      <c r="J17" s="321"/>
      <c r="K17" s="1"/>
      <c r="L17" s="4"/>
    </row>
    <row r="18" spans="1:16" ht="21" customHeight="1" thickBot="1" x14ac:dyDescent="0.4">
      <c r="B18" s="10" t="s">
        <v>111</v>
      </c>
      <c r="C18" s="258">
        <v>8</v>
      </c>
      <c r="D18" s="194">
        <v>180</v>
      </c>
      <c r="E18" s="196">
        <f>C18*D18</f>
        <v>1440</v>
      </c>
      <c r="F18" s="416"/>
      <c r="H18" s="321"/>
      <c r="I18" s="321"/>
      <c r="J18" s="321"/>
      <c r="L18" s="57"/>
      <c r="M18" s="61" t="s">
        <v>29</v>
      </c>
      <c r="N18" s="61" t="s">
        <v>30</v>
      </c>
      <c r="O18" s="62" t="s">
        <v>32</v>
      </c>
    </row>
    <row r="19" spans="1:16" ht="21" customHeight="1" x14ac:dyDescent="0.35">
      <c r="B19" s="10" t="s">
        <v>139</v>
      </c>
      <c r="C19" s="258">
        <v>1</v>
      </c>
      <c r="D19" s="194">
        <f>+D16*2</f>
        <v>360</v>
      </c>
      <c r="E19" s="196">
        <f>C19*D19</f>
        <v>360</v>
      </c>
      <c r="F19" s="416"/>
      <c r="K19" s="4"/>
      <c r="L19" s="172" t="s">
        <v>0</v>
      </c>
      <c r="M19" s="63">
        <v>194</v>
      </c>
      <c r="N19" s="173">
        <f>+M19*1.5</f>
        <v>291</v>
      </c>
      <c r="O19" s="175">
        <v>13500</v>
      </c>
    </row>
    <row r="20" spans="1:16" ht="21" customHeight="1" x14ac:dyDescent="0.35">
      <c r="B20" s="10" t="s">
        <v>5</v>
      </c>
      <c r="C20" s="315">
        <v>8.5</v>
      </c>
      <c r="D20" s="194">
        <f>+D16*1.5</f>
        <v>270</v>
      </c>
      <c r="E20" s="196">
        <f>C20*D20</f>
        <v>2295</v>
      </c>
      <c r="F20" s="421"/>
      <c r="H20" s="1282" t="s">
        <v>25</v>
      </c>
      <c r="I20" s="1282" t="s">
        <v>26</v>
      </c>
      <c r="J20" s="366"/>
      <c r="L20" s="58" t="s">
        <v>28</v>
      </c>
      <c r="M20" s="64">
        <v>180</v>
      </c>
      <c r="N20" s="50">
        <f t="shared" ref="N20:N25" si="1">+M20*1.5</f>
        <v>270</v>
      </c>
      <c r="O20" s="53">
        <v>13000</v>
      </c>
    </row>
    <row r="21" spans="1:16" ht="21" customHeight="1" thickBot="1" x14ac:dyDescent="0.4">
      <c r="B21" s="10" t="s">
        <v>6</v>
      </c>
      <c r="C21" s="258">
        <v>8000</v>
      </c>
      <c r="D21" s="194"/>
      <c r="E21" s="196">
        <f>+C21</f>
        <v>8000</v>
      </c>
      <c r="F21" s="422"/>
      <c r="H21" s="1282"/>
      <c r="I21" s="1282"/>
      <c r="J21" s="366"/>
      <c r="L21" s="58" t="s">
        <v>15</v>
      </c>
      <c r="M21" s="64">
        <v>180</v>
      </c>
      <c r="N21" s="50">
        <f t="shared" si="1"/>
        <v>270</v>
      </c>
      <c r="O21" s="53">
        <v>8000</v>
      </c>
    </row>
    <row r="22" spans="1:16" ht="21" customHeight="1" thickBot="1" x14ac:dyDescent="0.4">
      <c r="B22" s="1323" t="s">
        <v>99</v>
      </c>
      <c r="C22" s="1324"/>
      <c r="D22" s="1324"/>
      <c r="E22" s="304">
        <f>SUM(E16:E21)</f>
        <v>48395</v>
      </c>
      <c r="F22" s="419"/>
      <c r="G22" s="155"/>
      <c r="H22" s="1282"/>
      <c r="I22" s="1282"/>
      <c r="J22" s="366"/>
      <c r="L22" s="58" t="s">
        <v>10</v>
      </c>
      <c r="M22" s="64">
        <v>169.2</v>
      </c>
      <c r="N22" s="50">
        <f t="shared" si="1"/>
        <v>253.79999999999998</v>
      </c>
      <c r="O22" s="53">
        <v>8000</v>
      </c>
    </row>
    <row r="23" spans="1:16" ht="21" customHeight="1" thickBot="1" x14ac:dyDescent="0.4">
      <c r="B23" s="1329" t="s">
        <v>19</v>
      </c>
      <c r="C23" s="1330"/>
      <c r="D23" s="1331"/>
      <c r="E23" s="207">
        <v>0</v>
      </c>
      <c r="F23" s="420"/>
      <c r="G23" s="155"/>
      <c r="H23" s="1282"/>
      <c r="I23" s="1321" t="s">
        <v>27</v>
      </c>
      <c r="J23" s="367"/>
      <c r="L23" s="59" t="s">
        <v>16</v>
      </c>
      <c r="M23" s="64">
        <v>156</v>
      </c>
      <c r="N23" s="50">
        <f t="shared" si="1"/>
        <v>234</v>
      </c>
      <c r="O23" s="53">
        <v>8000</v>
      </c>
    </row>
    <row r="24" spans="1:16" s="4" customFormat="1" ht="21" customHeight="1" thickBot="1" x14ac:dyDescent="0.5">
      <c r="B24" s="1296" t="s">
        <v>11</v>
      </c>
      <c r="C24" s="1297"/>
      <c r="D24" s="1298"/>
      <c r="E24" s="201">
        <f>+E22-E23</f>
        <v>48395</v>
      </c>
      <c r="F24" s="412"/>
      <c r="G24" s="155"/>
      <c r="H24" s="1282"/>
      <c r="I24" s="1321"/>
      <c r="J24" s="367"/>
      <c r="K24"/>
      <c r="L24" s="368" t="s">
        <v>86</v>
      </c>
      <c r="M24" s="369">
        <v>110</v>
      </c>
      <c r="N24" s="370">
        <f t="shared" si="1"/>
        <v>165</v>
      </c>
      <c r="O24" s="371">
        <v>3000</v>
      </c>
      <c r="P24"/>
    </row>
    <row r="25" spans="1:16" ht="21" customHeight="1" thickBot="1" x14ac:dyDescent="0.4">
      <c r="F25" s="423"/>
      <c r="G25" s="156"/>
      <c r="H25" s="1282"/>
      <c r="I25" s="1321"/>
      <c r="J25" s="367"/>
      <c r="L25" s="60" t="s">
        <v>17</v>
      </c>
      <c r="M25" s="65">
        <v>132</v>
      </c>
      <c r="N25" s="56">
        <f t="shared" si="1"/>
        <v>198</v>
      </c>
      <c r="O25" s="55">
        <v>12000</v>
      </c>
      <c r="P25" s="4"/>
    </row>
    <row r="26" spans="1:16" ht="21" customHeight="1" thickBot="1" x14ac:dyDescent="0.5">
      <c r="A26" s="1"/>
      <c r="B26" s="1315" t="s">
        <v>16</v>
      </c>
      <c r="C26" s="1316"/>
      <c r="D26" s="1316"/>
      <c r="E26" s="1317"/>
      <c r="F26" s="413"/>
      <c r="G26" s="155"/>
      <c r="H26" s="1282"/>
      <c r="I26" s="1321"/>
      <c r="J26" s="367"/>
      <c r="K26" s="4"/>
      <c r="L26" s="318"/>
      <c r="M26" s="50"/>
      <c r="N26" s="50"/>
      <c r="O26" s="50"/>
      <c r="P26" s="50"/>
    </row>
    <row r="27" spans="1:16" s="1" customFormat="1" ht="21" customHeight="1" x14ac:dyDescent="0.35">
      <c r="A27"/>
      <c r="B27" s="169" t="s">
        <v>7</v>
      </c>
      <c r="C27" s="266" t="s">
        <v>8</v>
      </c>
      <c r="D27" s="209" t="s">
        <v>4</v>
      </c>
      <c r="E27" s="210" t="s">
        <v>9</v>
      </c>
      <c r="F27" s="155"/>
      <c r="G27" s="47"/>
      <c r="H27"/>
      <c r="I27"/>
      <c r="J27" s="171"/>
      <c r="K27" s="48"/>
      <c r="L27" s="66"/>
      <c r="M27" s="49"/>
      <c r="N27" s="49"/>
      <c r="O27"/>
      <c r="P27"/>
    </row>
    <row r="28" spans="1:16" s="1" customFormat="1" ht="21" customHeight="1" x14ac:dyDescent="0.35">
      <c r="A28"/>
      <c r="B28" s="165" t="s">
        <v>3</v>
      </c>
      <c r="C28" s="267">
        <v>185</v>
      </c>
      <c r="D28" s="211">
        <v>156</v>
      </c>
      <c r="E28" s="212">
        <f>C28*D28</f>
        <v>28860</v>
      </c>
      <c r="F28" s="155"/>
      <c r="G28" s="47"/>
      <c r="H28"/>
      <c r="I28"/>
      <c r="J28" s="171"/>
      <c r="L28" s="51"/>
      <c r="M28" s="49"/>
      <c r="N28" s="49"/>
      <c r="O28"/>
      <c r="P28"/>
    </row>
    <row r="29" spans="1:16" ht="18" customHeight="1" thickBot="1" x14ac:dyDescent="0.4">
      <c r="B29" s="165" t="s">
        <v>155</v>
      </c>
      <c r="C29" s="267"/>
      <c r="D29" s="211"/>
      <c r="E29" s="212">
        <v>3000</v>
      </c>
      <c r="F29" s="155"/>
      <c r="G29" s="311"/>
      <c r="J29" s="1"/>
    </row>
    <row r="30" spans="1:16" ht="18" customHeight="1" x14ac:dyDescent="0.35">
      <c r="B30" s="165" t="s">
        <v>111</v>
      </c>
      <c r="C30" s="267">
        <v>8</v>
      </c>
      <c r="D30" s="211">
        <v>156</v>
      </c>
      <c r="E30" s="212">
        <f>C30*D30</f>
        <v>1248</v>
      </c>
      <c r="F30" s="155"/>
      <c r="G30" s="1344" t="s">
        <v>128</v>
      </c>
      <c r="H30" s="1345"/>
      <c r="I30" s="390"/>
    </row>
    <row r="31" spans="1:16" ht="18" customHeight="1" x14ac:dyDescent="0.35">
      <c r="B31" s="165" t="s">
        <v>139</v>
      </c>
      <c r="C31" s="267">
        <v>0</v>
      </c>
      <c r="D31" s="211">
        <f>+D28*2</f>
        <v>312</v>
      </c>
      <c r="E31" s="212">
        <f>C31*D31</f>
        <v>0</v>
      </c>
      <c r="F31" s="106"/>
      <c r="G31" s="391">
        <v>44390</v>
      </c>
      <c r="H31" s="393" t="s">
        <v>129</v>
      </c>
      <c r="I31">
        <v>1.5</v>
      </c>
    </row>
    <row r="32" spans="1:16" ht="18" customHeight="1" x14ac:dyDescent="0.35">
      <c r="B32" s="165" t="s">
        <v>5</v>
      </c>
      <c r="C32" s="267">
        <v>2.5</v>
      </c>
      <c r="D32" s="211">
        <f>+D28*1.5</f>
        <v>234</v>
      </c>
      <c r="E32" s="212">
        <f>C32*D32</f>
        <v>585</v>
      </c>
      <c r="G32" s="391">
        <v>44391</v>
      </c>
      <c r="H32" s="393" t="s">
        <v>130</v>
      </c>
      <c r="I32">
        <v>0</v>
      </c>
    </row>
    <row r="33" spans="1:16" ht="18" customHeight="1" thickBot="1" x14ac:dyDescent="0.4">
      <c r="B33" s="165" t="s">
        <v>6</v>
      </c>
      <c r="C33" s="267">
        <v>8000</v>
      </c>
      <c r="D33" s="211"/>
      <c r="E33" s="212">
        <f>+C33</f>
        <v>8000</v>
      </c>
      <c r="G33" s="392">
        <v>44396</v>
      </c>
      <c r="H33" s="393" t="s">
        <v>132</v>
      </c>
      <c r="I33">
        <v>1</v>
      </c>
    </row>
    <row r="34" spans="1:16" ht="18" customHeight="1" thickBot="1" x14ac:dyDescent="0.4">
      <c r="B34" s="1323" t="s">
        <v>99</v>
      </c>
      <c r="C34" s="1324"/>
      <c r="D34" s="1324"/>
      <c r="E34" s="304">
        <f>SUM(E28:E33)</f>
        <v>41693</v>
      </c>
      <c r="G34" s="392">
        <v>44397</v>
      </c>
      <c r="H34" s="393" t="s">
        <v>133</v>
      </c>
      <c r="I34">
        <v>0</v>
      </c>
    </row>
    <row r="35" spans="1:16" ht="18" customHeight="1" thickBot="1" x14ac:dyDescent="0.4">
      <c r="A35" s="106"/>
      <c r="B35" s="1352" t="s">
        <v>19</v>
      </c>
      <c r="C35" s="1353"/>
      <c r="D35" s="1354"/>
      <c r="E35" s="214">
        <v>10000</v>
      </c>
      <c r="G35" s="403">
        <v>44398</v>
      </c>
      <c r="H35" s="404" t="s">
        <v>153</v>
      </c>
      <c r="I35">
        <v>0</v>
      </c>
    </row>
    <row r="36" spans="1:16" ht="18" customHeight="1" thickBot="1" x14ac:dyDescent="0.4">
      <c r="A36" s="155"/>
      <c r="B36" s="1355" t="s">
        <v>11</v>
      </c>
      <c r="C36" s="1356"/>
      <c r="D36" s="1357"/>
      <c r="E36" s="216">
        <f>+E34-E35</f>
        <v>31693</v>
      </c>
      <c r="G36" s="1349" t="s">
        <v>134</v>
      </c>
      <c r="H36" s="1350"/>
      <c r="I36" s="405">
        <v>2.5</v>
      </c>
    </row>
    <row r="37" spans="1:16" ht="18" customHeight="1" thickBot="1" x14ac:dyDescent="0.4">
      <c r="A37" s="155"/>
      <c r="F37" s="180"/>
      <c r="G37" s="106"/>
    </row>
    <row r="38" spans="1:16" ht="18" customHeight="1" x14ac:dyDescent="0.35">
      <c r="A38" s="155"/>
      <c r="B38" s="1276" t="s">
        <v>0</v>
      </c>
      <c r="C38" s="1277"/>
      <c r="D38" s="1277"/>
      <c r="E38" s="1278"/>
      <c r="F38" s="155"/>
      <c r="G38" s="406" t="s">
        <v>136</v>
      </c>
      <c r="H38" s="284" t="s">
        <v>150</v>
      </c>
      <c r="I38" s="410" t="s">
        <v>151</v>
      </c>
    </row>
    <row r="39" spans="1:16" ht="18" customHeight="1" x14ac:dyDescent="0.35">
      <c r="A39" s="155"/>
      <c r="B39" s="8" t="s">
        <v>7</v>
      </c>
      <c r="C39" s="270" t="s">
        <v>8</v>
      </c>
      <c r="D39" s="217" t="s">
        <v>4</v>
      </c>
      <c r="E39" s="218" t="s">
        <v>9</v>
      </c>
      <c r="F39" s="155"/>
      <c r="G39" s="1351" t="s">
        <v>137</v>
      </c>
      <c r="H39" s="1351"/>
      <c r="I39" s="1351"/>
      <c r="K39" s="182"/>
      <c r="L39" s="180"/>
      <c r="M39" s="181"/>
      <c r="N39" s="181"/>
      <c r="O39" s="181"/>
    </row>
    <row r="40" spans="1:16" ht="18" customHeight="1" x14ac:dyDescent="0.35">
      <c r="A40" s="156"/>
      <c r="B40" s="10" t="s">
        <v>3</v>
      </c>
      <c r="C40" s="258">
        <v>185</v>
      </c>
      <c r="D40" s="194">
        <v>194</v>
      </c>
      <c r="E40" s="196">
        <f>C40*D40</f>
        <v>35890</v>
      </c>
      <c r="F40" s="106"/>
      <c r="G40" s="115"/>
      <c r="K40" s="183"/>
      <c r="L40" s="180"/>
      <c r="M40" s="181"/>
      <c r="N40" s="181"/>
      <c r="O40" s="181"/>
    </row>
    <row r="41" spans="1:16" s="1" customFormat="1" ht="18" customHeight="1" x14ac:dyDescent="0.35">
      <c r="A41" s="155"/>
      <c r="B41" s="10" t="s">
        <v>111</v>
      </c>
      <c r="C41" s="258">
        <v>8</v>
      </c>
      <c r="D41" s="194">
        <v>194</v>
      </c>
      <c r="E41" s="196">
        <f>C41*D41</f>
        <v>1552</v>
      </c>
      <c r="F41" s="106"/>
      <c r="G41"/>
      <c r="H41"/>
      <c r="I41"/>
      <c r="J41"/>
      <c r="K41" s="183"/>
      <c r="L41" s="180"/>
      <c r="M41" s="181"/>
      <c r="N41" s="181"/>
      <c r="O41" s="181"/>
      <c r="P41"/>
    </row>
    <row r="42" spans="1:16" ht="18" customHeight="1" x14ac:dyDescent="0.35">
      <c r="A42" s="155"/>
      <c r="B42" s="10" t="s">
        <v>139</v>
      </c>
      <c r="C42" s="258">
        <v>1</v>
      </c>
      <c r="D42" s="194">
        <f>+D40*2</f>
        <v>388</v>
      </c>
      <c r="E42" s="196">
        <f>C42*D42</f>
        <v>388</v>
      </c>
      <c r="F42" s="106"/>
      <c r="K42" s="183"/>
      <c r="L42" s="180"/>
      <c r="M42" s="181"/>
      <c r="N42" s="181"/>
      <c r="O42" s="181"/>
      <c r="P42" s="1"/>
    </row>
    <row r="43" spans="1:16" ht="18" customHeight="1" x14ac:dyDescent="0.35">
      <c r="A43" s="155"/>
      <c r="B43" s="10" t="s">
        <v>5</v>
      </c>
      <c r="C43" s="315">
        <v>9.5</v>
      </c>
      <c r="D43" s="194">
        <f>+D40*1.5</f>
        <v>291</v>
      </c>
      <c r="E43" s="196">
        <f>C43*D43</f>
        <v>2764.5</v>
      </c>
      <c r="F43" s="106"/>
      <c r="K43" s="183"/>
      <c r="L43" s="180"/>
      <c r="M43" s="181"/>
      <c r="N43" s="181"/>
      <c r="O43" s="181"/>
    </row>
    <row r="44" spans="1:16" ht="18" customHeight="1" thickBot="1" x14ac:dyDescent="0.4">
      <c r="A44" s="155"/>
      <c r="B44" s="10" t="s">
        <v>6</v>
      </c>
      <c r="C44" s="258">
        <v>13500</v>
      </c>
      <c r="D44" s="194"/>
      <c r="E44" s="196">
        <f>+C44</f>
        <v>13500</v>
      </c>
      <c r="F44" s="106"/>
      <c r="G44" s="1"/>
      <c r="H44" s="1"/>
      <c r="I44" s="1"/>
      <c r="J44" s="1"/>
      <c r="K44" s="183"/>
      <c r="L44" s="180"/>
      <c r="M44" s="181"/>
      <c r="N44" s="181"/>
      <c r="O44" s="181"/>
    </row>
    <row r="45" spans="1:16" ht="18" customHeight="1" thickBot="1" x14ac:dyDescent="0.4">
      <c r="A45" s="155"/>
      <c r="B45" s="1323" t="s">
        <v>99</v>
      </c>
      <c r="C45" s="1324"/>
      <c r="D45" s="1324"/>
      <c r="E45" s="304">
        <f>SUM(E40:E44)</f>
        <v>54094.5</v>
      </c>
      <c r="F45" s="106"/>
      <c r="G45" s="1"/>
      <c r="H45" s="1"/>
      <c r="I45" s="1"/>
      <c r="J45" s="1"/>
      <c r="K45" s="180"/>
      <c r="L45" s="181"/>
      <c r="M45" s="181"/>
      <c r="N45" s="181"/>
    </row>
    <row r="46" spans="1:16" ht="18" customHeight="1" x14ac:dyDescent="0.35">
      <c r="B46" s="320" t="s">
        <v>19</v>
      </c>
      <c r="C46" s="319"/>
      <c r="D46" s="319"/>
      <c r="E46" s="343">
        <v>0</v>
      </c>
      <c r="F46" s="106"/>
      <c r="K46" s="181"/>
      <c r="L46" s="181"/>
      <c r="M46" s="184"/>
    </row>
    <row r="47" spans="1:16" ht="18" customHeight="1" thickBot="1" x14ac:dyDescent="0.4">
      <c r="B47" s="1336" t="s">
        <v>18</v>
      </c>
      <c r="C47" s="1337"/>
      <c r="D47" s="1338"/>
      <c r="E47" s="198">
        <v>25616.57</v>
      </c>
      <c r="F47" s="106"/>
      <c r="J47" s="183"/>
      <c r="K47" s="181"/>
      <c r="L47" s="181"/>
      <c r="M47" s="184"/>
    </row>
    <row r="48" spans="1:16" ht="18" customHeight="1" thickBot="1" x14ac:dyDescent="0.4">
      <c r="B48" s="1296" t="s">
        <v>11</v>
      </c>
      <c r="C48" s="1297"/>
      <c r="D48" s="1298"/>
      <c r="E48" s="201">
        <f>+E45-E46-E47</f>
        <v>28477.93</v>
      </c>
      <c r="F48" s="317"/>
      <c r="G48" t="s">
        <v>142</v>
      </c>
      <c r="H48" s="183"/>
      <c r="I48" s="183"/>
      <c r="J48" s="180"/>
    </row>
    <row r="49" spans="1:16" ht="18" customHeight="1" thickBot="1" x14ac:dyDescent="0.4">
      <c r="F49" s="317"/>
      <c r="H49" s="183"/>
      <c r="I49" s="183"/>
      <c r="J49" s="180"/>
      <c r="K49" s="184"/>
      <c r="M49" s="1"/>
      <c r="N49" s="1"/>
      <c r="O49" s="1"/>
    </row>
    <row r="50" spans="1:16" ht="18" customHeight="1" x14ac:dyDescent="0.35">
      <c r="A50" s="1"/>
      <c r="B50" s="1276" t="s">
        <v>28</v>
      </c>
      <c r="C50" s="1277"/>
      <c r="D50" s="1277"/>
      <c r="E50" s="1278"/>
      <c r="F50" s="389" t="s">
        <v>127</v>
      </c>
      <c r="G50" s="181"/>
      <c r="H50" s="181"/>
      <c r="I50" s="181"/>
      <c r="J50" s="184"/>
      <c r="K50" s="184"/>
      <c r="P50" s="1"/>
    </row>
    <row r="51" spans="1:16" s="1" customFormat="1" ht="18" customHeight="1" x14ac:dyDescent="0.35">
      <c r="A51"/>
      <c r="B51" s="8" t="s">
        <v>7</v>
      </c>
      <c r="C51" s="270" t="s">
        <v>8</v>
      </c>
      <c r="D51" s="217" t="s">
        <v>4</v>
      </c>
      <c r="E51" s="218" t="s">
        <v>9</v>
      </c>
      <c r="F51" s="394" t="s">
        <v>131</v>
      </c>
      <c r="G51" s="409">
        <f>11*9</f>
        <v>99</v>
      </c>
      <c r="H51" s="181"/>
      <c r="I51" s="181"/>
      <c r="J51" s="181"/>
      <c r="K51" s="184"/>
      <c r="P51"/>
    </row>
    <row r="52" spans="1:16" ht="18" customHeight="1" x14ac:dyDescent="0.35">
      <c r="A52" s="1"/>
      <c r="B52" s="10" t="s">
        <v>3</v>
      </c>
      <c r="C52" s="315">
        <v>131</v>
      </c>
      <c r="D52" s="194">
        <v>180</v>
      </c>
      <c r="E52" s="196">
        <f>C52*D52</f>
        <v>23580</v>
      </c>
      <c r="F52" s="114" t="s">
        <v>138</v>
      </c>
      <c r="G52" s="409">
        <f>4*8</f>
        <v>32</v>
      </c>
      <c r="H52" s="181"/>
      <c r="I52" s="181"/>
      <c r="J52" s="181"/>
      <c r="K52" s="185"/>
      <c r="L52" s="180"/>
      <c r="M52" s="181"/>
      <c r="N52" s="187"/>
      <c r="O52" s="188"/>
      <c r="P52" s="1"/>
    </row>
    <row r="53" spans="1:16" s="1" customFormat="1" ht="18" customHeight="1" x14ac:dyDescent="0.35">
      <c r="A53"/>
      <c r="B53" s="10" t="s">
        <v>111</v>
      </c>
      <c r="C53" s="315">
        <v>8</v>
      </c>
      <c r="D53" s="194">
        <v>180</v>
      </c>
      <c r="E53" s="196">
        <f>C53*D53</f>
        <v>1440</v>
      </c>
      <c r="F53" s="49"/>
      <c r="G53" s="409">
        <f>4*8</f>
        <v>32</v>
      </c>
      <c r="H53" s="181"/>
      <c r="I53" s="181"/>
      <c r="J53" s="181"/>
      <c r="K53" s="189"/>
      <c r="L53" s="180"/>
      <c r="M53" s="181"/>
      <c r="N53" s="181"/>
      <c r="O53" s="184"/>
      <c r="P53"/>
    </row>
    <row r="54" spans="1:16" ht="18" customHeight="1" x14ac:dyDescent="0.35">
      <c r="B54" s="10" t="s">
        <v>139</v>
      </c>
      <c r="C54" s="315">
        <v>1</v>
      </c>
      <c r="D54" s="194">
        <f>+D52*2</f>
        <v>360</v>
      </c>
      <c r="E54" s="196">
        <f>C54*D54</f>
        <v>360</v>
      </c>
      <c r="F54" s="407" t="s">
        <v>143</v>
      </c>
      <c r="G54" s="311">
        <f>1*8</f>
        <v>8</v>
      </c>
      <c r="K54" s="189"/>
      <c r="L54" s="180"/>
      <c r="M54" s="181"/>
      <c r="N54" s="181"/>
      <c r="O54" s="184"/>
    </row>
    <row r="55" spans="1:16" ht="18" customHeight="1" x14ac:dyDescent="0.35">
      <c r="B55" s="10" t="s">
        <v>5</v>
      </c>
      <c r="C55" s="315">
        <f>6+1.5</f>
        <v>7.5</v>
      </c>
      <c r="D55" s="194">
        <f>+D52*1.5</f>
        <v>270</v>
      </c>
      <c r="E55" s="196">
        <f>C55*D55</f>
        <v>2025</v>
      </c>
      <c r="F55" s="171" t="s">
        <v>144</v>
      </c>
      <c r="K55" s="185"/>
      <c r="L55" s="180"/>
      <c r="M55" s="181"/>
      <c r="N55" s="181"/>
      <c r="O55" s="184"/>
    </row>
    <row r="56" spans="1:16" ht="18" customHeight="1" x14ac:dyDescent="0.35">
      <c r="B56" s="10" t="s">
        <v>154</v>
      </c>
      <c r="C56" s="315">
        <v>32</v>
      </c>
      <c r="D56" s="194">
        <f>+D52</f>
        <v>180</v>
      </c>
      <c r="E56" s="196">
        <f>+C56*D56</f>
        <v>5760</v>
      </c>
      <c r="F56" s="407" t="s">
        <v>145</v>
      </c>
      <c r="K56" s="185"/>
      <c r="L56" s="180"/>
      <c r="M56" s="181"/>
      <c r="N56" s="181"/>
      <c r="O56" s="184"/>
    </row>
    <row r="57" spans="1:16" ht="18" customHeight="1" x14ac:dyDescent="0.35">
      <c r="B57" s="10" t="s">
        <v>140</v>
      </c>
      <c r="C57" s="315">
        <v>2</v>
      </c>
      <c r="D57" s="194">
        <f>+C57*D52</f>
        <v>360</v>
      </c>
      <c r="E57" s="196">
        <f>+C57*D57</f>
        <v>720</v>
      </c>
      <c r="F57" s="407" t="s">
        <v>146</v>
      </c>
      <c r="K57" s="190"/>
      <c r="L57" s="191"/>
      <c r="M57" s="181"/>
      <c r="N57" s="181"/>
      <c r="O57" s="184"/>
    </row>
    <row r="58" spans="1:16" ht="18" customHeight="1" x14ac:dyDescent="0.35">
      <c r="B58" s="408" t="s">
        <v>141</v>
      </c>
      <c r="C58" s="315">
        <v>8</v>
      </c>
      <c r="D58" s="194">
        <f>+D52</f>
        <v>180</v>
      </c>
      <c r="E58" s="196">
        <f>+C58*D58</f>
        <v>1440</v>
      </c>
      <c r="F58" s="407"/>
      <c r="K58" s="185"/>
      <c r="L58" s="180"/>
      <c r="M58" s="181"/>
      <c r="N58" s="181"/>
      <c r="O58" s="184"/>
    </row>
    <row r="59" spans="1:16" ht="18" customHeight="1" thickBot="1" x14ac:dyDescent="0.4">
      <c r="B59" s="10" t="s">
        <v>6</v>
      </c>
      <c r="C59" s="258">
        <v>13000</v>
      </c>
      <c r="D59" s="194"/>
      <c r="E59" s="196">
        <f>+C59</f>
        <v>13000</v>
      </c>
      <c r="F59" s="115" t="s">
        <v>152</v>
      </c>
      <c r="K59" s="185"/>
      <c r="L59" s="180"/>
      <c r="M59" s="181"/>
      <c r="N59" s="181"/>
      <c r="O59" s="184"/>
    </row>
    <row r="60" spans="1:16" ht="18" customHeight="1" thickBot="1" x14ac:dyDescent="0.4">
      <c r="B60" s="1323" t="s">
        <v>99</v>
      </c>
      <c r="C60" s="1324"/>
      <c r="D60" s="1324"/>
      <c r="E60" s="304">
        <f>SUM(E52:E59)</f>
        <v>48325</v>
      </c>
      <c r="F60" s="407"/>
      <c r="K60" s="182"/>
      <c r="L60" s="180"/>
      <c r="M60" s="181"/>
      <c r="N60" s="181"/>
      <c r="O60" s="184"/>
      <c r="P60" s="1"/>
    </row>
    <row r="61" spans="1:16" ht="18" customHeight="1" thickBot="1" x14ac:dyDescent="0.4">
      <c r="B61" s="1339" t="s">
        <v>19</v>
      </c>
      <c r="C61" s="1340"/>
      <c r="D61" s="1341"/>
      <c r="E61" s="198">
        <v>6000</v>
      </c>
      <c r="F61" s="407"/>
      <c r="K61" s="182"/>
      <c r="L61" s="180"/>
      <c r="M61" s="181"/>
      <c r="N61" s="181"/>
      <c r="O61" s="184"/>
      <c r="P61" s="1"/>
    </row>
    <row r="62" spans="1:16" ht="18" customHeight="1" thickBot="1" x14ac:dyDescent="0.4">
      <c r="B62" s="1296" t="s">
        <v>11</v>
      </c>
      <c r="C62" s="1297"/>
      <c r="D62" s="1298"/>
      <c r="E62" s="201">
        <f>+E60-E61</f>
        <v>42325</v>
      </c>
      <c r="F62" s="407"/>
      <c r="G62" s="1"/>
      <c r="H62" s="115"/>
      <c r="I62" s="115"/>
      <c r="J62" s="1"/>
      <c r="K62" s="176"/>
      <c r="L62" s="180"/>
      <c r="M62" s="181"/>
      <c r="N62" s="181"/>
      <c r="O62" s="184"/>
      <c r="P62" s="1"/>
    </row>
    <row r="63" spans="1:16" ht="18" customHeight="1" thickBot="1" x14ac:dyDescent="0.4">
      <c r="F63" s="407"/>
      <c r="G63" s="1"/>
      <c r="H63" s="115"/>
      <c r="I63" s="115"/>
      <c r="J63" s="1"/>
      <c r="K63" s="176"/>
      <c r="L63" s="180"/>
      <c r="M63" s="181"/>
      <c r="N63" s="181"/>
      <c r="O63" s="184"/>
    </row>
    <row r="64" spans="1:16" ht="18" customHeight="1" x14ac:dyDescent="0.35">
      <c r="B64" s="1276" t="s">
        <v>17</v>
      </c>
      <c r="C64" s="1277"/>
      <c r="D64" s="1277"/>
      <c r="E64" s="1278"/>
      <c r="F64" s="407"/>
      <c r="K64" s="176"/>
      <c r="L64" s="180"/>
      <c r="M64" s="181"/>
      <c r="N64" s="181"/>
      <c r="O64" s="184"/>
    </row>
    <row r="65" spans="2:16" ht="18" customHeight="1" x14ac:dyDescent="0.35">
      <c r="B65" s="8" t="s">
        <v>7</v>
      </c>
      <c r="C65" s="270" t="s">
        <v>8</v>
      </c>
      <c r="D65" s="217" t="s">
        <v>4</v>
      </c>
      <c r="E65" s="218" t="s">
        <v>9</v>
      </c>
      <c r="K65" s="1314"/>
      <c r="L65" s="1314"/>
      <c r="M65" s="181"/>
      <c r="N65" s="181"/>
      <c r="O65" s="184"/>
    </row>
    <row r="66" spans="2:16" ht="18" customHeight="1" x14ac:dyDescent="0.35">
      <c r="B66" s="10" t="s">
        <v>3</v>
      </c>
      <c r="C66" s="258">
        <v>167</v>
      </c>
      <c r="D66" s="194">
        <v>132</v>
      </c>
      <c r="E66" s="196">
        <f>C66*D66</f>
        <v>22044</v>
      </c>
      <c r="F66" s="114" t="s">
        <v>126</v>
      </c>
      <c r="K66" s="176"/>
      <c r="L66" s="176"/>
      <c r="M66" s="181"/>
      <c r="N66" s="181"/>
      <c r="O66" s="184"/>
    </row>
    <row r="67" spans="2:16" ht="18" customHeight="1" x14ac:dyDescent="0.35">
      <c r="B67" s="10" t="s">
        <v>111</v>
      </c>
      <c r="C67" s="258">
        <v>8</v>
      </c>
      <c r="D67" s="194">
        <v>132</v>
      </c>
      <c r="E67" s="196">
        <f>C67*D67</f>
        <v>1056</v>
      </c>
      <c r="F67" s="114" t="s">
        <v>135</v>
      </c>
      <c r="G67">
        <f>15*9</f>
        <v>135</v>
      </c>
      <c r="K67" s="176"/>
      <c r="L67" s="176"/>
      <c r="M67" s="176"/>
      <c r="N67" s="176"/>
      <c r="O67" s="176"/>
    </row>
    <row r="68" spans="2:16" ht="18" customHeight="1" x14ac:dyDescent="0.35">
      <c r="B68" s="10" t="s">
        <v>125</v>
      </c>
      <c r="C68" s="258">
        <v>8</v>
      </c>
      <c r="D68" s="194">
        <v>132</v>
      </c>
      <c r="E68" s="196">
        <f>C68*D68</f>
        <v>1056</v>
      </c>
      <c r="G68">
        <v>8</v>
      </c>
      <c r="K68" s="176"/>
      <c r="L68" s="183"/>
      <c r="M68" s="176"/>
      <c r="N68" s="176"/>
      <c r="O68" s="176"/>
    </row>
    <row r="69" spans="2:16" ht="18" customHeight="1" x14ac:dyDescent="0.35">
      <c r="B69" s="10" t="s">
        <v>139</v>
      </c>
      <c r="C69" s="258">
        <v>1</v>
      </c>
      <c r="D69" s="194">
        <f>+D66*2</f>
        <v>264</v>
      </c>
      <c r="E69" s="196">
        <f>C69*D69</f>
        <v>264</v>
      </c>
      <c r="G69">
        <f>4*8</f>
        <v>32</v>
      </c>
      <c r="K69" s="183"/>
      <c r="L69" s="176"/>
      <c r="M69" s="183"/>
      <c r="N69" s="183"/>
      <c r="O69" s="183"/>
    </row>
    <row r="70" spans="2:16" ht="18" customHeight="1" x14ac:dyDescent="0.35">
      <c r="B70" s="10" t="s">
        <v>5</v>
      </c>
      <c r="C70" s="258">
        <v>7</v>
      </c>
      <c r="D70" s="194">
        <f>+D66*1.5</f>
        <v>198</v>
      </c>
      <c r="E70" s="196">
        <f>C70*D70</f>
        <v>1386</v>
      </c>
      <c r="F70" t="s">
        <v>147</v>
      </c>
      <c r="K70" s="183"/>
      <c r="L70" s="176"/>
      <c r="M70" s="183"/>
      <c r="N70" s="183"/>
      <c r="O70" s="183"/>
    </row>
    <row r="71" spans="2:16" ht="18" customHeight="1" thickBot="1" x14ac:dyDescent="0.4">
      <c r="B71" s="10" t="s">
        <v>6</v>
      </c>
      <c r="C71" s="258">
        <v>12000</v>
      </c>
      <c r="D71" s="194"/>
      <c r="E71" s="222">
        <f>+C71</f>
        <v>12000</v>
      </c>
      <c r="F71" t="s">
        <v>148</v>
      </c>
      <c r="K71" s="176"/>
      <c r="L71" s="176"/>
      <c r="M71" s="176"/>
      <c r="N71" s="176"/>
      <c r="O71" s="176"/>
    </row>
    <row r="72" spans="2:16" ht="18" customHeight="1" thickBot="1" x14ac:dyDescent="0.4">
      <c r="B72" s="1323" t="s">
        <v>99</v>
      </c>
      <c r="C72" s="1324"/>
      <c r="D72" s="1324"/>
      <c r="E72" s="304">
        <f>SUM(E66:E71)</f>
        <v>37806</v>
      </c>
      <c r="F72" t="s">
        <v>149</v>
      </c>
      <c r="G72" s="1"/>
      <c r="K72" s="176"/>
      <c r="L72" s="176"/>
      <c r="M72" s="176"/>
      <c r="N72" s="176"/>
      <c r="O72" s="176"/>
      <c r="P72" s="1"/>
    </row>
    <row r="73" spans="2:16" ht="18" customHeight="1" thickBot="1" x14ac:dyDescent="0.4">
      <c r="B73" s="1339" t="s">
        <v>19</v>
      </c>
      <c r="C73" s="1340"/>
      <c r="D73" s="1341"/>
      <c r="E73" s="199">
        <v>0</v>
      </c>
      <c r="H73" s="1"/>
      <c r="I73" s="1"/>
      <c r="J73" s="1"/>
      <c r="K73" s="176"/>
      <c r="L73" s="176"/>
      <c r="M73" s="176"/>
      <c r="N73" s="176"/>
      <c r="O73" s="176"/>
    </row>
    <row r="74" spans="2:16" ht="18" customHeight="1" thickBot="1" x14ac:dyDescent="0.4">
      <c r="B74" s="1296" t="s">
        <v>11</v>
      </c>
      <c r="C74" s="1297"/>
      <c r="D74" s="1298"/>
      <c r="E74" s="201">
        <f>+E72-E73</f>
        <v>37806</v>
      </c>
      <c r="K74" s="176"/>
      <c r="L74" s="176"/>
      <c r="M74" s="176"/>
      <c r="N74" s="176"/>
      <c r="O74" s="176"/>
    </row>
    <row r="75" spans="2:16" ht="18" customHeight="1" thickBot="1" x14ac:dyDescent="0.4">
      <c r="K75" s="176"/>
      <c r="L75" s="176"/>
      <c r="M75" s="176"/>
      <c r="N75" s="176"/>
      <c r="O75" s="176"/>
    </row>
    <row r="76" spans="2:16" ht="18" customHeight="1" x14ac:dyDescent="0.35">
      <c r="B76" s="1346" t="s">
        <v>86</v>
      </c>
      <c r="C76" s="1347"/>
      <c r="D76" s="1347"/>
      <c r="E76" s="1348"/>
      <c r="K76" s="176"/>
      <c r="L76" s="176"/>
      <c r="M76" s="176"/>
      <c r="N76" s="176"/>
      <c r="O76" s="176"/>
    </row>
    <row r="77" spans="2:16" ht="18" customHeight="1" x14ac:dyDescent="0.35">
      <c r="B77" s="372" t="s">
        <v>7</v>
      </c>
      <c r="C77" s="373" t="s">
        <v>8</v>
      </c>
      <c r="D77" s="374" t="s">
        <v>4</v>
      </c>
      <c r="E77" s="375" t="s">
        <v>9</v>
      </c>
      <c r="K77" s="176"/>
      <c r="L77" s="176"/>
      <c r="M77" s="176"/>
      <c r="N77" s="176"/>
      <c r="O77" s="176"/>
    </row>
    <row r="78" spans="2:16" ht="18" customHeight="1" x14ac:dyDescent="0.35">
      <c r="B78" s="376" t="s">
        <v>3</v>
      </c>
      <c r="C78" s="377">
        <v>44</v>
      </c>
      <c r="D78" s="378">
        <v>110</v>
      </c>
      <c r="E78" s="379">
        <f>C78*D78</f>
        <v>4840</v>
      </c>
      <c r="K78" s="176"/>
      <c r="L78" s="176"/>
      <c r="M78" s="176"/>
      <c r="N78" s="176"/>
      <c r="O78" s="176"/>
    </row>
    <row r="79" spans="2:16" ht="18" customHeight="1" thickBot="1" x14ac:dyDescent="0.4">
      <c r="B79" s="376" t="s">
        <v>5</v>
      </c>
      <c r="C79" s="377">
        <v>1</v>
      </c>
      <c r="D79" s="378">
        <v>160</v>
      </c>
      <c r="E79" s="379">
        <f>+C79*D79</f>
        <v>160</v>
      </c>
      <c r="K79" s="176"/>
      <c r="L79" s="176"/>
      <c r="M79" s="176"/>
      <c r="N79" s="176"/>
      <c r="O79" s="176"/>
    </row>
    <row r="80" spans="2:16" ht="18" customHeight="1" thickBot="1" x14ac:dyDescent="0.4">
      <c r="B80" s="1342" t="s">
        <v>99</v>
      </c>
      <c r="C80" s="1343"/>
      <c r="D80" s="1343"/>
      <c r="E80" s="380">
        <f>SUM(E78:E79)</f>
        <v>5000</v>
      </c>
      <c r="K80" s="176"/>
      <c r="L80" s="176"/>
      <c r="M80" s="176"/>
      <c r="N80" s="176"/>
      <c r="O80" s="176"/>
    </row>
    <row r="81" spans="2:15" ht="18" customHeight="1" thickBot="1" x14ac:dyDescent="0.4">
      <c r="B81" s="381" t="s">
        <v>19</v>
      </c>
      <c r="C81" s="382"/>
      <c r="D81" s="383"/>
      <c r="E81" s="384"/>
      <c r="K81" s="176"/>
      <c r="L81" s="176"/>
      <c r="M81" s="176"/>
      <c r="N81" s="176"/>
      <c r="O81" s="176"/>
    </row>
    <row r="82" spans="2:15" ht="18" customHeight="1" thickBot="1" x14ac:dyDescent="0.4">
      <c r="B82" s="385" t="s">
        <v>11</v>
      </c>
      <c r="C82" s="386"/>
      <c r="D82" s="387"/>
      <c r="E82" s="388">
        <f>+E80-E81</f>
        <v>5000</v>
      </c>
      <c r="K82" s="176"/>
      <c r="L82" s="176"/>
      <c r="M82" s="176"/>
      <c r="N82" s="176"/>
      <c r="O82" s="176"/>
    </row>
    <row r="83" spans="2:15" ht="18" customHeight="1" thickBot="1" x14ac:dyDescent="0.4">
      <c r="K83" s="176"/>
      <c r="L83" s="176"/>
      <c r="M83" s="176"/>
      <c r="N83" s="176"/>
      <c r="O83" s="176"/>
    </row>
    <row r="84" spans="2:15" ht="18" customHeight="1" x14ac:dyDescent="0.35">
      <c r="B84" s="1276" t="s">
        <v>39</v>
      </c>
      <c r="C84" s="1277"/>
      <c r="D84" s="1277"/>
      <c r="E84" s="1278"/>
      <c r="K84" s="176"/>
      <c r="L84" s="176"/>
      <c r="M84" s="176"/>
      <c r="N84" s="176"/>
      <c r="O84" s="176"/>
    </row>
    <row r="85" spans="2:15" ht="18" customHeight="1" x14ac:dyDescent="0.35">
      <c r="B85" s="8" t="s">
        <v>7</v>
      </c>
      <c r="C85" s="270" t="s">
        <v>8</v>
      </c>
      <c r="D85" s="217" t="s">
        <v>4</v>
      </c>
      <c r="E85" s="218" t="s">
        <v>9</v>
      </c>
      <c r="K85" s="176"/>
      <c r="L85" s="176"/>
      <c r="M85" s="176"/>
      <c r="N85" s="176"/>
      <c r="O85" s="176"/>
    </row>
    <row r="86" spans="2:15" ht="18" customHeight="1" x14ac:dyDescent="0.35">
      <c r="B86" s="10" t="s">
        <v>3</v>
      </c>
      <c r="C86" s="258"/>
      <c r="D86" s="194"/>
      <c r="E86" s="196">
        <v>25000</v>
      </c>
    </row>
    <row r="87" spans="2:15" ht="18" customHeight="1" thickBot="1" x14ac:dyDescent="0.4">
      <c r="B87" s="10" t="s">
        <v>5</v>
      </c>
      <c r="C87" s="258">
        <v>14</v>
      </c>
      <c r="D87" s="194">
        <f>+E86/8/20*(1.5)</f>
        <v>234.375</v>
      </c>
      <c r="E87" s="196">
        <f>C87*D87</f>
        <v>3281.25</v>
      </c>
      <c r="F87" s="1"/>
    </row>
    <row r="88" spans="2:15" ht="18" customHeight="1" thickBot="1" x14ac:dyDescent="0.4">
      <c r="B88" s="12" t="s">
        <v>11</v>
      </c>
      <c r="C88" s="272"/>
      <c r="D88" s="223"/>
      <c r="E88" s="201">
        <f>+E86+E87</f>
        <v>28281.25</v>
      </c>
    </row>
    <row r="89" spans="2:15" ht="14.5" x14ac:dyDescent="0.35"/>
    <row r="90" spans="2:15" ht="14.5" x14ac:dyDescent="0.35"/>
    <row r="91" spans="2:15" ht="21" customHeight="1" x14ac:dyDescent="0.35">
      <c r="C91"/>
      <c r="D91"/>
      <c r="E91"/>
      <c r="F91" s="114"/>
    </row>
    <row r="92" spans="2:15" ht="14.5" x14ac:dyDescent="0.35"/>
    <row r="93" spans="2:15" ht="14.5" x14ac:dyDescent="0.35"/>
    <row r="95" spans="2:15" ht="21" customHeight="1" x14ac:dyDescent="0.35">
      <c r="C95"/>
      <c r="D95"/>
      <c r="E95"/>
    </row>
  </sheetData>
  <mergeCells count="39">
    <mergeCell ref="G30:H30"/>
    <mergeCell ref="B64:E64"/>
    <mergeCell ref="B72:D72"/>
    <mergeCell ref="K65:L65"/>
    <mergeCell ref="B76:E76"/>
    <mergeCell ref="G36:H36"/>
    <mergeCell ref="G39:I39"/>
    <mergeCell ref="B35:D35"/>
    <mergeCell ref="B36:D36"/>
    <mergeCell ref="B47:D47"/>
    <mergeCell ref="B48:D48"/>
    <mergeCell ref="B61:D61"/>
    <mergeCell ref="B62:D62"/>
    <mergeCell ref="B73:D73"/>
    <mergeCell ref="B74:D74"/>
    <mergeCell ref="B84:E84"/>
    <mergeCell ref="B34:D34"/>
    <mergeCell ref="B38:E38"/>
    <mergeCell ref="B45:D45"/>
    <mergeCell ref="B50:E50"/>
    <mergeCell ref="B60:D60"/>
    <mergeCell ref="B80:D80"/>
    <mergeCell ref="N11:P11"/>
    <mergeCell ref="B14:E14"/>
    <mergeCell ref="H10:M10"/>
    <mergeCell ref="B12:D12"/>
    <mergeCell ref="B11:D11"/>
    <mergeCell ref="B10:D10"/>
    <mergeCell ref="H16:I16"/>
    <mergeCell ref="B22:D22"/>
    <mergeCell ref="H20:H26"/>
    <mergeCell ref="I20:I22"/>
    <mergeCell ref="B1:E1"/>
    <mergeCell ref="B9:D9"/>
    <mergeCell ref="G8:G10"/>
    <mergeCell ref="I23:I26"/>
    <mergeCell ref="B26:E26"/>
    <mergeCell ref="B24:D24"/>
    <mergeCell ref="B23:D23"/>
  </mergeCells>
  <pageMargins left="3.937007874015748E-2" right="3.937007874015748E-2" top="0.15748031496062992" bottom="0.15748031496062992" header="0.31496062992125984" footer="0.31496062992125984"/>
  <pageSetup paperSize="9" firstPageNumber="2" fitToHeight="0" orientation="portrait" useFirstPageNumber="1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6"/>
  <sheetViews>
    <sheetView workbookViewId="0">
      <selection activeCell="A6" sqref="A6"/>
    </sheetView>
  </sheetViews>
  <sheetFormatPr baseColWidth="10" defaultRowHeight="18.75" customHeight="1" x14ac:dyDescent="0.35"/>
  <cols>
    <col min="2" max="2" width="20.90625" customWidth="1"/>
    <col min="3" max="3" width="18.90625" style="261" customWidth="1"/>
    <col min="4" max="4" width="19.90625" style="202" customWidth="1"/>
    <col min="5" max="5" width="18.54296875" style="203" customWidth="1"/>
    <col min="6" max="6" width="19.6328125" bestFit="1" customWidth="1"/>
    <col min="7" max="9" width="14.08984375" customWidth="1"/>
    <col min="10" max="10" width="12.54296875" customWidth="1"/>
    <col min="11" max="11" width="14.6328125" customWidth="1"/>
    <col min="12" max="12" width="14.54296875" bestFit="1" customWidth="1"/>
    <col min="13" max="13" width="13" customWidth="1"/>
    <col min="14" max="14" width="13.453125" customWidth="1"/>
    <col min="15" max="15" width="14.453125" bestFit="1" customWidth="1"/>
    <col min="16" max="16" width="14.08984375" customWidth="1"/>
  </cols>
  <sheetData>
    <row r="1" spans="2:17" ht="18.75" customHeight="1" thickBot="1" x14ac:dyDescent="0.4">
      <c r="B1" s="1273" t="s">
        <v>10</v>
      </c>
      <c r="C1" s="1274"/>
      <c r="D1" s="1274"/>
      <c r="E1" s="1275"/>
      <c r="F1" s="414"/>
      <c r="H1" s="80" t="s">
        <v>20</v>
      </c>
      <c r="I1" s="74" t="s">
        <v>8</v>
      </c>
      <c r="J1" s="74" t="s">
        <v>112</v>
      </c>
      <c r="K1" s="74" t="s">
        <v>44</v>
      </c>
      <c r="L1" s="81" t="s">
        <v>43</v>
      </c>
      <c r="M1" s="74" t="s">
        <v>24</v>
      </c>
      <c r="N1" s="74" t="s">
        <v>19</v>
      </c>
      <c r="O1" s="74" t="s">
        <v>18</v>
      </c>
      <c r="P1" s="68" t="s">
        <v>23</v>
      </c>
    </row>
    <row r="2" spans="2:17" s="426" customFormat="1" ht="18.75" customHeight="1" thickBot="1" x14ac:dyDescent="0.4">
      <c r="B2" s="16" t="s">
        <v>7</v>
      </c>
      <c r="C2" s="257" t="s">
        <v>8</v>
      </c>
      <c r="D2" s="192" t="s">
        <v>4</v>
      </c>
      <c r="E2" s="193" t="s">
        <v>9</v>
      </c>
      <c r="F2" s="415"/>
      <c r="H2" s="230" t="s">
        <v>10</v>
      </c>
      <c r="I2" s="351">
        <f>+E3</f>
        <v>35735.040000000001</v>
      </c>
      <c r="J2" s="352">
        <f>+E5</f>
        <v>3248.64</v>
      </c>
      <c r="K2" s="335">
        <f>+E6+E7+E4</f>
        <v>761.4</v>
      </c>
      <c r="L2" s="353">
        <f>+E8</f>
        <v>8000</v>
      </c>
      <c r="M2" s="354">
        <f t="shared" ref="M2:M8" si="0">SUM(I2:L2)</f>
        <v>47745.08</v>
      </c>
      <c r="N2" s="339">
        <f>+E10</f>
        <v>0</v>
      </c>
      <c r="O2" s="437">
        <f>+E11</f>
        <v>26672.78</v>
      </c>
      <c r="P2" s="235">
        <f>+M2-N2-O2</f>
        <v>21072.300000000003</v>
      </c>
    </row>
    <row r="3" spans="2:17" ht="18.75" customHeight="1" thickBot="1" x14ac:dyDescent="0.4">
      <c r="B3" s="10" t="s">
        <v>3</v>
      </c>
      <c r="C3" s="258">
        <v>176</v>
      </c>
      <c r="D3" s="227">
        <v>203.04</v>
      </c>
      <c r="E3" s="196">
        <f>C3*D3</f>
        <v>35735.040000000001</v>
      </c>
      <c r="F3" s="416"/>
      <c r="H3" s="236" t="s">
        <v>15</v>
      </c>
      <c r="I3" s="355">
        <f>+E16</f>
        <v>40972.800000000003</v>
      </c>
      <c r="J3" s="356">
        <f>+E18</f>
        <v>3724.8</v>
      </c>
      <c r="K3" s="336">
        <f>+E20+E19+E17</f>
        <v>3666.6000000000004</v>
      </c>
      <c r="L3" s="357">
        <f>+E21</f>
        <v>13000</v>
      </c>
      <c r="M3" s="354">
        <f t="shared" si="0"/>
        <v>61364.200000000004</v>
      </c>
      <c r="N3" s="340">
        <f>+E23</f>
        <v>10000</v>
      </c>
      <c r="O3" s="249">
        <v>0</v>
      </c>
      <c r="P3" s="235">
        <f t="shared" ref="P3:P8" si="1">+M3-N3-O3</f>
        <v>51364.200000000004</v>
      </c>
    </row>
    <row r="4" spans="2:17" ht="18.75" customHeight="1" thickBot="1" x14ac:dyDescent="0.4">
      <c r="B4" s="10" t="s">
        <v>155</v>
      </c>
      <c r="C4" s="258">
        <v>0</v>
      </c>
      <c r="D4" s="227"/>
      <c r="E4" s="196"/>
      <c r="F4" s="416"/>
      <c r="H4" s="236" t="s">
        <v>16</v>
      </c>
      <c r="I4" s="355">
        <f>+E28</f>
        <v>32947.199999999997</v>
      </c>
      <c r="J4" s="356">
        <f>+E30</f>
        <v>2496</v>
      </c>
      <c r="K4" s="336">
        <f>+E31+E32+E29</f>
        <v>3229.1999999999994</v>
      </c>
      <c r="L4" s="357">
        <f>+E33</f>
        <v>8000</v>
      </c>
      <c r="M4" s="354">
        <f t="shared" si="0"/>
        <v>46672.399999999994</v>
      </c>
      <c r="N4" s="340">
        <f>+E35</f>
        <v>10000</v>
      </c>
      <c r="O4" s="249">
        <v>0</v>
      </c>
      <c r="P4" s="235">
        <f t="shared" si="1"/>
        <v>36672.399999999994</v>
      </c>
    </row>
    <row r="5" spans="2:17" ht="18.75" customHeight="1" thickBot="1" x14ac:dyDescent="0.4">
      <c r="B5" s="10" t="s">
        <v>111</v>
      </c>
      <c r="C5" s="258">
        <v>16</v>
      </c>
      <c r="D5" s="227">
        <v>203.04</v>
      </c>
      <c r="E5" s="196">
        <f>C5*D5</f>
        <v>3248.64</v>
      </c>
      <c r="F5" s="416"/>
      <c r="H5" s="236" t="s">
        <v>0</v>
      </c>
      <c r="I5" s="355">
        <f>+E40</f>
        <v>40972.800000000003</v>
      </c>
      <c r="J5" s="356">
        <f>+E41</f>
        <v>3724.8</v>
      </c>
      <c r="K5" s="336">
        <f>+E43+E42</f>
        <v>2793.6000000000004</v>
      </c>
      <c r="L5" s="357">
        <f>+E44</f>
        <v>13500</v>
      </c>
      <c r="M5" s="354">
        <f t="shared" si="0"/>
        <v>60991.200000000004</v>
      </c>
      <c r="N5" s="340">
        <f>+E46</f>
        <v>0</v>
      </c>
      <c r="O5" s="249">
        <f>+E47</f>
        <v>26672.78</v>
      </c>
      <c r="P5" s="235">
        <f t="shared" si="1"/>
        <v>34318.420000000006</v>
      </c>
    </row>
    <row r="6" spans="2:17" ht="18.75" customHeight="1" thickBot="1" x14ac:dyDescent="0.4">
      <c r="B6" s="10" t="s">
        <v>5</v>
      </c>
      <c r="C6" s="258">
        <v>2.5</v>
      </c>
      <c r="D6" s="194">
        <f>+D3*1.5</f>
        <v>304.56</v>
      </c>
      <c r="E6" s="196">
        <f>C6*D6</f>
        <v>761.4</v>
      </c>
      <c r="F6" s="416"/>
      <c r="H6" s="236" t="s">
        <v>28</v>
      </c>
      <c r="I6" s="356">
        <f>+E52+E54</f>
        <v>38016</v>
      </c>
      <c r="J6" s="356">
        <f>+E53</f>
        <v>3456</v>
      </c>
      <c r="K6" s="336">
        <f>+E55+E56</f>
        <v>1458</v>
      </c>
      <c r="L6" s="357">
        <f>+E57</f>
        <v>13000</v>
      </c>
      <c r="M6" s="354">
        <f t="shared" si="0"/>
        <v>55930</v>
      </c>
      <c r="N6" s="340">
        <f>+E59</f>
        <v>10000</v>
      </c>
      <c r="O6" s="249">
        <v>0</v>
      </c>
      <c r="P6" s="235">
        <f t="shared" si="1"/>
        <v>45930</v>
      </c>
    </row>
    <row r="7" spans="2:17" ht="18.75" customHeight="1" thickBot="1" x14ac:dyDescent="0.4">
      <c r="B7" s="10" t="s">
        <v>139</v>
      </c>
      <c r="C7" s="258">
        <v>0</v>
      </c>
      <c r="D7" s="194">
        <f>+D5*2</f>
        <v>406.08</v>
      </c>
      <c r="E7" s="196">
        <f>+C7*D7</f>
        <v>0</v>
      </c>
      <c r="F7" s="416"/>
      <c r="H7" s="236" t="s">
        <v>17</v>
      </c>
      <c r="I7" s="356">
        <f>+E64+E66</f>
        <v>27720</v>
      </c>
      <c r="J7" s="356">
        <f>+E65</f>
        <v>2534.4</v>
      </c>
      <c r="K7" s="336">
        <f>+E67+E68</f>
        <v>2257.2000000000003</v>
      </c>
      <c r="L7" s="357">
        <f>+E69</f>
        <v>8000</v>
      </c>
      <c r="M7" s="354">
        <f t="shared" si="0"/>
        <v>40511.600000000006</v>
      </c>
      <c r="N7" s="340">
        <f>+E71</f>
        <v>0</v>
      </c>
      <c r="O7" s="249">
        <v>0</v>
      </c>
      <c r="P7" s="235">
        <f t="shared" si="1"/>
        <v>40511.600000000006</v>
      </c>
    </row>
    <row r="8" spans="2:17" ht="18.75" customHeight="1" thickBot="1" x14ac:dyDescent="0.4">
      <c r="B8" s="10" t="s">
        <v>6</v>
      </c>
      <c r="C8" s="258">
        <v>8000</v>
      </c>
      <c r="D8" s="194"/>
      <c r="E8" s="196">
        <f>+C8</f>
        <v>8000</v>
      </c>
      <c r="F8" s="421"/>
      <c r="G8" s="1310"/>
      <c r="H8" s="245" t="s">
        <v>42</v>
      </c>
      <c r="I8" s="361">
        <f>+E77</f>
        <v>30000</v>
      </c>
      <c r="J8" s="361">
        <v>0</v>
      </c>
      <c r="K8" s="362">
        <f>+E78</f>
        <v>3375</v>
      </c>
      <c r="L8" s="362">
        <v>0</v>
      </c>
      <c r="M8" s="354">
        <f t="shared" si="0"/>
        <v>33375</v>
      </c>
      <c r="N8" s="342">
        <v>0</v>
      </c>
      <c r="O8" s="251">
        <v>0</v>
      </c>
      <c r="P8" s="235">
        <f t="shared" si="1"/>
        <v>33375</v>
      </c>
    </row>
    <row r="9" spans="2:17" ht="18.75" customHeight="1" thickBot="1" x14ac:dyDescent="0.4">
      <c r="B9" s="1323" t="s">
        <v>99</v>
      </c>
      <c r="C9" s="1324"/>
      <c r="D9" s="1324"/>
      <c r="E9" s="304">
        <f>SUM(E3:E8)</f>
        <v>47745.08</v>
      </c>
      <c r="F9" s="422"/>
      <c r="G9" s="1310"/>
      <c r="H9" s="1332" t="s">
        <v>124</v>
      </c>
      <c r="I9" s="1333"/>
      <c r="J9" s="1333"/>
      <c r="K9" s="1333"/>
      <c r="L9" s="1333"/>
      <c r="M9" s="1334"/>
      <c r="N9" s="256">
        <f>SUM(N2:N8)</f>
        <v>30000</v>
      </c>
      <c r="O9" s="256">
        <f>SUM(O2:O8)</f>
        <v>53345.56</v>
      </c>
      <c r="P9" s="256">
        <f>SUM(P2:P8)</f>
        <v>263243.92000000004</v>
      </c>
    </row>
    <row r="10" spans="2:17" ht="18.75" customHeight="1" thickBot="1" x14ac:dyDescent="0.4">
      <c r="B10" s="1339" t="s">
        <v>19</v>
      </c>
      <c r="C10" s="1340"/>
      <c r="D10" s="1341"/>
      <c r="E10" s="302">
        <v>0</v>
      </c>
      <c r="F10" s="422"/>
      <c r="G10" s="1310"/>
      <c r="H10" s="248"/>
      <c r="I10" s="248"/>
      <c r="J10" s="248"/>
      <c r="K10" s="248"/>
      <c r="L10" s="248"/>
      <c r="M10" s="248"/>
      <c r="N10" s="1318">
        <f>+O9+P9+N9</f>
        <v>346589.48000000004</v>
      </c>
      <c r="O10" s="1319"/>
      <c r="P10" s="1320"/>
    </row>
    <row r="11" spans="2:17" ht="18.75" customHeight="1" thickBot="1" x14ac:dyDescent="0.4">
      <c r="B11" s="1336" t="s">
        <v>18</v>
      </c>
      <c r="C11" s="1337"/>
      <c r="D11" s="1338"/>
      <c r="E11" s="198">
        <v>26672.78</v>
      </c>
      <c r="F11" s="419"/>
      <c r="G11" s="176"/>
      <c r="H11" s="433"/>
      <c r="I11" s="434"/>
      <c r="J11" s="434"/>
      <c r="K11" s="176"/>
    </row>
    <row r="12" spans="2:17" ht="18.75" customHeight="1" thickBot="1" x14ac:dyDescent="0.4">
      <c r="B12" s="1296" t="s">
        <v>11</v>
      </c>
      <c r="C12" s="1297"/>
      <c r="D12" s="1335"/>
      <c r="E12" s="303">
        <f>+E9-E11</f>
        <v>21072.300000000003</v>
      </c>
      <c r="F12" s="420"/>
      <c r="H12" s="321"/>
      <c r="I12" s="321"/>
      <c r="J12" s="321"/>
      <c r="L12" s="57"/>
      <c r="M12" s="61" t="s">
        <v>29</v>
      </c>
      <c r="N12" s="61" t="s">
        <v>30</v>
      </c>
      <c r="O12" s="62" t="s">
        <v>32</v>
      </c>
    </row>
    <row r="13" spans="2:17" s="426" customFormat="1" ht="18.75" customHeight="1" thickBot="1" x14ac:dyDescent="0.4">
      <c r="B13"/>
      <c r="C13" s="261"/>
      <c r="D13" s="202"/>
      <c r="E13" s="203"/>
      <c r="F13" s="414"/>
      <c r="G13"/>
      <c r="H13"/>
      <c r="I13"/>
      <c r="J13"/>
      <c r="K13" s="4"/>
      <c r="L13" s="172" t="s">
        <v>0</v>
      </c>
      <c r="M13" s="63">
        <f>194*1.2</f>
        <v>232.79999999999998</v>
      </c>
      <c r="N13" s="173">
        <f t="shared" ref="N13:N18" si="2">+M13*1.5</f>
        <v>349.2</v>
      </c>
      <c r="O13" s="175">
        <v>13500</v>
      </c>
      <c r="P13"/>
      <c r="Q13"/>
    </row>
    <row r="14" spans="2:17" ht="18.75" customHeight="1" thickBot="1" x14ac:dyDescent="0.4">
      <c r="B14" s="1273" t="s">
        <v>15</v>
      </c>
      <c r="C14" s="1274"/>
      <c r="D14" s="1274"/>
      <c r="E14" s="1275"/>
      <c r="F14" s="415"/>
      <c r="G14" s="4"/>
      <c r="H14" s="322" t="s">
        <v>106</v>
      </c>
      <c r="I14" s="323" t="s">
        <v>107</v>
      </c>
      <c r="J14" s="323" t="s">
        <v>123</v>
      </c>
      <c r="L14" s="58" t="s">
        <v>28</v>
      </c>
      <c r="M14" s="64">
        <f>180*1.2</f>
        <v>216</v>
      </c>
      <c r="N14" s="50">
        <f t="shared" si="2"/>
        <v>324</v>
      </c>
      <c r="O14" s="53">
        <v>13000</v>
      </c>
      <c r="Q14" s="426"/>
    </row>
    <row r="15" spans="2:17" ht="18.75" customHeight="1" thickBot="1" x14ac:dyDescent="0.4">
      <c r="B15" s="16" t="s">
        <v>7</v>
      </c>
      <c r="C15" s="257" t="s">
        <v>8</v>
      </c>
      <c r="D15" s="192" t="s">
        <v>4</v>
      </c>
      <c r="E15" s="193" t="s">
        <v>9</v>
      </c>
      <c r="F15" s="416"/>
      <c r="G15" s="363" t="s">
        <v>116</v>
      </c>
      <c r="H15" s="326">
        <v>16</v>
      </c>
      <c r="I15" s="327">
        <v>9</v>
      </c>
      <c r="J15" s="427">
        <f>+H15*I15</f>
        <v>144</v>
      </c>
      <c r="L15" s="58" t="s">
        <v>15</v>
      </c>
      <c r="M15" s="64">
        <f>180*1.2</f>
        <v>216</v>
      </c>
      <c r="N15" s="50">
        <f t="shared" si="2"/>
        <v>324</v>
      </c>
      <c r="O15" s="53">
        <v>13000</v>
      </c>
      <c r="Q15" s="426"/>
    </row>
    <row r="16" spans="2:17" ht="18.75" customHeight="1" x14ac:dyDescent="0.35">
      <c r="B16" s="10" t="s">
        <v>3</v>
      </c>
      <c r="C16" s="258">
        <v>176</v>
      </c>
      <c r="D16" s="194">
        <v>232.8</v>
      </c>
      <c r="E16" s="196">
        <f>C16*D16</f>
        <v>40972.800000000003</v>
      </c>
      <c r="F16" s="416"/>
      <c r="G16" s="364" t="s">
        <v>111</v>
      </c>
      <c r="H16" s="344">
        <v>2</v>
      </c>
      <c r="I16" s="345">
        <v>8</v>
      </c>
      <c r="J16" s="427">
        <f>+H16*I16</f>
        <v>16</v>
      </c>
      <c r="L16" s="58" t="s">
        <v>10</v>
      </c>
      <c r="M16" s="64">
        <f>169.2*1.2</f>
        <v>203.04</v>
      </c>
      <c r="N16" s="50">
        <f t="shared" si="2"/>
        <v>304.56</v>
      </c>
      <c r="O16" s="53">
        <v>8000</v>
      </c>
      <c r="Q16" s="426"/>
    </row>
    <row r="17" spans="1:16" ht="18.75" customHeight="1" thickBot="1" x14ac:dyDescent="0.4">
      <c r="B17" s="10" t="s">
        <v>155</v>
      </c>
      <c r="C17" s="258">
        <v>0</v>
      </c>
      <c r="D17" s="194"/>
      <c r="E17" s="196">
        <v>0</v>
      </c>
      <c r="F17" s="416"/>
      <c r="G17" s="364" t="s">
        <v>117</v>
      </c>
      <c r="H17" s="328">
        <v>4</v>
      </c>
      <c r="I17" s="329">
        <v>8</v>
      </c>
      <c r="J17" s="325">
        <f>+H17*I17</f>
        <v>32</v>
      </c>
      <c r="L17" s="59" t="s">
        <v>16</v>
      </c>
      <c r="M17" s="64">
        <f>156*1.2</f>
        <v>187.2</v>
      </c>
      <c r="N17" s="50">
        <f t="shared" si="2"/>
        <v>280.79999999999995</v>
      </c>
      <c r="O17" s="53">
        <v>8000</v>
      </c>
    </row>
    <row r="18" spans="1:16" ht="18.75" customHeight="1" thickBot="1" x14ac:dyDescent="0.4">
      <c r="B18" s="10" t="s">
        <v>111</v>
      </c>
      <c r="C18" s="258">
        <v>16</v>
      </c>
      <c r="D18" s="194">
        <v>232.8</v>
      </c>
      <c r="E18" s="196">
        <f>C18*D18</f>
        <v>3724.8</v>
      </c>
      <c r="F18" s="416"/>
      <c r="G18" s="311"/>
      <c r="H18" s="1311" t="s">
        <v>108</v>
      </c>
      <c r="I18" s="1312"/>
      <c r="J18" s="330">
        <f>SUM(J15:J17)</f>
        <v>192</v>
      </c>
      <c r="L18" s="60" t="s">
        <v>17</v>
      </c>
      <c r="M18" s="65">
        <f>132*1.2</f>
        <v>158.4</v>
      </c>
      <c r="N18" s="56">
        <f t="shared" si="2"/>
        <v>237.60000000000002</v>
      </c>
      <c r="O18" s="55">
        <v>8000</v>
      </c>
    </row>
    <row r="19" spans="1:16" ht="18.75" customHeight="1" thickBot="1" x14ac:dyDescent="0.4">
      <c r="B19" s="10" t="s">
        <v>139</v>
      </c>
      <c r="C19" s="258">
        <v>0</v>
      </c>
      <c r="D19" s="194">
        <f>+D16*2</f>
        <v>465.6</v>
      </c>
      <c r="E19" s="196">
        <f>C19*D19</f>
        <v>0</v>
      </c>
      <c r="F19" s="416"/>
      <c r="G19" s="156"/>
      <c r="H19" s="248"/>
      <c r="I19" s="432"/>
      <c r="J19" s="425"/>
      <c r="L19" s="318"/>
      <c r="M19" s="50"/>
      <c r="N19" s="50"/>
      <c r="O19" s="50"/>
      <c r="P19" s="4"/>
    </row>
    <row r="20" spans="1:16" ht="18.75" customHeight="1" x14ac:dyDescent="0.35">
      <c r="B20" s="10" t="s">
        <v>5</v>
      </c>
      <c r="C20" s="315">
        <v>10.5</v>
      </c>
      <c r="D20" s="194">
        <f>+D16*1.5</f>
        <v>349.20000000000005</v>
      </c>
      <c r="E20" s="196">
        <f>C20*D20</f>
        <v>3666.6000000000004</v>
      </c>
      <c r="F20" s="421" t="s">
        <v>168</v>
      </c>
      <c r="I20" s="1358" t="s">
        <v>156</v>
      </c>
      <c r="J20" s="1359"/>
      <c r="K20" s="432"/>
      <c r="L20" s="66"/>
      <c r="M20" s="49"/>
      <c r="N20" s="49"/>
      <c r="P20" s="50"/>
    </row>
    <row r="21" spans="1:16" ht="18.75" customHeight="1" thickBot="1" x14ac:dyDescent="0.4">
      <c r="B21" s="10" t="s">
        <v>6</v>
      </c>
      <c r="C21" s="258">
        <v>13000</v>
      </c>
      <c r="D21" s="194"/>
      <c r="E21" s="196">
        <f>+C21</f>
        <v>13000</v>
      </c>
      <c r="F21" s="422">
        <f>9*D20</f>
        <v>3142.8</v>
      </c>
      <c r="I21" s="1361" t="s">
        <v>160</v>
      </c>
      <c r="J21" s="1362"/>
      <c r="L21" s="51"/>
      <c r="M21" s="49"/>
      <c r="N21" s="49"/>
    </row>
    <row r="22" spans="1:16" ht="18.75" customHeight="1" thickBot="1" x14ac:dyDescent="0.4">
      <c r="B22" s="1323" t="s">
        <v>99</v>
      </c>
      <c r="C22" s="1324"/>
      <c r="D22" s="1324"/>
      <c r="E22" s="304">
        <f>SUM(E16:E21)</f>
        <v>61364.200000000004</v>
      </c>
      <c r="F22" s="419"/>
      <c r="I22" s="391">
        <v>44419</v>
      </c>
      <c r="J22" s="393">
        <v>3</v>
      </c>
    </row>
    <row r="23" spans="1:16" ht="18.75" customHeight="1" thickBot="1" x14ac:dyDescent="0.4">
      <c r="B23" s="1329" t="s">
        <v>19</v>
      </c>
      <c r="C23" s="1330"/>
      <c r="D23" s="1331"/>
      <c r="E23" s="207">
        <v>10000</v>
      </c>
      <c r="F23" s="420"/>
      <c r="I23" s="392">
        <v>44425</v>
      </c>
      <c r="J23" s="393">
        <v>2</v>
      </c>
    </row>
    <row r="24" spans="1:16" s="4" customFormat="1" ht="18.75" customHeight="1" thickBot="1" x14ac:dyDescent="0.5">
      <c r="B24" s="1296" t="s">
        <v>11</v>
      </c>
      <c r="C24" s="1297"/>
      <c r="D24" s="1298"/>
      <c r="E24" s="201">
        <f>+E22-E23</f>
        <v>51364.200000000004</v>
      </c>
      <c r="F24" s="412"/>
      <c r="I24" s="392">
        <v>44426</v>
      </c>
      <c r="J24" s="393">
        <v>1.5</v>
      </c>
      <c r="K24"/>
      <c r="L24"/>
      <c r="M24"/>
      <c r="N24"/>
      <c r="O24"/>
      <c r="P24"/>
    </row>
    <row r="25" spans="1:16" ht="18.75" customHeight="1" thickBot="1" x14ac:dyDescent="0.4">
      <c r="F25" s="423"/>
      <c r="I25" s="403">
        <v>44439</v>
      </c>
      <c r="J25" s="436">
        <v>1</v>
      </c>
      <c r="K25" t="s">
        <v>164</v>
      </c>
    </row>
    <row r="26" spans="1:16" ht="18.75" customHeight="1" thickBot="1" x14ac:dyDescent="0.5">
      <c r="A26" s="426"/>
      <c r="B26" s="1315" t="s">
        <v>16</v>
      </c>
      <c r="C26" s="1316"/>
      <c r="D26" s="1316"/>
      <c r="E26" s="1317"/>
      <c r="F26" s="413"/>
      <c r="I26" s="1349" t="s">
        <v>134</v>
      </c>
      <c r="J26" s="1360"/>
      <c r="K26" s="405"/>
    </row>
    <row r="27" spans="1:16" s="426" customFormat="1" ht="18.75" customHeight="1" x14ac:dyDescent="0.35">
      <c r="A27"/>
      <c r="B27" s="169" t="s">
        <v>7</v>
      </c>
      <c r="C27" s="266" t="s">
        <v>8</v>
      </c>
      <c r="D27" s="209" t="s">
        <v>4</v>
      </c>
      <c r="E27" s="210" t="s">
        <v>9</v>
      </c>
      <c r="F27" s="155"/>
      <c r="G27" s="106"/>
      <c r="H27"/>
      <c r="I27"/>
      <c r="J27"/>
      <c r="K27"/>
      <c r="L27"/>
      <c r="M27"/>
      <c r="N27"/>
      <c r="O27"/>
      <c r="P27"/>
    </row>
    <row r="28" spans="1:16" s="426" customFormat="1" ht="18.75" customHeight="1" x14ac:dyDescent="0.35">
      <c r="A28"/>
      <c r="B28" s="165" t="s">
        <v>3</v>
      </c>
      <c r="C28" s="267">
        <v>176</v>
      </c>
      <c r="D28" s="211">
        <v>187.2</v>
      </c>
      <c r="E28" s="212">
        <f>C28*D28</f>
        <v>32947.199999999997</v>
      </c>
      <c r="F28" s="155"/>
      <c r="G28" s="406" t="s">
        <v>157</v>
      </c>
      <c r="H28" s="284">
        <v>5</v>
      </c>
      <c r="I28"/>
      <c r="J28"/>
      <c r="K28"/>
      <c r="L28"/>
      <c r="M28"/>
      <c r="N28"/>
      <c r="O28"/>
      <c r="P28"/>
    </row>
    <row r="29" spans="1:16" ht="18.75" customHeight="1" x14ac:dyDescent="0.35">
      <c r="B29" s="165" t="s">
        <v>155</v>
      </c>
      <c r="C29" s="267">
        <v>0</v>
      </c>
      <c r="D29" s="211"/>
      <c r="E29" s="212">
        <v>0</v>
      </c>
      <c r="F29" s="155"/>
      <c r="G29" s="435" t="s">
        <v>16</v>
      </c>
      <c r="H29" s="435"/>
    </row>
    <row r="30" spans="1:16" ht="18.75" customHeight="1" thickBot="1" x14ac:dyDescent="0.4">
      <c r="B30" s="165" t="s">
        <v>111</v>
      </c>
      <c r="C30" s="267">
        <v>16</v>
      </c>
      <c r="D30" s="211">
        <v>156</v>
      </c>
      <c r="E30" s="212">
        <f>C30*D30</f>
        <v>2496</v>
      </c>
      <c r="F30" s="155"/>
    </row>
    <row r="31" spans="1:16" ht="18.75" customHeight="1" thickBot="1" x14ac:dyDescent="0.4">
      <c r="B31" s="165" t="s">
        <v>139</v>
      </c>
      <c r="C31" s="267">
        <v>0</v>
      </c>
      <c r="D31" s="211">
        <f>+D28*2</f>
        <v>374.4</v>
      </c>
      <c r="E31" s="212">
        <f>C31*D31</f>
        <v>0</v>
      </c>
      <c r="F31" s="106"/>
      <c r="I31" s="405"/>
    </row>
    <row r="32" spans="1:16" ht="18.75" customHeight="1" x14ac:dyDescent="0.35">
      <c r="B32" s="165" t="s">
        <v>5</v>
      </c>
      <c r="C32" s="267">
        <v>11.5</v>
      </c>
      <c r="D32" s="211">
        <f>+D28*1.5</f>
        <v>280.79999999999995</v>
      </c>
      <c r="E32" s="212">
        <f>C32*D32</f>
        <v>3229.1999999999994</v>
      </c>
    </row>
    <row r="33" spans="1:16" ht="18.75" customHeight="1" thickBot="1" x14ac:dyDescent="0.4">
      <c r="B33" s="165" t="s">
        <v>6</v>
      </c>
      <c r="C33" s="267">
        <v>8000</v>
      </c>
      <c r="D33" s="211"/>
      <c r="E33" s="212">
        <f>+C33</f>
        <v>8000</v>
      </c>
      <c r="G33" s="426"/>
      <c r="H33" s="426"/>
      <c r="I33" s="410"/>
      <c r="J33" s="181"/>
      <c r="K33" s="181"/>
    </row>
    <row r="34" spans="1:16" ht="18.75" customHeight="1" thickBot="1" x14ac:dyDescent="0.4">
      <c r="B34" s="1323" t="s">
        <v>99</v>
      </c>
      <c r="C34" s="1324"/>
      <c r="D34" s="1324"/>
      <c r="E34" s="304">
        <f>SUM(E28:E33)</f>
        <v>46672.399999999994</v>
      </c>
      <c r="G34" s="426"/>
      <c r="H34" s="426"/>
      <c r="I34" s="435"/>
      <c r="J34" s="181"/>
      <c r="K34" s="181"/>
      <c r="L34" s="180"/>
      <c r="M34" s="181"/>
      <c r="N34" s="181"/>
      <c r="O34" s="181"/>
    </row>
    <row r="35" spans="1:16" ht="18.75" customHeight="1" thickBot="1" x14ac:dyDescent="0.4">
      <c r="A35" s="106"/>
      <c r="B35" s="1352" t="s">
        <v>19</v>
      </c>
      <c r="C35" s="1353"/>
      <c r="D35" s="1354"/>
      <c r="E35" s="214">
        <v>10000</v>
      </c>
      <c r="K35" s="183"/>
      <c r="L35" s="180"/>
      <c r="M35" s="181"/>
      <c r="N35" s="181"/>
      <c r="O35" s="181"/>
    </row>
    <row r="36" spans="1:16" ht="18.75" customHeight="1" thickBot="1" x14ac:dyDescent="0.4">
      <c r="A36" s="155"/>
      <c r="B36" s="1355" t="s">
        <v>11</v>
      </c>
      <c r="C36" s="1356"/>
      <c r="D36" s="1357"/>
      <c r="E36" s="216">
        <f>+E34-E35</f>
        <v>36672.399999999994</v>
      </c>
      <c r="K36" s="183"/>
      <c r="L36" s="180"/>
      <c r="M36" s="181"/>
      <c r="N36" s="181"/>
      <c r="O36" s="181"/>
      <c r="P36" s="426"/>
    </row>
    <row r="37" spans="1:16" ht="69.75" customHeight="1" thickBot="1" x14ac:dyDescent="0.4">
      <c r="A37" s="155"/>
      <c r="F37" s="180"/>
      <c r="H37" s="183"/>
      <c r="K37" s="183"/>
      <c r="L37" s="180"/>
      <c r="M37" s="181"/>
      <c r="N37" s="181"/>
      <c r="O37" s="181"/>
    </row>
    <row r="38" spans="1:16" ht="18.75" customHeight="1" x14ac:dyDescent="0.35">
      <c r="A38" s="155"/>
      <c r="B38" s="1276" t="s">
        <v>0</v>
      </c>
      <c r="C38" s="1277"/>
      <c r="D38" s="1277"/>
      <c r="E38" s="1278"/>
      <c r="F38" s="155"/>
      <c r="H38" s="183"/>
      <c r="I38" s="426"/>
      <c r="J38" s="426"/>
      <c r="K38" s="183"/>
      <c r="L38" s="181"/>
      <c r="M38" s="181"/>
      <c r="N38" s="181"/>
    </row>
    <row r="39" spans="1:16" ht="18.75" customHeight="1" x14ac:dyDescent="0.35">
      <c r="A39" s="155"/>
      <c r="B39" s="8" t="s">
        <v>7</v>
      </c>
      <c r="C39" s="270" t="s">
        <v>8</v>
      </c>
      <c r="D39" s="217" t="s">
        <v>4</v>
      </c>
      <c r="E39" s="218" t="s">
        <v>9</v>
      </c>
      <c r="F39" s="155"/>
      <c r="G39" s="181"/>
      <c r="H39" s="181"/>
      <c r="I39" s="426"/>
      <c r="J39" s="426"/>
      <c r="K39" s="180"/>
      <c r="L39" s="181"/>
      <c r="M39" s="184"/>
    </row>
    <row r="40" spans="1:16" ht="18.75" customHeight="1" x14ac:dyDescent="0.35">
      <c r="A40" s="156"/>
      <c r="B40" s="10" t="s">
        <v>3</v>
      </c>
      <c r="C40" s="258">
        <v>176</v>
      </c>
      <c r="D40" s="194">
        <v>232.8</v>
      </c>
      <c r="E40" s="196">
        <f>C40*D40</f>
        <v>40972.800000000003</v>
      </c>
      <c r="F40" s="106"/>
      <c r="G40" s="409"/>
      <c r="H40" s="181"/>
      <c r="K40" s="181"/>
      <c r="L40" s="181"/>
      <c r="M40" s="184"/>
    </row>
    <row r="41" spans="1:16" s="426" customFormat="1" ht="18.75" customHeight="1" x14ac:dyDescent="0.35">
      <c r="A41" s="155"/>
      <c r="B41" s="10" t="s">
        <v>111</v>
      </c>
      <c r="C41" s="258">
        <v>16</v>
      </c>
      <c r="D41" s="194">
        <v>232.8</v>
      </c>
      <c r="E41" s="196">
        <f>C41*D41</f>
        <v>3724.8</v>
      </c>
      <c r="F41" s="106"/>
      <c r="G41" s="409"/>
      <c r="H41" s="181"/>
      <c r="I41"/>
      <c r="J41" s="183"/>
      <c r="K41" s="181"/>
      <c r="L41"/>
      <c r="M41"/>
      <c r="N41"/>
      <c r="O41"/>
      <c r="P41"/>
    </row>
    <row r="42" spans="1:16" ht="18.75" customHeight="1" x14ac:dyDescent="0.35">
      <c r="A42" s="155"/>
      <c r="B42" s="10" t="s">
        <v>139</v>
      </c>
      <c r="C42" s="258">
        <v>0</v>
      </c>
      <c r="D42" s="194">
        <f>+D40*2</f>
        <v>465.6</v>
      </c>
      <c r="E42" s="196">
        <f>C42*D42</f>
        <v>0</v>
      </c>
      <c r="F42" s="106"/>
      <c r="G42" s="409"/>
      <c r="H42" s="181"/>
      <c r="I42" s="183"/>
      <c r="J42" s="180"/>
      <c r="M42" s="426"/>
      <c r="N42" s="426"/>
      <c r="O42" s="426"/>
    </row>
    <row r="43" spans="1:16" ht="18.75" customHeight="1" x14ac:dyDescent="0.35">
      <c r="A43" s="155"/>
      <c r="B43" s="10" t="s">
        <v>5</v>
      </c>
      <c r="C43" s="315">
        <v>8</v>
      </c>
      <c r="D43" s="194">
        <f>+D40*1.5</f>
        <v>349.20000000000005</v>
      </c>
      <c r="E43" s="196">
        <f>C43*D43</f>
        <v>2793.6000000000004</v>
      </c>
      <c r="F43" s="106"/>
      <c r="G43" s="311"/>
      <c r="I43" s="183"/>
      <c r="J43" s="180"/>
      <c r="K43" s="184"/>
    </row>
    <row r="44" spans="1:16" ht="18.75" customHeight="1" thickBot="1" x14ac:dyDescent="0.4">
      <c r="A44" s="155"/>
      <c r="B44" s="10" t="s">
        <v>6</v>
      </c>
      <c r="C44" s="258">
        <v>13500</v>
      </c>
      <c r="D44" s="194"/>
      <c r="E44" s="196">
        <f>+C44</f>
        <v>13500</v>
      </c>
      <c r="F44" s="106"/>
      <c r="I44" s="181"/>
      <c r="J44" s="184"/>
      <c r="K44" s="184"/>
      <c r="L44" s="426"/>
      <c r="M44" s="426"/>
      <c r="N44" s="426"/>
      <c r="O44" s="426"/>
      <c r="P44" s="426"/>
    </row>
    <row r="45" spans="1:16" ht="18.75" customHeight="1" thickBot="1" x14ac:dyDescent="0.4">
      <c r="A45" s="155"/>
      <c r="B45" s="1323" t="s">
        <v>99</v>
      </c>
      <c r="C45" s="1324"/>
      <c r="D45" s="1324"/>
      <c r="E45" s="304">
        <f>SUM(E40:E44)</f>
        <v>60991.200000000004</v>
      </c>
      <c r="F45" s="106"/>
      <c r="I45" s="181"/>
      <c r="J45" s="181"/>
      <c r="K45" s="184"/>
      <c r="L45" s="180"/>
      <c r="M45" s="181"/>
      <c r="N45" s="187"/>
      <c r="O45" s="188"/>
    </row>
    <row r="46" spans="1:16" ht="18.75" customHeight="1" x14ac:dyDescent="0.35">
      <c r="B46" s="320" t="s">
        <v>19</v>
      </c>
      <c r="C46" s="319"/>
      <c r="D46" s="319"/>
      <c r="E46" s="343">
        <v>0</v>
      </c>
      <c r="F46" s="106"/>
      <c r="I46" s="181"/>
      <c r="J46" s="181"/>
      <c r="K46" s="185"/>
      <c r="L46" s="180"/>
      <c r="M46" s="181"/>
      <c r="N46" s="181"/>
      <c r="O46" s="184"/>
      <c r="P46" s="426"/>
    </row>
    <row r="47" spans="1:16" ht="18.75" customHeight="1" thickBot="1" x14ac:dyDescent="0.4">
      <c r="B47" s="1336" t="s">
        <v>18</v>
      </c>
      <c r="C47" s="1337"/>
      <c r="D47" s="1338"/>
      <c r="E47" s="198">
        <v>26672.78</v>
      </c>
      <c r="F47" s="106"/>
      <c r="I47" s="181"/>
      <c r="J47" s="181"/>
      <c r="K47" s="189"/>
      <c r="L47" s="180"/>
      <c r="M47" s="181"/>
      <c r="N47" s="181"/>
      <c r="O47" s="184"/>
    </row>
    <row r="48" spans="1:16" ht="18.75" customHeight="1" thickBot="1" x14ac:dyDescent="0.4">
      <c r="B48" s="1296" t="s">
        <v>11</v>
      </c>
      <c r="C48" s="1297"/>
      <c r="D48" s="1298"/>
      <c r="E48" s="201">
        <f>+E45-E46-E47</f>
        <v>34318.420000000006</v>
      </c>
      <c r="F48" s="317"/>
      <c r="G48" s="426"/>
      <c r="H48" s="115"/>
      <c r="K48" s="189"/>
      <c r="L48" s="180"/>
      <c r="M48" s="181"/>
      <c r="N48" s="181"/>
      <c r="O48" s="184"/>
    </row>
    <row r="49" spans="1:16" ht="18.75" customHeight="1" thickBot="1" x14ac:dyDescent="0.4">
      <c r="F49" s="317"/>
      <c r="G49" s="426"/>
      <c r="H49" s="115"/>
      <c r="K49" s="185"/>
      <c r="L49" s="180"/>
      <c r="M49" s="181"/>
      <c r="N49" s="181"/>
      <c r="O49" s="184"/>
    </row>
    <row r="50" spans="1:16" ht="18.75" customHeight="1" x14ac:dyDescent="0.35">
      <c r="A50" s="426"/>
      <c r="B50" s="1276" t="s">
        <v>28</v>
      </c>
      <c r="C50" s="1277"/>
      <c r="D50" s="1277"/>
      <c r="E50" s="1278"/>
      <c r="F50" s="389"/>
      <c r="K50" s="185"/>
      <c r="L50" s="191"/>
      <c r="M50" s="181"/>
      <c r="N50" s="181"/>
      <c r="O50" s="184"/>
    </row>
    <row r="51" spans="1:16" s="426" customFormat="1" ht="18.75" customHeight="1" x14ac:dyDescent="0.35">
      <c r="A51"/>
      <c r="B51" s="8" t="s">
        <v>7</v>
      </c>
      <c r="C51" s="270" t="s">
        <v>8</v>
      </c>
      <c r="D51" s="217" t="s">
        <v>4</v>
      </c>
      <c r="E51" s="218" t="s">
        <v>9</v>
      </c>
      <c r="F51" s="394"/>
      <c r="G51"/>
      <c r="H51"/>
      <c r="I51"/>
      <c r="J51"/>
      <c r="K51" s="182"/>
      <c r="L51" s="180"/>
      <c r="M51" s="181"/>
      <c r="N51" s="181"/>
      <c r="O51" s="184"/>
    </row>
    <row r="52" spans="1:16" ht="18.75" customHeight="1" x14ac:dyDescent="0.35">
      <c r="A52" s="426"/>
      <c r="B52" s="10" t="s">
        <v>3</v>
      </c>
      <c r="C52" s="315">
        <v>160</v>
      </c>
      <c r="D52" s="194">
        <v>216</v>
      </c>
      <c r="E52" s="196">
        <f>+C52*D52</f>
        <v>34560</v>
      </c>
      <c r="F52" s="114"/>
      <c r="K52" s="182"/>
      <c r="L52" s="180"/>
      <c r="M52" s="181"/>
      <c r="N52" s="181"/>
      <c r="O52" s="184"/>
      <c r="P52" s="426"/>
    </row>
    <row r="53" spans="1:16" s="426" customFormat="1" ht="18.75" customHeight="1" x14ac:dyDescent="0.35">
      <c r="A53"/>
      <c r="B53" s="10" t="s">
        <v>111</v>
      </c>
      <c r="C53" s="315">
        <v>16</v>
      </c>
      <c r="D53" s="194">
        <v>216</v>
      </c>
      <c r="E53" s="196">
        <f>C53*D53</f>
        <v>3456</v>
      </c>
      <c r="F53" s="49"/>
      <c r="G53"/>
      <c r="H53"/>
      <c r="I53" s="115"/>
      <c r="K53" s="176"/>
      <c r="L53" s="180"/>
      <c r="M53" s="181"/>
      <c r="N53" s="181"/>
      <c r="O53" s="184"/>
    </row>
    <row r="54" spans="1:16" ht="18.75" customHeight="1" x14ac:dyDescent="0.35">
      <c r="B54" s="438" t="s">
        <v>165</v>
      </c>
      <c r="C54" s="315">
        <v>16</v>
      </c>
      <c r="D54" s="194">
        <f>+D52</f>
        <v>216</v>
      </c>
      <c r="E54" s="196">
        <f>+C54*D54</f>
        <v>3456</v>
      </c>
      <c r="F54" s="428" t="s">
        <v>161</v>
      </c>
      <c r="I54" s="115"/>
      <c r="J54" s="426"/>
      <c r="K54" s="176"/>
      <c r="L54" s="180"/>
      <c r="M54" s="181"/>
      <c r="N54" s="181"/>
      <c r="O54" s="184"/>
    </row>
    <row r="55" spans="1:16" ht="18.75" customHeight="1" x14ac:dyDescent="0.35">
      <c r="B55" s="10" t="s">
        <v>139</v>
      </c>
      <c r="C55" s="315">
        <v>0</v>
      </c>
      <c r="D55" s="194">
        <f>+D52*2</f>
        <v>432</v>
      </c>
      <c r="E55" s="196">
        <f>C55*D55</f>
        <v>0</v>
      </c>
      <c r="F55" s="428" t="s">
        <v>162</v>
      </c>
      <c r="K55" s="176"/>
      <c r="L55" s="424"/>
      <c r="M55" s="181"/>
      <c r="N55" s="181"/>
      <c r="O55" s="184"/>
    </row>
    <row r="56" spans="1:16" ht="18.75" customHeight="1" x14ac:dyDescent="0.35">
      <c r="B56" s="10" t="s">
        <v>5</v>
      </c>
      <c r="C56" s="315">
        <v>4.5</v>
      </c>
      <c r="D56" s="194">
        <f>+D52*1.5</f>
        <v>324</v>
      </c>
      <c r="E56" s="196">
        <f>C56*D56</f>
        <v>1458</v>
      </c>
      <c r="F56" s="430" t="s">
        <v>163</v>
      </c>
      <c r="K56" s="424"/>
      <c r="L56" s="176"/>
      <c r="M56" s="181"/>
      <c r="N56" s="181"/>
      <c r="O56" s="184"/>
    </row>
    <row r="57" spans="1:16" ht="18.75" customHeight="1" thickBot="1" x14ac:dyDescent="0.4">
      <c r="B57" s="10" t="s">
        <v>6</v>
      </c>
      <c r="C57" s="258">
        <v>13000</v>
      </c>
      <c r="D57" s="194"/>
      <c r="E57" s="196">
        <f>+C57</f>
        <v>13000</v>
      </c>
      <c r="F57" s="429"/>
      <c r="G57" s="426"/>
      <c r="K57" s="176"/>
      <c r="L57" s="176"/>
      <c r="M57" s="176"/>
      <c r="N57" s="176"/>
      <c r="O57" s="176"/>
    </row>
    <row r="58" spans="1:16" ht="18.75" customHeight="1" thickBot="1" x14ac:dyDescent="0.4">
      <c r="B58" s="1323" t="s">
        <v>99</v>
      </c>
      <c r="C58" s="1324"/>
      <c r="D58" s="1324"/>
      <c r="E58" s="304">
        <f>SUM(E52:E57)</f>
        <v>55930</v>
      </c>
      <c r="F58" s="429"/>
      <c r="H58" s="426"/>
      <c r="K58" s="176"/>
      <c r="L58" s="183"/>
      <c r="M58" s="176"/>
      <c r="N58" s="176"/>
      <c r="O58" s="176"/>
    </row>
    <row r="59" spans="1:16" ht="18.75" customHeight="1" thickBot="1" x14ac:dyDescent="0.4">
      <c r="B59" s="1339" t="s">
        <v>19</v>
      </c>
      <c r="C59" s="1340"/>
      <c r="D59" s="1341"/>
      <c r="E59" s="198">
        <v>10000</v>
      </c>
      <c r="F59" s="429"/>
      <c r="K59" s="176"/>
      <c r="L59" s="176"/>
      <c r="M59" s="183"/>
      <c r="N59" s="183"/>
      <c r="O59" s="183"/>
    </row>
    <row r="60" spans="1:16" ht="18.75" customHeight="1" thickBot="1" x14ac:dyDescent="0.4">
      <c r="B60" s="1296" t="s">
        <v>11</v>
      </c>
      <c r="C60" s="1297"/>
      <c r="D60" s="1298"/>
      <c r="E60" s="201">
        <f>+E58-E59</f>
        <v>45930</v>
      </c>
      <c r="F60" s="429"/>
      <c r="K60" s="183"/>
      <c r="L60" s="176"/>
      <c r="M60" s="176"/>
      <c r="N60" s="176"/>
      <c r="O60" s="176"/>
    </row>
    <row r="61" spans="1:16" ht="18.75" customHeight="1" thickBot="1" x14ac:dyDescent="0.4">
      <c r="F61" s="429"/>
      <c r="K61" s="176"/>
      <c r="L61" s="176"/>
      <c r="M61" s="176"/>
      <c r="N61" s="176"/>
      <c r="O61" s="176"/>
    </row>
    <row r="62" spans="1:16" ht="18.75" customHeight="1" x14ac:dyDescent="0.35">
      <c r="B62" s="1276" t="s">
        <v>17</v>
      </c>
      <c r="C62" s="1277"/>
      <c r="D62" s="1277"/>
      <c r="E62" s="1278"/>
      <c r="F62" s="431"/>
      <c r="K62" s="176"/>
      <c r="L62" s="176"/>
      <c r="M62" s="176"/>
      <c r="N62" s="176"/>
      <c r="O62" s="176"/>
      <c r="P62" s="426"/>
    </row>
    <row r="63" spans="1:16" ht="18.75" customHeight="1" x14ac:dyDescent="0.35">
      <c r="B63" s="8" t="s">
        <v>7</v>
      </c>
      <c r="C63" s="270" t="s">
        <v>8</v>
      </c>
      <c r="D63" s="217" t="s">
        <v>4</v>
      </c>
      <c r="E63" s="218" t="s">
        <v>9</v>
      </c>
      <c r="F63" s="428" t="s">
        <v>158</v>
      </c>
      <c r="I63" s="426"/>
      <c r="J63" s="426"/>
      <c r="K63" s="176"/>
      <c r="L63" s="176"/>
      <c r="M63" s="176"/>
      <c r="N63" s="176"/>
      <c r="O63" s="176"/>
    </row>
    <row r="64" spans="1:16" ht="18.75" customHeight="1" x14ac:dyDescent="0.35">
      <c r="B64" s="10" t="s">
        <v>3</v>
      </c>
      <c r="C64" s="258">
        <v>167</v>
      </c>
      <c r="D64" s="194">
        <v>158.4</v>
      </c>
      <c r="E64" s="196">
        <f>C64*D64</f>
        <v>26452.799999999999</v>
      </c>
      <c r="F64" s="428" t="s">
        <v>159</v>
      </c>
      <c r="K64" s="176"/>
      <c r="L64" s="176"/>
      <c r="M64" s="176"/>
      <c r="N64" s="176"/>
      <c r="O64" s="176"/>
    </row>
    <row r="65" spans="2:15" ht="18.75" customHeight="1" x14ac:dyDescent="0.35">
      <c r="B65" s="10" t="s">
        <v>111</v>
      </c>
      <c r="C65" s="258">
        <v>16</v>
      </c>
      <c r="D65" s="194">
        <v>158.4</v>
      </c>
      <c r="E65" s="196">
        <f>C65*D65</f>
        <v>2534.4</v>
      </c>
      <c r="K65" s="176"/>
      <c r="L65" s="176"/>
      <c r="M65" s="176"/>
      <c r="N65" s="176"/>
      <c r="O65" s="176"/>
    </row>
    <row r="66" spans="2:15" ht="18.75" customHeight="1" x14ac:dyDescent="0.35">
      <c r="B66" s="438" t="s">
        <v>167</v>
      </c>
      <c r="C66" s="258">
        <v>8</v>
      </c>
      <c r="D66" s="194">
        <f>+D65</f>
        <v>158.4</v>
      </c>
      <c r="E66" s="196">
        <f>C66*D66</f>
        <v>1267.2</v>
      </c>
      <c r="K66" s="176"/>
      <c r="L66" s="176"/>
      <c r="M66" s="176"/>
      <c r="N66" s="176"/>
      <c r="O66" s="176"/>
    </row>
    <row r="67" spans="2:15" ht="18.75" customHeight="1" x14ac:dyDescent="0.35">
      <c r="B67" s="10" t="s">
        <v>139</v>
      </c>
      <c r="C67" s="258">
        <v>0</v>
      </c>
      <c r="D67" s="194">
        <f>+D64*2</f>
        <v>316.8</v>
      </c>
      <c r="E67" s="196">
        <f>C67*D67</f>
        <v>0</v>
      </c>
      <c r="K67" s="176"/>
      <c r="L67" s="176"/>
      <c r="M67" s="176"/>
      <c r="N67" s="176"/>
      <c r="O67" s="176"/>
    </row>
    <row r="68" spans="2:15" ht="18.75" customHeight="1" x14ac:dyDescent="0.35">
      <c r="B68" s="10" t="s">
        <v>166</v>
      </c>
      <c r="C68" s="258">
        <v>9.5</v>
      </c>
      <c r="D68" s="194">
        <f>+D64*1.5</f>
        <v>237.60000000000002</v>
      </c>
      <c r="E68" s="196">
        <f>C68*D68</f>
        <v>2257.2000000000003</v>
      </c>
      <c r="K68" s="176"/>
    </row>
    <row r="69" spans="2:15" ht="18.75" customHeight="1" thickBot="1" x14ac:dyDescent="0.4">
      <c r="B69" s="10" t="s">
        <v>6</v>
      </c>
      <c r="C69" s="258">
        <v>8000</v>
      </c>
      <c r="D69" s="194"/>
      <c r="E69" s="222">
        <v>8000</v>
      </c>
    </row>
    <row r="70" spans="2:15" ht="18.75" customHeight="1" thickBot="1" x14ac:dyDescent="0.4">
      <c r="B70" s="1323" t="s">
        <v>99</v>
      </c>
      <c r="C70" s="1324"/>
      <c r="D70" s="1324"/>
      <c r="E70" s="304">
        <f>SUM(E64:E69)</f>
        <v>40511.600000000006</v>
      </c>
    </row>
    <row r="71" spans="2:15" ht="18.75" customHeight="1" thickBot="1" x14ac:dyDescent="0.4">
      <c r="B71" s="1339" t="s">
        <v>19</v>
      </c>
      <c r="C71" s="1340"/>
      <c r="D71" s="1341"/>
      <c r="E71" s="199">
        <v>0</v>
      </c>
    </row>
    <row r="72" spans="2:15" ht="18.75" customHeight="1" thickBot="1" x14ac:dyDescent="0.4">
      <c r="B72" s="1296" t="s">
        <v>11</v>
      </c>
      <c r="C72" s="1297"/>
      <c r="D72" s="1298"/>
      <c r="E72" s="201">
        <f>+E70-E71</f>
        <v>40511.600000000006</v>
      </c>
    </row>
    <row r="74" spans="2:15" ht="18.75" customHeight="1" thickBot="1" x14ac:dyDescent="0.4"/>
    <row r="75" spans="2:15" ht="18.75" customHeight="1" x14ac:dyDescent="0.35">
      <c r="B75" s="1276" t="s">
        <v>39</v>
      </c>
      <c r="C75" s="1277"/>
      <c r="D75" s="1277"/>
      <c r="E75" s="1278"/>
    </row>
    <row r="76" spans="2:15" ht="18.75" customHeight="1" x14ac:dyDescent="0.35">
      <c r="B76" s="8" t="s">
        <v>7</v>
      </c>
      <c r="C76" s="270" t="s">
        <v>8</v>
      </c>
      <c r="D76" s="217" t="s">
        <v>4</v>
      </c>
      <c r="E76" s="218" t="s">
        <v>9</v>
      </c>
      <c r="F76" s="426"/>
    </row>
    <row r="77" spans="2:15" ht="18.75" customHeight="1" x14ac:dyDescent="0.35">
      <c r="B77" s="10" t="s">
        <v>3</v>
      </c>
      <c r="C77" s="258"/>
      <c r="D77" s="194"/>
      <c r="E77" s="196">
        <v>30000</v>
      </c>
    </row>
    <row r="78" spans="2:15" ht="18.75" customHeight="1" thickBot="1" x14ac:dyDescent="0.4">
      <c r="B78" s="10" t="s">
        <v>5</v>
      </c>
      <c r="C78" s="258">
        <v>12</v>
      </c>
      <c r="D78" s="194">
        <f>+E77/8/20*(1.5)</f>
        <v>281.25</v>
      </c>
      <c r="E78" s="196">
        <f>C78*D78</f>
        <v>3375</v>
      </c>
    </row>
    <row r="79" spans="2:15" ht="18.75" customHeight="1" thickBot="1" x14ac:dyDescent="0.4">
      <c r="B79" s="12" t="s">
        <v>11</v>
      </c>
      <c r="C79" s="272"/>
      <c r="D79" s="223"/>
      <c r="E79" s="201">
        <f>+E77+E78</f>
        <v>33375</v>
      </c>
    </row>
    <row r="80" spans="2:15" ht="18.75" customHeight="1" x14ac:dyDescent="0.35">
      <c r="F80" s="114"/>
    </row>
    <row r="82" spans="3:5" ht="18.75" customHeight="1" x14ac:dyDescent="0.35">
      <c r="C82"/>
      <c r="D82"/>
      <c r="E82"/>
    </row>
    <row r="86" spans="3:5" ht="18.75" customHeight="1" x14ac:dyDescent="0.35">
      <c r="C86"/>
      <c r="D86"/>
      <c r="E86"/>
    </row>
  </sheetData>
  <mergeCells count="33">
    <mergeCell ref="I26:J26"/>
    <mergeCell ref="I21:J21"/>
    <mergeCell ref="B71:D71"/>
    <mergeCell ref="B26:E26"/>
    <mergeCell ref="B34:D34"/>
    <mergeCell ref="B35:D35"/>
    <mergeCell ref="B36:D36"/>
    <mergeCell ref="B23:D23"/>
    <mergeCell ref="B24:D24"/>
    <mergeCell ref="B38:E38"/>
    <mergeCell ref="B45:D45"/>
    <mergeCell ref="B47:D47"/>
    <mergeCell ref="B48:D48"/>
    <mergeCell ref="B50:E50"/>
    <mergeCell ref="B75:E75"/>
    <mergeCell ref="B58:D58"/>
    <mergeCell ref="B59:D59"/>
    <mergeCell ref="B60:D60"/>
    <mergeCell ref="B62:E62"/>
    <mergeCell ref="B70:D70"/>
    <mergeCell ref="B72:D72"/>
    <mergeCell ref="N10:P10"/>
    <mergeCell ref="B12:D12"/>
    <mergeCell ref="B14:E14"/>
    <mergeCell ref="B22:D22"/>
    <mergeCell ref="B11:D11"/>
    <mergeCell ref="H18:I18"/>
    <mergeCell ref="I20:J20"/>
    <mergeCell ref="B1:E1"/>
    <mergeCell ref="G8:G10"/>
    <mergeCell ref="B9:D9"/>
    <mergeCell ref="B10:D10"/>
    <mergeCell ref="H9:M9"/>
  </mergeCells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0"/>
  <sheetViews>
    <sheetView workbookViewId="0">
      <selection activeCell="A6" sqref="A6"/>
    </sheetView>
  </sheetViews>
  <sheetFormatPr baseColWidth="10" defaultRowHeight="14.5" x14ac:dyDescent="0.35"/>
  <cols>
    <col min="2" max="2" width="20.90625" customWidth="1"/>
    <col min="3" max="3" width="18.90625" style="261" customWidth="1"/>
    <col min="4" max="4" width="19.90625" style="202" customWidth="1"/>
    <col min="5" max="5" width="18.54296875" style="203" customWidth="1"/>
    <col min="6" max="6" width="20" bestFit="1" customWidth="1"/>
    <col min="7" max="7" width="10.08984375" customWidth="1"/>
    <col min="8" max="8" width="12.6328125" customWidth="1"/>
    <col min="9" max="9" width="14.08984375" customWidth="1"/>
    <col min="10" max="10" width="12.54296875" customWidth="1"/>
    <col min="11" max="11" width="14.6328125" customWidth="1"/>
    <col min="12" max="12" width="14.54296875" bestFit="1" customWidth="1"/>
    <col min="13" max="13" width="13" customWidth="1"/>
    <col min="14" max="14" width="13.453125" customWidth="1"/>
    <col min="15" max="15" width="14.453125" bestFit="1" customWidth="1"/>
    <col min="16" max="16" width="14.08984375" customWidth="1"/>
  </cols>
  <sheetData>
    <row r="1" spans="2:17" ht="18.75" customHeight="1" thickBot="1" x14ac:dyDescent="0.4">
      <c r="B1" s="1273" t="s">
        <v>10</v>
      </c>
      <c r="C1" s="1274"/>
      <c r="D1" s="1274"/>
      <c r="E1" s="1275"/>
      <c r="F1" s="414"/>
      <c r="H1" s="80" t="s">
        <v>20</v>
      </c>
      <c r="I1" s="74" t="s">
        <v>8</v>
      </c>
      <c r="J1" s="74" t="s">
        <v>112</v>
      </c>
      <c r="K1" s="74" t="s">
        <v>44</v>
      </c>
      <c r="L1" s="81" t="s">
        <v>43</v>
      </c>
      <c r="M1" s="74" t="s">
        <v>24</v>
      </c>
      <c r="N1" s="74" t="s">
        <v>19</v>
      </c>
      <c r="O1" s="74" t="s">
        <v>18</v>
      </c>
      <c r="P1" s="68" t="s">
        <v>23</v>
      </c>
    </row>
    <row r="2" spans="2:17" s="442" customFormat="1" ht="18.75" customHeight="1" thickBot="1" x14ac:dyDescent="0.4">
      <c r="B2" s="16" t="s">
        <v>7</v>
      </c>
      <c r="C2" s="257" t="s">
        <v>8</v>
      </c>
      <c r="D2" s="192" t="s">
        <v>4</v>
      </c>
      <c r="E2" s="193" t="s">
        <v>9</v>
      </c>
      <c r="F2" s="415"/>
      <c r="H2" s="230" t="s">
        <v>10</v>
      </c>
      <c r="I2" s="351">
        <f>+E3</f>
        <v>39389.760000000002</v>
      </c>
      <c r="J2" s="352">
        <f>+E5</f>
        <v>0</v>
      </c>
      <c r="K2" s="335">
        <f>+E6+E7+E4</f>
        <v>304.56</v>
      </c>
      <c r="L2" s="353">
        <f>+E8</f>
        <v>8000</v>
      </c>
      <c r="M2" s="447">
        <f t="shared" ref="M2:M9" si="0">SUM(I2:L2)</f>
        <v>47694.32</v>
      </c>
      <c r="N2" s="339">
        <f>+E10</f>
        <v>0</v>
      </c>
      <c r="O2" s="437">
        <f>+E11</f>
        <v>28979.54</v>
      </c>
      <c r="P2" s="235">
        <f>+M2-N2-O2</f>
        <v>18714.78</v>
      </c>
    </row>
    <row r="3" spans="2:17" ht="18.75" customHeight="1" thickBot="1" x14ac:dyDescent="0.4">
      <c r="B3" s="10" t="s">
        <v>3</v>
      </c>
      <c r="C3" s="258">
        <v>194</v>
      </c>
      <c r="D3" s="227">
        <v>203.04</v>
      </c>
      <c r="E3" s="196">
        <f>C3*D3</f>
        <v>39389.760000000002</v>
      </c>
      <c r="F3" s="416"/>
      <c r="H3" s="236" t="s">
        <v>15</v>
      </c>
      <c r="I3" s="355">
        <f>+E16</f>
        <v>45163.200000000004</v>
      </c>
      <c r="J3" s="356">
        <f>+E18</f>
        <v>0</v>
      </c>
      <c r="K3" s="336">
        <f>+E21+E20+E17</f>
        <v>0</v>
      </c>
      <c r="L3" s="357">
        <f>+E22</f>
        <v>13000</v>
      </c>
      <c r="M3" s="447">
        <f t="shared" si="0"/>
        <v>58163.200000000004</v>
      </c>
      <c r="N3" s="340">
        <f>+E24</f>
        <v>0</v>
      </c>
      <c r="O3" s="249">
        <v>0</v>
      </c>
      <c r="P3" s="235">
        <f t="shared" ref="P3:P9" si="1">+M3-N3-O3</f>
        <v>58163.200000000004</v>
      </c>
    </row>
    <row r="4" spans="2:17" ht="18.75" customHeight="1" thickBot="1" x14ac:dyDescent="0.4">
      <c r="B4" s="10" t="s">
        <v>155</v>
      </c>
      <c r="C4" s="258">
        <v>0</v>
      </c>
      <c r="D4" s="227"/>
      <c r="E4" s="196"/>
      <c r="F4" s="416"/>
      <c r="H4" s="236" t="s">
        <v>16</v>
      </c>
      <c r="I4" s="355">
        <f>+E29</f>
        <v>36316.799999999996</v>
      </c>
      <c r="J4" s="356">
        <f>+E31</f>
        <v>0</v>
      </c>
      <c r="K4" s="336">
        <f>+E32+E33+E30</f>
        <v>0</v>
      </c>
      <c r="L4" s="357">
        <f>+E34</f>
        <v>8000</v>
      </c>
      <c r="M4" s="447">
        <f t="shared" si="0"/>
        <v>44316.799999999996</v>
      </c>
      <c r="N4" s="340">
        <f>+E36</f>
        <v>10000</v>
      </c>
      <c r="O4" s="249">
        <v>0</v>
      </c>
      <c r="P4" s="235">
        <f t="shared" si="1"/>
        <v>34316.799999999996</v>
      </c>
    </row>
    <row r="5" spans="2:17" ht="18.75" customHeight="1" thickBot="1" x14ac:dyDescent="0.4">
      <c r="B5" s="10" t="s">
        <v>111</v>
      </c>
      <c r="C5" s="258">
        <v>0</v>
      </c>
      <c r="D5" s="227">
        <v>203.04</v>
      </c>
      <c r="E5" s="196">
        <f>C5*D5</f>
        <v>0</v>
      </c>
      <c r="F5" s="416"/>
      <c r="H5" s="236" t="s">
        <v>0</v>
      </c>
      <c r="I5" s="355">
        <f>+E41</f>
        <v>45163.200000000004</v>
      </c>
      <c r="J5" s="356">
        <f>+E42</f>
        <v>0</v>
      </c>
      <c r="K5" s="336">
        <f>+E44+E43</f>
        <v>1746.0000000000002</v>
      </c>
      <c r="L5" s="357">
        <f>+E45</f>
        <v>13500</v>
      </c>
      <c r="M5" s="447">
        <f t="shared" si="0"/>
        <v>60409.200000000004</v>
      </c>
      <c r="N5" s="340">
        <f>+E47</f>
        <v>0</v>
      </c>
      <c r="O5" s="249">
        <f>+E48</f>
        <v>29538.76</v>
      </c>
      <c r="P5" s="235">
        <f t="shared" si="1"/>
        <v>30870.440000000006</v>
      </c>
    </row>
    <row r="6" spans="2:17" ht="18.75" customHeight="1" thickBot="1" x14ac:dyDescent="0.4">
      <c r="B6" s="10" t="s">
        <v>5</v>
      </c>
      <c r="C6" s="258">
        <v>1</v>
      </c>
      <c r="D6" s="194">
        <f>+D3*1.5</f>
        <v>304.56</v>
      </c>
      <c r="E6" s="196">
        <f>C6*D6</f>
        <v>304.56</v>
      </c>
      <c r="F6" s="416"/>
      <c r="H6" s="236" t="s">
        <v>28</v>
      </c>
      <c r="I6" s="356">
        <f>+E53</f>
        <v>41904</v>
      </c>
      <c r="J6" s="356">
        <f>+E54</f>
        <v>0</v>
      </c>
      <c r="K6" s="336">
        <f>+E55+E56</f>
        <v>0</v>
      </c>
      <c r="L6" s="357">
        <f>+E57</f>
        <v>13000</v>
      </c>
      <c r="M6" s="447">
        <f t="shared" si="0"/>
        <v>54904</v>
      </c>
      <c r="N6" s="340">
        <f>+E59</f>
        <v>12000</v>
      </c>
      <c r="O6" s="249">
        <v>0</v>
      </c>
      <c r="P6" s="235">
        <f t="shared" si="1"/>
        <v>42904</v>
      </c>
    </row>
    <row r="7" spans="2:17" ht="18.75" customHeight="1" thickBot="1" x14ac:dyDescent="0.4">
      <c r="B7" s="10" t="s">
        <v>139</v>
      </c>
      <c r="C7" s="258">
        <v>0</v>
      </c>
      <c r="D7" s="194">
        <f>+D5*2</f>
        <v>406.08</v>
      </c>
      <c r="E7" s="196">
        <f>+C7*D7</f>
        <v>0</v>
      </c>
      <c r="F7" s="416"/>
      <c r="H7" s="236" t="s">
        <v>17</v>
      </c>
      <c r="I7" s="356">
        <f>+E64</f>
        <v>30729.600000000002</v>
      </c>
      <c r="J7" s="356">
        <f>+E65</f>
        <v>0</v>
      </c>
      <c r="K7" s="336">
        <f>+E66+E67</f>
        <v>0</v>
      </c>
      <c r="L7" s="357">
        <f>+E68</f>
        <v>8000</v>
      </c>
      <c r="M7" s="448">
        <f>SUM(I7:L7)</f>
        <v>38729.600000000006</v>
      </c>
      <c r="N7" s="340">
        <f>+E70</f>
        <v>0</v>
      </c>
      <c r="O7" s="249">
        <v>0</v>
      </c>
      <c r="P7" s="235">
        <f t="shared" si="1"/>
        <v>38729.600000000006</v>
      </c>
    </row>
    <row r="8" spans="2:17" ht="18.75" customHeight="1" thickBot="1" x14ac:dyDescent="0.4">
      <c r="B8" s="10" t="s">
        <v>6</v>
      </c>
      <c r="C8" s="258">
        <v>8000</v>
      </c>
      <c r="D8" s="194"/>
      <c r="E8" s="196">
        <f>+C8</f>
        <v>8000</v>
      </c>
      <c r="F8" s="421"/>
      <c r="G8" s="1310"/>
      <c r="H8" s="444" t="s">
        <v>171</v>
      </c>
      <c r="I8" s="445">
        <f>+E83</f>
        <v>27720</v>
      </c>
      <c r="J8" s="445">
        <f>+E84</f>
        <v>0</v>
      </c>
      <c r="K8" s="446">
        <f>+E85</f>
        <v>0</v>
      </c>
      <c r="L8" s="446">
        <f>+E87</f>
        <v>8000</v>
      </c>
      <c r="M8" s="447">
        <f t="shared" si="0"/>
        <v>35720</v>
      </c>
      <c r="N8" s="342">
        <f>+E89</f>
        <v>8000</v>
      </c>
      <c r="O8" s="249">
        <v>0</v>
      </c>
      <c r="P8" s="235">
        <f>+M8-N8</f>
        <v>27720</v>
      </c>
    </row>
    <row r="9" spans="2:17" ht="18.75" customHeight="1" thickBot="1" x14ac:dyDescent="0.4">
      <c r="B9" s="1323" t="s">
        <v>99</v>
      </c>
      <c r="C9" s="1324"/>
      <c r="D9" s="1324"/>
      <c r="E9" s="304">
        <f>SUM(E3:E8)</f>
        <v>47694.32</v>
      </c>
      <c r="F9" s="422"/>
      <c r="G9" s="1310"/>
      <c r="H9" s="245" t="s">
        <v>42</v>
      </c>
      <c r="I9" s="361">
        <f>+E76</f>
        <v>30000</v>
      </c>
      <c r="J9" s="361">
        <v>0</v>
      </c>
      <c r="K9" s="362">
        <f>+E77</f>
        <v>4050</v>
      </c>
      <c r="L9" s="362">
        <v>0</v>
      </c>
      <c r="M9" s="447">
        <f t="shared" si="0"/>
        <v>34050</v>
      </c>
      <c r="N9" s="342">
        <v>0</v>
      </c>
      <c r="O9" s="251">
        <v>0</v>
      </c>
      <c r="P9" s="235">
        <f t="shared" si="1"/>
        <v>34050</v>
      </c>
    </row>
    <row r="10" spans="2:17" ht="18.75" customHeight="1" thickBot="1" x14ac:dyDescent="0.4">
      <c r="B10" s="1339" t="s">
        <v>19</v>
      </c>
      <c r="C10" s="1340"/>
      <c r="D10" s="1341"/>
      <c r="E10" s="302">
        <v>0</v>
      </c>
      <c r="F10" s="422"/>
      <c r="G10" s="1310"/>
      <c r="H10" s="1332" t="s">
        <v>124</v>
      </c>
      <c r="I10" s="1333"/>
      <c r="J10" s="1333"/>
      <c r="K10" s="1333"/>
      <c r="L10" s="1333"/>
      <c r="M10" s="1334"/>
      <c r="N10" s="256">
        <f>SUM(N2:N9)</f>
        <v>30000</v>
      </c>
      <c r="O10" s="256">
        <f>SUM(O2:O9)</f>
        <v>58518.3</v>
      </c>
      <c r="P10" s="256">
        <f>SUM(P2:P9)</f>
        <v>285468.82</v>
      </c>
    </row>
    <row r="11" spans="2:17" ht="18.75" customHeight="1" thickBot="1" x14ac:dyDescent="0.4">
      <c r="B11" s="1336" t="s">
        <v>18</v>
      </c>
      <c r="C11" s="1337"/>
      <c r="D11" s="1338"/>
      <c r="E11" s="198">
        <v>28979.54</v>
      </c>
      <c r="F11" s="419"/>
      <c r="G11" s="176"/>
      <c r="H11" s="248"/>
      <c r="I11" s="248"/>
      <c r="J11" s="248"/>
      <c r="K11" s="248"/>
      <c r="L11" s="248"/>
      <c r="M11" s="248"/>
      <c r="N11" s="1318">
        <f>+O10+P10+N10</f>
        <v>373987.12</v>
      </c>
      <c r="O11" s="1319"/>
      <c r="P11" s="1320"/>
    </row>
    <row r="12" spans="2:17" ht="18.75" customHeight="1" thickBot="1" x14ac:dyDescent="0.4">
      <c r="B12" s="1296" t="s">
        <v>11</v>
      </c>
      <c r="C12" s="1297"/>
      <c r="D12" s="1335"/>
      <c r="E12" s="303">
        <f>+E9-E11</f>
        <v>18714.78</v>
      </c>
      <c r="F12" s="420"/>
      <c r="H12" s="433"/>
      <c r="I12" s="434"/>
      <c r="J12" s="434"/>
      <c r="K12" s="176"/>
    </row>
    <row r="13" spans="2:17" s="442" customFormat="1" ht="18.75" customHeight="1" thickBot="1" x14ac:dyDescent="0.4">
      <c r="B13"/>
      <c r="C13" s="261"/>
      <c r="D13" s="202"/>
      <c r="E13" s="203"/>
      <c r="F13" s="414"/>
      <c r="G13"/>
      <c r="H13" s="321"/>
      <c r="I13" s="321"/>
      <c r="J13" s="321"/>
      <c r="K13"/>
      <c r="L13" s="57"/>
      <c r="M13" s="61" t="s">
        <v>29</v>
      </c>
      <c r="N13" s="61" t="s">
        <v>30</v>
      </c>
      <c r="O13" s="62" t="s">
        <v>32</v>
      </c>
      <c r="P13"/>
      <c r="Q13"/>
    </row>
    <row r="14" spans="2:17" ht="18.75" customHeight="1" thickBot="1" x14ac:dyDescent="0.4">
      <c r="B14" s="1273" t="s">
        <v>15</v>
      </c>
      <c r="C14" s="1274"/>
      <c r="D14" s="1274"/>
      <c r="E14" s="1275"/>
      <c r="F14" s="415"/>
      <c r="G14" s="4"/>
      <c r="K14" s="4"/>
      <c r="L14" s="172" t="s">
        <v>0</v>
      </c>
      <c r="M14" s="63">
        <f>194*1.2</f>
        <v>232.79999999999998</v>
      </c>
      <c r="N14" s="173">
        <f>+M14*1.5</f>
        <v>349.2</v>
      </c>
      <c r="O14" s="175">
        <v>13500</v>
      </c>
      <c r="Q14" s="442"/>
    </row>
    <row r="15" spans="2:17" ht="18.75" customHeight="1" thickBot="1" x14ac:dyDescent="0.4">
      <c r="B15" s="16" t="s">
        <v>7</v>
      </c>
      <c r="C15" s="257" t="s">
        <v>8</v>
      </c>
      <c r="D15" s="192" t="s">
        <v>4</v>
      </c>
      <c r="E15" s="193" t="s">
        <v>9</v>
      </c>
      <c r="F15" s="416"/>
      <c r="G15" s="363"/>
      <c r="H15" s="322" t="s">
        <v>106</v>
      </c>
      <c r="I15" s="323" t="s">
        <v>107</v>
      </c>
      <c r="J15" s="323" t="s">
        <v>172</v>
      </c>
      <c r="L15" s="58" t="s">
        <v>28</v>
      </c>
      <c r="M15" s="64">
        <f>180*1.2</f>
        <v>216</v>
      </c>
      <c r="N15" s="50">
        <f t="shared" ref="N15:N20" si="2">+M15*1.5</f>
        <v>324</v>
      </c>
      <c r="O15" s="53">
        <v>13000</v>
      </c>
      <c r="Q15" s="442"/>
    </row>
    <row r="16" spans="2:17" ht="18.75" customHeight="1" thickBot="1" x14ac:dyDescent="0.4">
      <c r="B16" s="10" t="s">
        <v>3</v>
      </c>
      <c r="C16" s="258">
        <v>194</v>
      </c>
      <c r="D16" s="194">
        <v>232.8</v>
      </c>
      <c r="E16" s="196">
        <f>C16*D16</f>
        <v>45163.200000000004</v>
      </c>
      <c r="F16" s="416"/>
      <c r="G16" s="363" t="s">
        <v>116</v>
      </c>
      <c r="H16" s="326">
        <v>18</v>
      </c>
      <c r="I16" s="327">
        <v>9</v>
      </c>
      <c r="J16" s="441">
        <f>+H16*I16</f>
        <v>162</v>
      </c>
      <c r="L16" s="58" t="s">
        <v>15</v>
      </c>
      <c r="M16" s="64">
        <f>180*1.2</f>
        <v>216</v>
      </c>
      <c r="N16" s="50">
        <f t="shared" si="2"/>
        <v>324</v>
      </c>
      <c r="O16" s="53">
        <v>13000</v>
      </c>
      <c r="Q16" s="442"/>
    </row>
    <row r="17" spans="1:16" ht="15.5" x14ac:dyDescent="0.35">
      <c r="B17" s="10" t="s">
        <v>155</v>
      </c>
      <c r="C17" s="258">
        <v>0</v>
      </c>
      <c r="D17" s="194"/>
      <c r="E17" s="196">
        <v>0</v>
      </c>
      <c r="F17" s="443" t="s">
        <v>170</v>
      </c>
      <c r="G17" s="364" t="s">
        <v>111</v>
      </c>
      <c r="H17" s="344">
        <v>0</v>
      </c>
      <c r="I17" s="345">
        <v>8</v>
      </c>
      <c r="J17" s="441">
        <f>+H17*I17</f>
        <v>0</v>
      </c>
      <c r="L17" s="58" t="s">
        <v>10</v>
      </c>
      <c r="M17" s="64">
        <f>169.2*1.2</f>
        <v>203.04</v>
      </c>
      <c r="N17" s="50">
        <f t="shared" si="2"/>
        <v>304.56</v>
      </c>
      <c r="O17" s="53">
        <v>8000</v>
      </c>
    </row>
    <row r="18" spans="1:16" ht="16" thickBot="1" x14ac:dyDescent="0.4">
      <c r="B18" s="10" t="s">
        <v>111</v>
      </c>
      <c r="C18" s="258">
        <v>0</v>
      </c>
      <c r="D18" s="194">
        <v>232.8</v>
      </c>
      <c r="E18" s="196">
        <f>C18*D18</f>
        <v>0</v>
      </c>
      <c r="F18" s="416"/>
      <c r="G18" s="364" t="s">
        <v>117</v>
      </c>
      <c r="H18" s="328">
        <v>4</v>
      </c>
      <c r="I18" s="329">
        <v>8</v>
      </c>
      <c r="J18" s="325">
        <f>+H18*I18</f>
        <v>32</v>
      </c>
      <c r="L18" s="59" t="s">
        <v>16</v>
      </c>
      <c r="M18" s="64">
        <f>156*1.2</f>
        <v>187.2</v>
      </c>
      <c r="N18" s="50">
        <f t="shared" si="2"/>
        <v>280.79999999999995</v>
      </c>
      <c r="O18" s="53">
        <v>8000</v>
      </c>
    </row>
    <row r="19" spans="1:16" ht="16" thickBot="1" x14ac:dyDescent="0.4">
      <c r="B19" s="10" t="s">
        <v>169</v>
      </c>
      <c r="C19" s="258">
        <v>9</v>
      </c>
      <c r="D19" s="194">
        <f>+D21</f>
        <v>349.20000000000005</v>
      </c>
      <c r="E19" s="196">
        <f>C19*D19</f>
        <v>3142.8</v>
      </c>
      <c r="F19" s="416"/>
      <c r="G19" s="156"/>
      <c r="H19" s="1311" t="s">
        <v>108</v>
      </c>
      <c r="I19" s="1312"/>
      <c r="J19" s="330">
        <f>SUM(J16:J18)</f>
        <v>194</v>
      </c>
      <c r="L19" s="59" t="s">
        <v>171</v>
      </c>
      <c r="M19" s="64">
        <v>165</v>
      </c>
      <c r="N19" s="50">
        <f t="shared" si="2"/>
        <v>247.5</v>
      </c>
      <c r="O19" s="53">
        <v>8000</v>
      </c>
    </row>
    <row r="20" spans="1:16" ht="16" thickBot="1" x14ac:dyDescent="0.4">
      <c r="B20" s="10" t="s">
        <v>139</v>
      </c>
      <c r="C20" s="258">
        <v>0</v>
      </c>
      <c r="D20" s="194">
        <f>+D16*2</f>
        <v>465.6</v>
      </c>
      <c r="E20" s="196">
        <f>C20*D20</f>
        <v>0</v>
      </c>
      <c r="F20" s="421" t="s">
        <v>168</v>
      </c>
      <c r="H20" s="248"/>
      <c r="I20" s="432"/>
      <c r="J20" s="440"/>
      <c r="L20" s="60" t="s">
        <v>17</v>
      </c>
      <c r="M20" s="65">
        <f>132*1.2</f>
        <v>158.4</v>
      </c>
      <c r="N20" s="56">
        <f t="shared" si="2"/>
        <v>237.60000000000002</v>
      </c>
      <c r="O20" s="55">
        <v>8000</v>
      </c>
      <c r="P20" s="4"/>
    </row>
    <row r="21" spans="1:16" ht="15.5" x14ac:dyDescent="0.35">
      <c r="B21" s="10" t="s">
        <v>5</v>
      </c>
      <c r="C21" s="315">
        <v>0</v>
      </c>
      <c r="D21" s="194">
        <f>+D16*1.5</f>
        <v>349.20000000000005</v>
      </c>
      <c r="E21" s="196">
        <f>C21*D21</f>
        <v>0</v>
      </c>
      <c r="F21" s="422">
        <f>9*D21</f>
        <v>3142.8</v>
      </c>
      <c r="L21" s="318"/>
      <c r="M21" s="50"/>
      <c r="N21" s="50"/>
      <c r="O21" s="50"/>
      <c r="P21" s="50"/>
    </row>
    <row r="22" spans="1:16" ht="16" thickBot="1" x14ac:dyDescent="0.4">
      <c r="B22" s="10" t="s">
        <v>6</v>
      </c>
      <c r="C22" s="258">
        <v>13000</v>
      </c>
      <c r="D22" s="194"/>
      <c r="E22" s="196">
        <f>+C22</f>
        <v>13000</v>
      </c>
      <c r="F22" s="419"/>
      <c r="K22" s="51"/>
      <c r="L22" s="66"/>
      <c r="M22" s="49"/>
      <c r="N22" s="49"/>
    </row>
    <row r="23" spans="1:16" ht="15" thickBot="1" x14ac:dyDescent="0.4">
      <c r="B23" s="1323" t="s">
        <v>99</v>
      </c>
      <c r="C23" s="1324"/>
      <c r="D23" s="1324"/>
      <c r="E23" s="304">
        <f>SUM(E16:E22)</f>
        <v>61306.000000000007</v>
      </c>
      <c r="F23" s="420"/>
      <c r="L23" s="49"/>
      <c r="M23" s="49"/>
    </row>
    <row r="24" spans="1:16" s="4" customFormat="1" ht="20" thickBot="1" x14ac:dyDescent="0.5">
      <c r="B24" s="1329" t="s">
        <v>19</v>
      </c>
      <c r="C24" s="1330"/>
      <c r="D24" s="1331"/>
      <c r="E24" s="207">
        <v>0</v>
      </c>
      <c r="F24" s="412"/>
      <c r="H24" s="442"/>
      <c r="I24" s="410"/>
      <c r="J24" s="181"/>
      <c r="K24" s="181"/>
      <c r="L24"/>
      <c r="M24"/>
      <c r="N24"/>
      <c r="O24"/>
      <c r="P24"/>
    </row>
    <row r="25" spans="1:16" ht="16" thickBot="1" x14ac:dyDescent="0.4">
      <c r="B25" s="1296" t="s">
        <v>11</v>
      </c>
      <c r="C25" s="1297"/>
      <c r="D25" s="1298"/>
      <c r="E25" s="201">
        <f>+E23-E24</f>
        <v>61306.000000000007</v>
      </c>
      <c r="F25" s="423"/>
      <c r="H25" s="442"/>
      <c r="I25" s="442"/>
      <c r="J25" s="181"/>
      <c r="K25" s="181"/>
    </row>
    <row r="26" spans="1:16" ht="15" thickBot="1" x14ac:dyDescent="0.4">
      <c r="A26" s="442"/>
      <c r="F26" s="413"/>
      <c r="K26" s="183"/>
    </row>
    <row r="27" spans="1:16" s="442" customFormat="1" ht="20" thickBot="1" x14ac:dyDescent="0.5">
      <c r="A27"/>
      <c r="B27" s="1315" t="s">
        <v>16</v>
      </c>
      <c r="C27" s="1316"/>
      <c r="D27" s="1316"/>
      <c r="E27" s="1317"/>
      <c r="F27" s="155"/>
      <c r="G27" s="106"/>
      <c r="H27"/>
      <c r="I27"/>
      <c r="J27"/>
      <c r="K27" s="183"/>
      <c r="L27"/>
      <c r="M27"/>
      <c r="N27"/>
      <c r="O27"/>
      <c r="P27"/>
    </row>
    <row r="28" spans="1:16" s="442" customFormat="1" x14ac:dyDescent="0.35">
      <c r="A28"/>
      <c r="B28" s="169" t="s">
        <v>7</v>
      </c>
      <c r="C28" s="266" t="s">
        <v>8</v>
      </c>
      <c r="D28" s="209" t="s">
        <v>4</v>
      </c>
      <c r="E28" s="210" t="s">
        <v>9</v>
      </c>
      <c r="F28" s="155"/>
      <c r="G28" s="406"/>
      <c r="H28" s="183"/>
      <c r="I28"/>
      <c r="J28"/>
      <c r="K28" s="183"/>
      <c r="L28"/>
      <c r="M28"/>
      <c r="N28"/>
      <c r="O28"/>
      <c r="P28"/>
    </row>
    <row r="29" spans="1:16" x14ac:dyDescent="0.35">
      <c r="B29" s="165" t="s">
        <v>3</v>
      </c>
      <c r="C29" s="267">
        <v>194</v>
      </c>
      <c r="D29" s="211">
        <v>187.2</v>
      </c>
      <c r="E29" s="212">
        <f>C29*D29</f>
        <v>36316.799999999996</v>
      </c>
      <c r="F29" s="155"/>
      <c r="G29" s="442"/>
      <c r="H29" s="183"/>
      <c r="I29" s="442"/>
      <c r="J29" s="442"/>
      <c r="K29" s="183"/>
    </row>
    <row r="30" spans="1:16" x14ac:dyDescent="0.35">
      <c r="B30" s="165" t="s">
        <v>155</v>
      </c>
      <c r="C30" s="267">
        <v>0</v>
      </c>
      <c r="D30" s="211"/>
      <c r="E30" s="212">
        <v>0</v>
      </c>
      <c r="F30" s="155"/>
      <c r="H30" s="181"/>
      <c r="I30" s="442"/>
      <c r="J30" s="442"/>
      <c r="K30" s="180"/>
    </row>
    <row r="31" spans="1:16" x14ac:dyDescent="0.35">
      <c r="B31" s="165" t="s">
        <v>111</v>
      </c>
      <c r="C31" s="267">
        <v>0</v>
      </c>
      <c r="D31" s="211">
        <v>156</v>
      </c>
      <c r="E31" s="212">
        <f>C31*D31</f>
        <v>0</v>
      </c>
      <c r="F31" s="106"/>
      <c r="H31" s="181"/>
      <c r="K31" s="181"/>
    </row>
    <row r="32" spans="1:16" x14ac:dyDescent="0.35">
      <c r="B32" s="165" t="s">
        <v>139</v>
      </c>
      <c r="C32" s="267">
        <v>0</v>
      </c>
      <c r="D32" s="211">
        <f>+D29*2</f>
        <v>374.4</v>
      </c>
      <c r="E32" s="212">
        <f>C32*D32</f>
        <v>0</v>
      </c>
      <c r="H32" s="181"/>
      <c r="J32" s="183"/>
      <c r="K32" s="181"/>
    </row>
    <row r="33" spans="1:16" x14ac:dyDescent="0.35">
      <c r="B33" s="165" t="s">
        <v>5</v>
      </c>
      <c r="C33" s="267">
        <v>0</v>
      </c>
      <c r="D33" s="211">
        <f>+D29*1.5</f>
        <v>280.79999999999995</v>
      </c>
      <c r="E33" s="212">
        <f>C33*D33</f>
        <v>0</v>
      </c>
      <c r="G33" s="442"/>
      <c r="H33" s="181"/>
      <c r="I33" s="183"/>
      <c r="J33" s="180"/>
    </row>
    <row r="34" spans="1:16" ht="15" thickBot="1" x14ac:dyDescent="0.4">
      <c r="B34" s="165" t="s">
        <v>6</v>
      </c>
      <c r="C34" s="267">
        <v>8000</v>
      </c>
      <c r="D34" s="211"/>
      <c r="E34" s="212">
        <f>+C34</f>
        <v>8000</v>
      </c>
      <c r="G34" s="442"/>
      <c r="I34" s="183"/>
      <c r="J34" s="180"/>
      <c r="K34" s="184"/>
    </row>
    <row r="35" spans="1:16" ht="15" thickBot="1" x14ac:dyDescent="0.4">
      <c r="A35" s="106"/>
      <c r="B35" s="1323" t="s">
        <v>99</v>
      </c>
      <c r="C35" s="1324"/>
      <c r="D35" s="1324"/>
      <c r="E35" s="304">
        <f>SUM(E29:E34)</f>
        <v>44316.799999999996</v>
      </c>
      <c r="I35" s="181"/>
      <c r="J35" s="184"/>
      <c r="K35" s="184"/>
    </row>
    <row r="36" spans="1:16" ht="15" thickBot="1" x14ac:dyDescent="0.4">
      <c r="A36" s="155"/>
      <c r="B36" s="1352" t="s">
        <v>19</v>
      </c>
      <c r="C36" s="1353"/>
      <c r="D36" s="1354"/>
      <c r="E36" s="214">
        <v>10000</v>
      </c>
      <c r="I36" s="181"/>
      <c r="J36" s="181"/>
      <c r="K36" s="184"/>
      <c r="L36" s="180"/>
      <c r="M36" s="181"/>
      <c r="N36" s="181"/>
      <c r="O36" s="181"/>
    </row>
    <row r="37" spans="1:16" ht="15" thickBot="1" x14ac:dyDescent="0.4">
      <c r="A37" s="155"/>
      <c r="B37" s="1355" t="s">
        <v>11</v>
      </c>
      <c r="C37" s="1356"/>
      <c r="D37" s="1357"/>
      <c r="E37" s="216">
        <f>+E35-E36</f>
        <v>34316.799999999996</v>
      </c>
      <c r="F37" s="180"/>
      <c r="I37" s="181"/>
      <c r="J37" s="181"/>
      <c r="K37" s="185"/>
      <c r="L37" s="180"/>
      <c r="M37" s="181"/>
      <c r="N37" s="181"/>
      <c r="O37" s="181"/>
      <c r="P37" s="442"/>
    </row>
    <row r="38" spans="1:16" ht="17.25" customHeight="1" thickBot="1" x14ac:dyDescent="0.4">
      <c r="A38" s="155"/>
      <c r="F38" s="155"/>
      <c r="I38" s="181"/>
      <c r="J38" s="181"/>
      <c r="K38" s="189"/>
      <c r="L38" s="180"/>
      <c r="M38" s="181"/>
      <c r="N38" s="181"/>
      <c r="O38" s="181"/>
    </row>
    <row r="39" spans="1:16" ht="23.5" x14ac:dyDescent="0.35">
      <c r="A39" s="155"/>
      <c r="B39" s="1276" t="s">
        <v>0</v>
      </c>
      <c r="C39" s="1277"/>
      <c r="D39" s="1277"/>
      <c r="E39" s="1278"/>
      <c r="F39" s="155"/>
      <c r="G39" s="181"/>
      <c r="H39" s="115"/>
      <c r="K39" s="189"/>
      <c r="L39" s="180"/>
      <c r="M39" s="181"/>
      <c r="N39" s="181"/>
      <c r="O39" s="181"/>
    </row>
    <row r="40" spans="1:16" x14ac:dyDescent="0.35">
      <c r="A40" s="156"/>
      <c r="B40" s="8" t="s">
        <v>7</v>
      </c>
      <c r="C40" s="270" t="s">
        <v>8</v>
      </c>
      <c r="D40" s="217" t="s">
        <v>4</v>
      </c>
      <c r="E40" s="218" t="s">
        <v>9</v>
      </c>
      <c r="F40" s="106"/>
      <c r="G40" s="409"/>
      <c r="H40" s="115"/>
      <c r="K40" s="185"/>
      <c r="L40" s="181"/>
      <c r="M40" s="181"/>
      <c r="N40" s="181"/>
    </row>
    <row r="41" spans="1:16" s="442" customFormat="1" x14ac:dyDescent="0.35">
      <c r="A41" s="155"/>
      <c r="B41" s="10" t="s">
        <v>3</v>
      </c>
      <c r="C41" s="258">
        <v>194</v>
      </c>
      <c r="D41" s="194">
        <v>232.8</v>
      </c>
      <c r="E41" s="196">
        <f>C41*D41</f>
        <v>45163.200000000004</v>
      </c>
      <c r="F41" s="106"/>
      <c r="G41" s="409"/>
      <c r="H41"/>
      <c r="I41"/>
      <c r="J41"/>
      <c r="K41" s="185"/>
      <c r="L41" s="181"/>
      <c r="M41" s="184"/>
      <c r="N41"/>
      <c r="O41"/>
      <c r="P41"/>
    </row>
    <row r="42" spans="1:16" x14ac:dyDescent="0.35">
      <c r="A42" s="155"/>
      <c r="B42" s="10" t="s">
        <v>111</v>
      </c>
      <c r="C42" s="258">
        <v>0</v>
      </c>
      <c r="D42" s="194">
        <v>232.8</v>
      </c>
      <c r="E42" s="196">
        <f>C42*D42</f>
        <v>0</v>
      </c>
      <c r="F42" s="106"/>
      <c r="G42" s="409"/>
      <c r="K42" s="182"/>
      <c r="L42" s="181"/>
      <c r="M42" s="184"/>
    </row>
    <row r="43" spans="1:16" x14ac:dyDescent="0.35">
      <c r="A43" s="155"/>
      <c r="B43" s="10" t="s">
        <v>139</v>
      </c>
      <c r="C43" s="258">
        <v>0</v>
      </c>
      <c r="D43" s="194">
        <f>+D41*2</f>
        <v>465.6</v>
      </c>
      <c r="E43" s="196">
        <f>C43*D43</f>
        <v>0</v>
      </c>
      <c r="F43" s="106"/>
      <c r="G43" s="311"/>
      <c r="K43" s="182"/>
    </row>
    <row r="44" spans="1:16" x14ac:dyDescent="0.35">
      <c r="A44" s="155"/>
      <c r="B44" s="10" t="s">
        <v>5</v>
      </c>
      <c r="C44" s="315">
        <v>5</v>
      </c>
      <c r="D44" s="194">
        <f>+D41*1.5</f>
        <v>349.20000000000005</v>
      </c>
      <c r="E44" s="196">
        <f>C44*D44</f>
        <v>1746.0000000000002</v>
      </c>
      <c r="F44" s="106"/>
      <c r="I44" s="115"/>
      <c r="J44" s="442"/>
      <c r="K44" s="176"/>
      <c r="M44" s="442"/>
      <c r="N44" s="442"/>
      <c r="O44" s="442"/>
    </row>
    <row r="45" spans="1:16" ht="15" thickBot="1" x14ac:dyDescent="0.4">
      <c r="A45" s="155"/>
      <c r="B45" s="10" t="s">
        <v>6</v>
      </c>
      <c r="C45" s="258">
        <v>13500</v>
      </c>
      <c r="D45" s="194"/>
      <c r="E45" s="196">
        <f>+C45</f>
        <v>13500</v>
      </c>
      <c r="F45" s="106"/>
      <c r="I45" s="115"/>
      <c r="J45" s="442"/>
      <c r="K45" s="176"/>
      <c r="P45" s="442"/>
    </row>
    <row r="46" spans="1:16" ht="15" thickBot="1" x14ac:dyDescent="0.4">
      <c r="B46" s="1323" t="s">
        <v>99</v>
      </c>
      <c r="C46" s="1324"/>
      <c r="D46" s="1324"/>
      <c r="E46" s="304">
        <f>SUM(E41:E45)</f>
        <v>60409.200000000004</v>
      </c>
      <c r="F46" s="106"/>
      <c r="K46" s="176"/>
      <c r="L46" s="442"/>
      <c r="M46" s="442"/>
      <c r="N46" s="442"/>
      <c r="O46" s="442"/>
    </row>
    <row r="47" spans="1:16" x14ac:dyDescent="0.35">
      <c r="B47" s="320" t="s">
        <v>19</v>
      </c>
      <c r="C47" s="319"/>
      <c r="D47" s="319"/>
      <c r="E47" s="343">
        <v>0</v>
      </c>
      <c r="F47" s="106"/>
      <c r="K47" s="439"/>
      <c r="L47" s="180"/>
      <c r="M47" s="181"/>
      <c r="N47" s="187"/>
      <c r="O47" s="188"/>
      <c r="P47" s="442"/>
    </row>
    <row r="48" spans="1:16" ht="15" thickBot="1" x14ac:dyDescent="0.4">
      <c r="B48" s="1336" t="s">
        <v>18</v>
      </c>
      <c r="C48" s="1337"/>
      <c r="D48" s="1338"/>
      <c r="E48" s="198">
        <v>29538.76</v>
      </c>
      <c r="F48" s="317"/>
      <c r="G48" s="442"/>
      <c r="K48" s="176"/>
      <c r="L48" s="180"/>
      <c r="M48" s="181"/>
      <c r="N48" s="181"/>
      <c r="O48" s="184"/>
    </row>
    <row r="49" spans="1:16" ht="16" thickBot="1" x14ac:dyDescent="0.4">
      <c r="B49" s="1296" t="s">
        <v>11</v>
      </c>
      <c r="C49" s="1297"/>
      <c r="D49" s="1298"/>
      <c r="E49" s="201">
        <f>+E46-E47-E48</f>
        <v>30870.440000000006</v>
      </c>
      <c r="F49" s="317"/>
      <c r="G49" s="442"/>
      <c r="H49" s="442"/>
      <c r="K49" s="176"/>
      <c r="L49" s="180"/>
      <c r="M49" s="181"/>
      <c r="N49" s="181"/>
      <c r="O49" s="184"/>
    </row>
    <row r="50" spans="1:16" ht="15" thickBot="1" x14ac:dyDescent="0.4">
      <c r="A50" s="442"/>
      <c r="F50" s="389"/>
      <c r="K50" s="176"/>
      <c r="L50" s="180"/>
      <c r="M50" s="181"/>
      <c r="N50" s="181"/>
      <c r="O50" s="184"/>
    </row>
    <row r="51" spans="1:16" s="442" customFormat="1" ht="23.5" x14ac:dyDescent="0.35">
      <c r="A51"/>
      <c r="B51" s="1276" t="s">
        <v>28</v>
      </c>
      <c r="C51" s="1277"/>
      <c r="D51" s="1277"/>
      <c r="E51" s="1278"/>
      <c r="F51" s="394"/>
      <c r="G51"/>
      <c r="H51"/>
      <c r="I51"/>
      <c r="J51"/>
      <c r="K51" s="183"/>
      <c r="L51" s="180"/>
      <c r="M51" s="181"/>
      <c r="N51" s="181"/>
      <c r="O51" s="184"/>
      <c r="P51"/>
    </row>
    <row r="52" spans="1:16" x14ac:dyDescent="0.35">
      <c r="A52" s="442"/>
      <c r="B52" s="8" t="s">
        <v>7</v>
      </c>
      <c r="C52" s="270" t="s">
        <v>8</v>
      </c>
      <c r="D52" s="217" t="s">
        <v>4</v>
      </c>
      <c r="E52" s="218" t="s">
        <v>9</v>
      </c>
      <c r="F52" s="114"/>
      <c r="K52" s="176"/>
      <c r="L52" s="191"/>
      <c r="M52" s="181"/>
      <c r="N52" s="181"/>
      <c r="O52" s="184"/>
      <c r="P52" s="442"/>
    </row>
    <row r="53" spans="1:16" s="442" customFormat="1" x14ac:dyDescent="0.35">
      <c r="A53"/>
      <c r="B53" s="10" t="s">
        <v>3</v>
      </c>
      <c r="C53" s="315">
        <v>194</v>
      </c>
      <c r="D53" s="194">
        <v>216</v>
      </c>
      <c r="E53" s="196">
        <f>+C53*D53</f>
        <v>41904</v>
      </c>
      <c r="F53" s="49"/>
      <c r="G53"/>
      <c r="H53"/>
      <c r="I53"/>
      <c r="J53"/>
      <c r="K53" s="176"/>
      <c r="L53" s="180"/>
      <c r="M53" s="181"/>
      <c r="N53" s="181"/>
      <c r="O53" s="184"/>
    </row>
    <row r="54" spans="1:16" x14ac:dyDescent="0.35">
      <c r="B54" s="10" t="s">
        <v>111</v>
      </c>
      <c r="C54" s="315">
        <v>0</v>
      </c>
      <c r="D54" s="194">
        <v>216</v>
      </c>
      <c r="E54" s="196">
        <f>C54*D54</f>
        <v>0</v>
      </c>
      <c r="F54" s="428"/>
      <c r="I54" s="442"/>
      <c r="J54" s="442"/>
      <c r="K54" s="176"/>
      <c r="L54" s="180"/>
      <c r="M54" s="181"/>
      <c r="N54" s="181"/>
      <c r="O54" s="184"/>
      <c r="P54" s="442"/>
    </row>
    <row r="55" spans="1:16" x14ac:dyDescent="0.35">
      <c r="B55" s="10" t="s">
        <v>139</v>
      </c>
      <c r="C55" s="315">
        <v>0</v>
      </c>
      <c r="D55" s="194">
        <f>+D53*2</f>
        <v>432</v>
      </c>
      <c r="E55" s="196">
        <f>C55*D55</f>
        <v>0</v>
      </c>
      <c r="F55" s="428"/>
      <c r="K55" s="176"/>
      <c r="L55" s="180"/>
      <c r="M55" s="181"/>
      <c r="N55" s="181"/>
      <c r="O55" s="184"/>
    </row>
    <row r="56" spans="1:16" x14ac:dyDescent="0.35">
      <c r="B56" s="10" t="s">
        <v>5</v>
      </c>
      <c r="C56" s="315">
        <v>0</v>
      </c>
      <c r="D56" s="194">
        <f>+D53*1.5</f>
        <v>324</v>
      </c>
      <c r="E56" s="196">
        <f>C56*D56</f>
        <v>0</v>
      </c>
      <c r="F56" s="430" t="s">
        <v>163</v>
      </c>
      <c r="K56" s="176"/>
      <c r="L56" s="180"/>
      <c r="M56" s="181"/>
      <c r="N56" s="181"/>
      <c r="O56" s="184"/>
    </row>
    <row r="57" spans="1:16" ht="15" thickBot="1" x14ac:dyDescent="0.4">
      <c r="B57" s="10" t="s">
        <v>6</v>
      </c>
      <c r="C57" s="258">
        <v>13000</v>
      </c>
      <c r="D57" s="194"/>
      <c r="E57" s="196">
        <f>+C57</f>
        <v>13000</v>
      </c>
      <c r="F57" s="429"/>
      <c r="G57" s="442"/>
      <c r="K57" s="176"/>
      <c r="L57" s="439"/>
      <c r="M57" s="181"/>
      <c r="N57" s="181"/>
      <c r="O57" s="184"/>
    </row>
    <row r="58" spans="1:16" ht="15" thickBot="1" x14ac:dyDescent="0.4">
      <c r="B58" s="1323" t="s">
        <v>99</v>
      </c>
      <c r="C58" s="1324"/>
      <c r="D58" s="1324"/>
      <c r="E58" s="304">
        <f>SUM(E53:E57)</f>
        <v>54904</v>
      </c>
      <c r="F58" s="429"/>
      <c r="K58" s="176"/>
      <c r="L58" s="176"/>
      <c r="M58" s="181"/>
      <c r="N58" s="181"/>
      <c r="O58" s="184"/>
    </row>
    <row r="59" spans="1:16" ht="15" thickBot="1" x14ac:dyDescent="0.4">
      <c r="B59" s="1339" t="s">
        <v>19</v>
      </c>
      <c r="C59" s="1340"/>
      <c r="D59" s="1341"/>
      <c r="E59" s="198">
        <v>12000</v>
      </c>
      <c r="F59" s="429"/>
      <c r="K59" s="176"/>
      <c r="L59" s="176"/>
      <c r="M59" s="176"/>
      <c r="N59" s="176"/>
      <c r="O59" s="176"/>
    </row>
    <row r="60" spans="1:16" ht="16" thickBot="1" x14ac:dyDescent="0.4">
      <c r="B60" s="1296" t="s">
        <v>11</v>
      </c>
      <c r="C60" s="1297"/>
      <c r="D60" s="1298"/>
      <c r="E60" s="201">
        <f>+E58-E59</f>
        <v>42904</v>
      </c>
      <c r="F60" s="429"/>
      <c r="L60" s="183"/>
      <c r="M60" s="176"/>
      <c r="N60" s="176"/>
      <c r="O60" s="176"/>
    </row>
    <row r="61" spans="1:16" ht="15" thickBot="1" x14ac:dyDescent="0.4">
      <c r="F61" s="429"/>
      <c r="L61" s="176"/>
      <c r="M61" s="183"/>
      <c r="N61" s="183"/>
      <c r="O61" s="183"/>
    </row>
    <row r="62" spans="1:16" ht="23.5" x14ac:dyDescent="0.35">
      <c r="B62" s="1276" t="s">
        <v>17</v>
      </c>
      <c r="C62" s="1277"/>
      <c r="D62" s="1277"/>
      <c r="E62" s="1278"/>
      <c r="F62" s="431"/>
      <c r="L62" s="176"/>
      <c r="M62" s="176"/>
      <c r="N62" s="176"/>
      <c r="O62" s="176"/>
    </row>
    <row r="63" spans="1:16" x14ac:dyDescent="0.35">
      <c r="B63" s="8" t="s">
        <v>7</v>
      </c>
      <c r="C63" s="270" t="s">
        <v>8</v>
      </c>
      <c r="D63" s="217" t="s">
        <v>4</v>
      </c>
      <c r="E63" s="218" t="s">
        <v>9</v>
      </c>
      <c r="F63" s="428"/>
      <c r="L63" s="176"/>
      <c r="M63" s="176"/>
      <c r="N63" s="176"/>
      <c r="O63" s="176"/>
      <c r="P63" s="442"/>
    </row>
    <row r="64" spans="1:16" x14ac:dyDescent="0.35">
      <c r="B64" s="10" t="s">
        <v>3</v>
      </c>
      <c r="C64" s="258">
        <v>194</v>
      </c>
      <c r="D64" s="194">
        <v>158.4</v>
      </c>
      <c r="E64" s="196">
        <f>C64*D64</f>
        <v>30729.600000000002</v>
      </c>
      <c r="F64" s="428"/>
      <c r="L64" s="176"/>
      <c r="M64" s="176"/>
      <c r="N64" s="176"/>
      <c r="O64" s="176"/>
    </row>
    <row r="65" spans="2:15" x14ac:dyDescent="0.35">
      <c r="B65" s="10" t="s">
        <v>111</v>
      </c>
      <c r="C65" s="258">
        <v>0</v>
      </c>
      <c r="D65" s="194">
        <v>158.4</v>
      </c>
      <c r="E65" s="196">
        <f>C65*D65</f>
        <v>0</v>
      </c>
      <c r="L65" s="176"/>
      <c r="M65" s="176"/>
      <c r="N65" s="176"/>
      <c r="O65" s="176"/>
    </row>
    <row r="66" spans="2:15" x14ac:dyDescent="0.35">
      <c r="B66" s="10" t="s">
        <v>139</v>
      </c>
      <c r="C66" s="258">
        <v>0</v>
      </c>
      <c r="D66" s="194">
        <f>+D64*2</f>
        <v>316.8</v>
      </c>
      <c r="E66" s="196">
        <f>C66*D66</f>
        <v>0</v>
      </c>
      <c r="L66" s="176"/>
      <c r="M66" s="176"/>
      <c r="N66" s="176"/>
      <c r="O66" s="176"/>
    </row>
    <row r="67" spans="2:15" x14ac:dyDescent="0.35">
      <c r="B67" s="10" t="s">
        <v>5</v>
      </c>
      <c r="C67" s="258">
        <v>0</v>
      </c>
      <c r="D67" s="194">
        <f>+D64*1.5</f>
        <v>237.60000000000002</v>
      </c>
      <c r="E67" s="196">
        <f>C67*D67</f>
        <v>0</v>
      </c>
      <c r="L67" s="176"/>
      <c r="M67" s="176"/>
      <c r="N67" s="176"/>
      <c r="O67" s="176"/>
    </row>
    <row r="68" spans="2:15" ht="15" thickBot="1" x14ac:dyDescent="0.4">
      <c r="B68" s="10" t="s">
        <v>6</v>
      </c>
      <c r="C68" s="258">
        <v>8000</v>
      </c>
      <c r="D68" s="194"/>
      <c r="E68" s="222">
        <v>8000</v>
      </c>
      <c r="L68" s="176"/>
      <c r="M68" s="176"/>
      <c r="N68" s="176"/>
      <c r="O68" s="176"/>
    </row>
    <row r="69" spans="2:15" ht="15" thickBot="1" x14ac:dyDescent="0.4">
      <c r="B69" s="1323" t="s">
        <v>99</v>
      </c>
      <c r="C69" s="1324"/>
      <c r="D69" s="1324"/>
      <c r="E69" s="304">
        <f>SUM(E64:E68)</f>
        <v>38729.600000000006</v>
      </c>
      <c r="L69" s="176"/>
      <c r="M69" s="176"/>
      <c r="N69" s="176"/>
      <c r="O69" s="176"/>
    </row>
    <row r="70" spans="2:15" ht="15" thickBot="1" x14ac:dyDescent="0.4">
      <c r="B70" s="1339" t="s">
        <v>19</v>
      </c>
      <c r="C70" s="1340"/>
      <c r="D70" s="1341"/>
      <c r="E70" s="199">
        <v>0</v>
      </c>
    </row>
    <row r="71" spans="2:15" ht="16" thickBot="1" x14ac:dyDescent="0.4">
      <c r="B71" s="1296" t="s">
        <v>11</v>
      </c>
      <c r="C71" s="1297"/>
      <c r="D71" s="1298"/>
      <c r="E71" s="201">
        <f>+E69-E70</f>
        <v>38729.600000000006</v>
      </c>
    </row>
    <row r="73" spans="2:15" ht="15" thickBot="1" x14ac:dyDescent="0.4"/>
    <row r="74" spans="2:15" ht="23.5" x14ac:dyDescent="0.35">
      <c r="B74" s="1276" t="s">
        <v>39</v>
      </c>
      <c r="C74" s="1277"/>
      <c r="D74" s="1277"/>
      <c r="E74" s="1278"/>
    </row>
    <row r="75" spans="2:15" x14ac:dyDescent="0.35">
      <c r="B75" s="8" t="s">
        <v>7</v>
      </c>
      <c r="C75" s="270" t="s">
        <v>8</v>
      </c>
      <c r="D75" s="217" t="s">
        <v>4</v>
      </c>
      <c r="E75" s="218" t="s">
        <v>9</v>
      </c>
    </row>
    <row r="76" spans="2:15" x14ac:dyDescent="0.35">
      <c r="B76" s="10" t="s">
        <v>3</v>
      </c>
      <c r="C76" s="258"/>
      <c r="D76" s="194"/>
      <c r="E76" s="196">
        <v>30000</v>
      </c>
      <c r="F76" s="442"/>
    </row>
    <row r="77" spans="2:15" ht="15" thickBot="1" x14ac:dyDescent="0.4">
      <c r="B77" s="10" t="s">
        <v>5</v>
      </c>
      <c r="C77" s="258">
        <v>9</v>
      </c>
      <c r="D77" s="194">
        <f>300*1.5</f>
        <v>450</v>
      </c>
      <c r="E77" s="196">
        <f>C77*D77</f>
        <v>4050</v>
      </c>
    </row>
    <row r="78" spans="2:15" ht="16" thickBot="1" x14ac:dyDescent="0.4">
      <c r="B78" s="12" t="s">
        <v>11</v>
      </c>
      <c r="C78" s="272"/>
      <c r="D78" s="223"/>
      <c r="E78" s="201">
        <f>+E76+E77</f>
        <v>34050</v>
      </c>
    </row>
    <row r="80" spans="2:15" ht="15" thickBot="1" x14ac:dyDescent="0.4">
      <c r="F80" s="114"/>
    </row>
    <row r="81" spans="2:6" ht="24" thickBot="1" x14ac:dyDescent="0.4">
      <c r="B81" s="1273" t="s">
        <v>174</v>
      </c>
      <c r="C81" s="1274"/>
      <c r="D81" s="1274"/>
      <c r="E81" s="1275"/>
    </row>
    <row r="82" spans="2:6" x14ac:dyDescent="0.35">
      <c r="B82" s="16" t="s">
        <v>7</v>
      </c>
      <c r="C82" s="257" t="s">
        <v>8</v>
      </c>
      <c r="D82" s="192" t="s">
        <v>4</v>
      </c>
      <c r="E82" s="193" t="s">
        <v>9</v>
      </c>
    </row>
    <row r="83" spans="2:6" x14ac:dyDescent="0.35">
      <c r="B83" s="10" t="s">
        <v>3</v>
      </c>
      <c r="C83" s="258">
        <v>168</v>
      </c>
      <c r="D83" s="227">
        <v>165</v>
      </c>
      <c r="E83" s="196">
        <f>C83*D83</f>
        <v>27720</v>
      </c>
      <c r="F83" t="s">
        <v>173</v>
      </c>
    </row>
    <row r="84" spans="2:6" x14ac:dyDescent="0.35">
      <c r="B84" s="10" t="s">
        <v>111</v>
      </c>
      <c r="C84" s="258">
        <v>0</v>
      </c>
      <c r="D84" s="227"/>
      <c r="E84" s="196">
        <f>C84*D84</f>
        <v>0</v>
      </c>
      <c r="F84">
        <f>194-26</f>
        <v>168</v>
      </c>
    </row>
    <row r="85" spans="2:6" x14ac:dyDescent="0.35">
      <c r="B85" s="10" t="s">
        <v>5</v>
      </c>
      <c r="C85" s="258">
        <v>0</v>
      </c>
      <c r="D85" s="194">
        <f>+D83*1.5</f>
        <v>247.5</v>
      </c>
      <c r="E85" s="196">
        <f>C85*D85</f>
        <v>0</v>
      </c>
    </row>
    <row r="86" spans="2:6" x14ac:dyDescent="0.35">
      <c r="B86" s="10" t="s">
        <v>139</v>
      </c>
      <c r="C86" s="258">
        <v>0</v>
      </c>
      <c r="D86" s="194">
        <f>+D84*2</f>
        <v>0</v>
      </c>
      <c r="E86" s="196">
        <f>+C86*D86</f>
        <v>0</v>
      </c>
    </row>
    <row r="87" spans="2:6" ht="15" thickBot="1" x14ac:dyDescent="0.4">
      <c r="B87" s="10" t="s">
        <v>6</v>
      </c>
      <c r="C87" s="258"/>
      <c r="D87" s="194">
        <v>8000</v>
      </c>
      <c r="E87" s="196">
        <v>8000</v>
      </c>
    </row>
    <row r="88" spans="2:6" ht="15" thickBot="1" x14ac:dyDescent="0.4">
      <c r="B88" s="1323" t="s">
        <v>99</v>
      </c>
      <c r="C88" s="1324"/>
      <c r="D88" s="1324"/>
      <c r="E88" s="304">
        <f>SUM(E83:E87)</f>
        <v>35720</v>
      </c>
    </row>
    <row r="89" spans="2:6" x14ac:dyDescent="0.35">
      <c r="B89" s="1339" t="s">
        <v>19</v>
      </c>
      <c r="C89" s="1340"/>
      <c r="D89" s="1341"/>
      <c r="E89" s="302">
        <v>8000</v>
      </c>
    </row>
    <row r="90" spans="2:6" ht="16" thickBot="1" x14ac:dyDescent="0.4">
      <c r="B90" s="1296" t="s">
        <v>11</v>
      </c>
      <c r="C90" s="1297"/>
      <c r="D90" s="1335"/>
      <c r="E90" s="303">
        <f>+E88-E89</f>
        <v>27720</v>
      </c>
    </row>
  </sheetData>
  <mergeCells count="34">
    <mergeCell ref="N11:P11"/>
    <mergeCell ref="B11:D11"/>
    <mergeCell ref="B12:D12"/>
    <mergeCell ref="B14:E14"/>
    <mergeCell ref="H19:I19"/>
    <mergeCell ref="B1:E1"/>
    <mergeCell ref="G8:G10"/>
    <mergeCell ref="B9:D9"/>
    <mergeCell ref="H10:M10"/>
    <mergeCell ref="B10:D10"/>
    <mergeCell ref="B23:D23"/>
    <mergeCell ref="B24:D24"/>
    <mergeCell ref="B25:D25"/>
    <mergeCell ref="B27:E27"/>
    <mergeCell ref="B35:D35"/>
    <mergeCell ref="B69:D69"/>
    <mergeCell ref="B36:D36"/>
    <mergeCell ref="B37:D37"/>
    <mergeCell ref="B39:E39"/>
    <mergeCell ref="B46:D46"/>
    <mergeCell ref="B48:D48"/>
    <mergeCell ref="B49:D49"/>
    <mergeCell ref="B51:E51"/>
    <mergeCell ref="B58:D58"/>
    <mergeCell ref="B59:D59"/>
    <mergeCell ref="B60:D60"/>
    <mergeCell ref="B62:E62"/>
    <mergeCell ref="B90:D90"/>
    <mergeCell ref="B70:D70"/>
    <mergeCell ref="B71:D71"/>
    <mergeCell ref="B74:E74"/>
    <mergeCell ref="B81:E81"/>
    <mergeCell ref="B88:D88"/>
    <mergeCell ref="B89:D89"/>
  </mergeCells>
  <pageMargins left="0.31496062992125984" right="0.31496062992125984" top="0.15748031496062992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97"/>
  <sheetViews>
    <sheetView topLeftCell="A82" workbookViewId="0">
      <selection activeCell="A6" sqref="A6"/>
    </sheetView>
  </sheetViews>
  <sheetFormatPr baseColWidth="10" defaultRowHeight="14.5" x14ac:dyDescent="0.35"/>
  <cols>
    <col min="2" max="2" width="20.90625" customWidth="1"/>
    <col min="3" max="3" width="18.90625" style="261" customWidth="1"/>
    <col min="4" max="4" width="19.90625" style="202" customWidth="1"/>
    <col min="5" max="5" width="18.54296875" style="203" customWidth="1"/>
    <col min="6" max="6" width="20" bestFit="1" customWidth="1"/>
    <col min="7" max="7" width="10.08984375" customWidth="1"/>
    <col min="8" max="8" width="12.6328125" customWidth="1"/>
    <col min="9" max="9" width="14.08984375" customWidth="1"/>
    <col min="10" max="11" width="12.54296875" customWidth="1"/>
    <col min="12" max="12" width="14.6328125" customWidth="1"/>
    <col min="13" max="13" width="14.54296875" bestFit="1" customWidth="1"/>
    <col min="14" max="14" width="13" customWidth="1"/>
    <col min="15" max="15" width="13.453125" customWidth="1"/>
    <col min="16" max="16" width="14.453125" bestFit="1" customWidth="1"/>
    <col min="17" max="17" width="14.08984375" customWidth="1"/>
  </cols>
  <sheetData>
    <row r="1" spans="2:18" ht="18.75" customHeight="1" thickBot="1" x14ac:dyDescent="0.4">
      <c r="B1" s="1273" t="s">
        <v>10</v>
      </c>
      <c r="C1" s="1274"/>
      <c r="D1" s="1274"/>
      <c r="E1" s="1275"/>
      <c r="F1" s="414"/>
      <c r="H1" s="80" t="s">
        <v>20</v>
      </c>
      <c r="I1" s="74" t="s">
        <v>8</v>
      </c>
      <c r="J1" s="74" t="s">
        <v>112</v>
      </c>
      <c r="K1" s="74" t="s">
        <v>2</v>
      </c>
      <c r="L1" s="74" t="s">
        <v>44</v>
      </c>
      <c r="M1" s="81" t="s">
        <v>43</v>
      </c>
      <c r="N1" s="74" t="s">
        <v>24</v>
      </c>
      <c r="O1" s="74" t="s">
        <v>19</v>
      </c>
      <c r="P1" s="74" t="s">
        <v>18</v>
      </c>
      <c r="Q1" s="68" t="s">
        <v>23</v>
      </c>
    </row>
    <row r="2" spans="2:18" s="452" customFormat="1" ht="18.75" customHeight="1" thickBot="1" x14ac:dyDescent="0.4">
      <c r="B2" s="16" t="s">
        <v>7</v>
      </c>
      <c r="C2" s="257" t="s">
        <v>8</v>
      </c>
      <c r="D2" s="192" t="s">
        <v>4</v>
      </c>
      <c r="E2" s="193" t="s">
        <v>9</v>
      </c>
      <c r="F2" s="415"/>
      <c r="H2" s="230" t="s">
        <v>10</v>
      </c>
      <c r="I2" s="351">
        <f>+E3</f>
        <v>32080.32</v>
      </c>
      <c r="J2" s="352">
        <f>+E6</f>
        <v>4872.96</v>
      </c>
      <c r="K2" s="352"/>
      <c r="L2" s="335">
        <f>+E7+E8+E5+E4</f>
        <v>3609.12</v>
      </c>
      <c r="M2" s="353">
        <f>+E9</f>
        <v>8000</v>
      </c>
      <c r="N2" s="447">
        <f>SUM(I2:M2)</f>
        <v>48562.400000000001</v>
      </c>
      <c r="O2" s="339">
        <f>+E11</f>
        <v>0</v>
      </c>
      <c r="P2" s="437">
        <f>+E12</f>
        <v>29425.38</v>
      </c>
      <c r="Q2" s="235">
        <f>+N2-O2-P2</f>
        <v>19137.02</v>
      </c>
    </row>
    <row r="3" spans="2:18" ht="18.75" customHeight="1" thickBot="1" x14ac:dyDescent="0.4">
      <c r="B3" s="10" t="s">
        <v>3</v>
      </c>
      <c r="C3" s="258">
        <v>158</v>
      </c>
      <c r="D3" s="227">
        <v>203.04</v>
      </c>
      <c r="E3" s="196">
        <f>C3*D3</f>
        <v>32080.32</v>
      </c>
      <c r="F3" s="416"/>
      <c r="H3" s="236" t="s">
        <v>15</v>
      </c>
      <c r="I3" s="356">
        <f>+E19+E22</f>
        <v>32592</v>
      </c>
      <c r="J3" s="356">
        <f>+E21</f>
        <v>5587.2000000000007</v>
      </c>
      <c r="K3" s="356">
        <f>+E20</f>
        <v>13036.800000000001</v>
      </c>
      <c r="L3" s="336">
        <f>+E23+E24</f>
        <v>1629.6000000000001</v>
      </c>
      <c r="M3" s="357">
        <f>+E25</f>
        <v>13000</v>
      </c>
      <c r="N3" s="448">
        <f>SUM(I3:M3)</f>
        <v>65845.600000000006</v>
      </c>
      <c r="O3" s="340">
        <f>+E27</f>
        <v>5000</v>
      </c>
      <c r="P3" s="249">
        <v>0</v>
      </c>
      <c r="Q3" s="235">
        <f>+N3-O3-P3</f>
        <v>60845.600000000006</v>
      </c>
    </row>
    <row r="4" spans="2:18" ht="18.75" customHeight="1" thickBot="1" x14ac:dyDescent="0.4">
      <c r="B4" s="10" t="s">
        <v>182</v>
      </c>
      <c r="C4" s="258"/>
      <c r="D4" s="227">
        <v>3000</v>
      </c>
      <c r="E4" s="196">
        <v>3000</v>
      </c>
      <c r="F4" s="416"/>
      <c r="H4" s="236" t="s">
        <v>16</v>
      </c>
      <c r="I4" s="355">
        <f>+E32</f>
        <v>29577.599999999999</v>
      </c>
      <c r="J4" s="356">
        <f>+E34</f>
        <v>3744</v>
      </c>
      <c r="K4" s="356"/>
      <c r="L4" s="336">
        <f>+E35+E36+E33</f>
        <v>421.19999999999993</v>
      </c>
      <c r="M4" s="357">
        <f>+E37</f>
        <v>8000</v>
      </c>
      <c r="N4" s="447">
        <f t="shared" ref="N4:N9" si="0">SUM(I4:M4)</f>
        <v>41742.799999999996</v>
      </c>
      <c r="O4" s="340">
        <f>+E39</f>
        <v>10000</v>
      </c>
      <c r="P4" s="249">
        <v>0</v>
      </c>
      <c r="Q4" s="235">
        <f t="shared" ref="Q4:Q9" si="1">+N4-O4-P4</f>
        <v>31742.799999999996</v>
      </c>
    </row>
    <row r="5" spans="2:18" ht="18.75" customHeight="1" thickBot="1" x14ac:dyDescent="0.4">
      <c r="B5" s="10" t="s">
        <v>155</v>
      </c>
      <c r="C5" s="258">
        <v>0</v>
      </c>
      <c r="D5" s="227">
        <v>0</v>
      </c>
      <c r="E5" s="196"/>
      <c r="F5" s="416"/>
      <c r="H5" s="236" t="s">
        <v>0</v>
      </c>
      <c r="I5" s="355">
        <f>+E44</f>
        <v>36782.400000000001</v>
      </c>
      <c r="J5" s="356">
        <f>+E45</f>
        <v>5587.2000000000007</v>
      </c>
      <c r="K5" s="356"/>
      <c r="L5" s="336">
        <f>+E48+E47+E46</f>
        <v>7550.2000000000007</v>
      </c>
      <c r="M5" s="357">
        <f>+E49</f>
        <v>13500</v>
      </c>
      <c r="N5" s="447">
        <f t="shared" si="0"/>
        <v>63419.8</v>
      </c>
      <c r="O5" s="340">
        <v>0</v>
      </c>
      <c r="P5" s="249">
        <f>+E52</f>
        <v>30064.45</v>
      </c>
      <c r="Q5" s="235">
        <f t="shared" si="1"/>
        <v>33355.350000000006</v>
      </c>
    </row>
    <row r="6" spans="2:18" ht="18.75" customHeight="1" thickBot="1" x14ac:dyDescent="0.4">
      <c r="B6" s="10" t="s">
        <v>111</v>
      </c>
      <c r="C6" s="258">
        <v>24</v>
      </c>
      <c r="D6" s="227">
        <v>203.04</v>
      </c>
      <c r="E6" s="196">
        <f>C6*D6</f>
        <v>4872.96</v>
      </c>
      <c r="F6" s="416"/>
      <c r="H6" s="236" t="s">
        <v>28</v>
      </c>
      <c r="I6" s="356">
        <f>+E57</f>
        <v>34128</v>
      </c>
      <c r="J6" s="356">
        <f>+E59</f>
        <v>5184</v>
      </c>
      <c r="K6" s="356">
        <f>+E58</f>
        <v>3456</v>
      </c>
      <c r="L6" s="336">
        <f>+E60+E61</f>
        <v>2160</v>
      </c>
      <c r="M6" s="357">
        <f>+E62</f>
        <v>13000</v>
      </c>
      <c r="N6" s="447">
        <f t="shared" si="0"/>
        <v>57928</v>
      </c>
      <c r="O6" s="340">
        <f>+E65</f>
        <v>6000</v>
      </c>
      <c r="P6" s="249">
        <f>+E64</f>
        <v>11023.23</v>
      </c>
      <c r="Q6" s="235">
        <f>+N6-O6-P6</f>
        <v>40904.770000000004</v>
      </c>
    </row>
    <row r="7" spans="2:18" ht="18.75" customHeight="1" thickBot="1" x14ac:dyDescent="0.4">
      <c r="B7" s="10" t="s">
        <v>5</v>
      </c>
      <c r="C7" s="258">
        <v>2</v>
      </c>
      <c r="D7" s="194">
        <f>+D3*1.5</f>
        <v>304.56</v>
      </c>
      <c r="E7" s="196">
        <f>C7*D7</f>
        <v>609.12</v>
      </c>
      <c r="F7" s="416"/>
      <c r="H7" s="236" t="s">
        <v>17</v>
      </c>
      <c r="I7" s="356">
        <f>+E70</f>
        <v>25027.200000000001</v>
      </c>
      <c r="J7" s="356">
        <f>+E71</f>
        <v>3801.6000000000004</v>
      </c>
      <c r="K7" s="356"/>
      <c r="L7" s="336">
        <f>+E72+E73</f>
        <v>0</v>
      </c>
      <c r="M7" s="357">
        <f>+E74</f>
        <v>8000</v>
      </c>
      <c r="N7" s="447">
        <f t="shared" si="0"/>
        <v>36828.800000000003</v>
      </c>
      <c r="O7" s="340">
        <f>+E76</f>
        <v>0</v>
      </c>
      <c r="P7" s="249">
        <v>0</v>
      </c>
      <c r="Q7" s="235">
        <f t="shared" si="1"/>
        <v>36828.800000000003</v>
      </c>
    </row>
    <row r="8" spans="2:18" ht="18.75" customHeight="1" thickBot="1" x14ac:dyDescent="0.4">
      <c r="B8" s="10" t="s">
        <v>139</v>
      </c>
      <c r="C8" s="258">
        <v>0</v>
      </c>
      <c r="D8" s="194">
        <f>+D6*2</f>
        <v>406.08</v>
      </c>
      <c r="E8" s="196">
        <f>+C8*D8</f>
        <v>0</v>
      </c>
      <c r="F8" s="416"/>
      <c r="G8" s="1310"/>
      <c r="H8" s="444" t="s">
        <v>174</v>
      </c>
      <c r="I8" s="445">
        <f>+E90</f>
        <v>26070</v>
      </c>
      <c r="J8" s="445">
        <f>+E91</f>
        <v>3960</v>
      </c>
      <c r="K8" s="445"/>
      <c r="L8" s="446">
        <f>+E92</f>
        <v>0</v>
      </c>
      <c r="M8" s="336">
        <f>+E94</f>
        <v>8000</v>
      </c>
      <c r="N8" s="447">
        <f t="shared" si="0"/>
        <v>38030</v>
      </c>
      <c r="O8" s="342">
        <f>+E96</f>
        <v>5000</v>
      </c>
      <c r="P8" s="249">
        <v>0</v>
      </c>
      <c r="Q8" s="235">
        <f>+N8-O8</f>
        <v>33030</v>
      </c>
    </row>
    <row r="9" spans="2:18" ht="18.75" customHeight="1" thickBot="1" x14ac:dyDescent="0.4">
      <c r="B9" s="10" t="s">
        <v>6</v>
      </c>
      <c r="C9" s="258">
        <v>8000</v>
      </c>
      <c r="D9" s="194"/>
      <c r="E9" s="196">
        <f>+C9</f>
        <v>8000</v>
      </c>
      <c r="F9" s="421"/>
      <c r="G9" s="1310"/>
      <c r="H9" s="245" t="s">
        <v>42</v>
      </c>
      <c r="I9" s="361">
        <f>+E82</f>
        <v>30000</v>
      </c>
      <c r="J9" s="461"/>
      <c r="K9" s="461"/>
      <c r="L9" s="338">
        <f>+E83+E84</f>
        <v>3375</v>
      </c>
      <c r="M9" s="362">
        <v>0</v>
      </c>
      <c r="N9" s="447">
        <f t="shared" si="0"/>
        <v>33375</v>
      </c>
      <c r="O9" s="342">
        <v>0</v>
      </c>
      <c r="P9" s="251">
        <v>0</v>
      </c>
      <c r="Q9" s="235">
        <f t="shared" si="1"/>
        <v>33375</v>
      </c>
    </row>
    <row r="10" spans="2:18" ht="18.75" customHeight="1" thickBot="1" x14ac:dyDescent="0.4">
      <c r="B10" s="1323" t="s">
        <v>99</v>
      </c>
      <c r="C10" s="1324"/>
      <c r="D10" s="1324"/>
      <c r="E10" s="304">
        <f>SUM(E3:E9)</f>
        <v>48562.400000000001</v>
      </c>
      <c r="F10" s="422"/>
      <c r="G10" s="1310"/>
      <c r="H10" s="1332" t="s">
        <v>124</v>
      </c>
      <c r="I10" s="1333"/>
      <c r="J10" s="1333"/>
      <c r="K10" s="1333"/>
      <c r="L10" s="1333"/>
      <c r="M10" s="1333"/>
      <c r="N10" s="1334"/>
      <c r="O10" s="256">
        <f>SUM(O2:O9)</f>
        <v>26000</v>
      </c>
      <c r="P10" s="256">
        <f>SUM(P2:P9)</f>
        <v>70513.06</v>
      </c>
      <c r="Q10" s="256">
        <f>SUM(Q2:Q9)</f>
        <v>289219.34000000003</v>
      </c>
    </row>
    <row r="11" spans="2:18" ht="18.75" customHeight="1" thickBot="1" x14ac:dyDescent="0.4">
      <c r="B11" s="1339" t="s">
        <v>19</v>
      </c>
      <c r="C11" s="1340"/>
      <c r="D11" s="1341"/>
      <c r="E11" s="302">
        <v>0</v>
      </c>
      <c r="F11" s="422"/>
      <c r="G11" s="176"/>
      <c r="H11" s="248"/>
      <c r="I11" s="248"/>
      <c r="J11" s="248"/>
      <c r="K11" s="248"/>
      <c r="L11" s="248"/>
      <c r="M11" s="248"/>
      <c r="N11" s="248"/>
      <c r="O11" s="1318">
        <f>+P10+Q10+O10</f>
        <v>385732.4</v>
      </c>
      <c r="P11" s="1319"/>
      <c r="Q11" s="1320"/>
    </row>
    <row r="12" spans="2:18" ht="18.75" customHeight="1" thickBot="1" x14ac:dyDescent="0.4">
      <c r="B12" s="1336" t="s">
        <v>18</v>
      </c>
      <c r="C12" s="1337"/>
      <c r="D12" s="1338"/>
      <c r="E12" s="198">
        <v>29425.38</v>
      </c>
      <c r="F12" s="419"/>
      <c r="H12" s="433"/>
      <c r="I12" s="434"/>
      <c r="J12" s="434"/>
      <c r="K12" s="434"/>
      <c r="L12" s="176"/>
    </row>
    <row r="13" spans="2:18" ht="18.75" customHeight="1" thickBot="1" x14ac:dyDescent="0.4">
      <c r="B13" s="1296" t="s">
        <v>11</v>
      </c>
      <c r="C13" s="1297"/>
      <c r="D13" s="1335"/>
      <c r="E13" s="303">
        <f>+E10-E12</f>
        <v>19137.02</v>
      </c>
      <c r="F13" s="420"/>
      <c r="H13" s="321"/>
      <c r="I13" s="321"/>
      <c r="J13" s="321"/>
      <c r="K13" s="321"/>
      <c r="M13" s="57"/>
      <c r="N13" s="61" t="s">
        <v>29</v>
      </c>
      <c r="O13" s="61" t="s">
        <v>30</v>
      </c>
      <c r="P13" s="62" t="s">
        <v>32</v>
      </c>
    </row>
    <row r="14" spans="2:18" ht="19.5" customHeight="1" x14ac:dyDescent="0.35">
      <c r="B14" s="455"/>
      <c r="C14" s="455"/>
      <c r="D14" s="455"/>
      <c r="E14" s="456"/>
      <c r="F14" s="420"/>
      <c r="G14" s="4"/>
      <c r="L14" s="4"/>
      <c r="M14" s="172" t="s">
        <v>0</v>
      </c>
      <c r="N14" s="63">
        <f>194*1.2</f>
        <v>232.79999999999998</v>
      </c>
      <c r="O14" s="173">
        <f>+N14*1.5</f>
        <v>349.2</v>
      </c>
      <c r="P14" s="175">
        <v>13500</v>
      </c>
    </row>
    <row r="15" spans="2:18" ht="19.5" customHeight="1" thickBot="1" x14ac:dyDescent="0.4">
      <c r="B15" s="455"/>
      <c r="C15" s="455"/>
      <c r="D15" s="455"/>
      <c r="E15" s="456"/>
      <c r="F15" s="420"/>
      <c r="G15" s="363"/>
      <c r="H15" s="322" t="s">
        <v>106</v>
      </c>
      <c r="I15" s="323" t="s">
        <v>107</v>
      </c>
      <c r="J15" s="323" t="s">
        <v>172</v>
      </c>
      <c r="K15" s="323"/>
      <c r="M15" s="58" t="s">
        <v>28</v>
      </c>
      <c r="N15" s="64">
        <f>180*1.2</f>
        <v>216</v>
      </c>
      <c r="O15" s="50">
        <f t="shared" ref="O15:O20" si="2">+N15*1.5</f>
        <v>324</v>
      </c>
      <c r="P15" s="53">
        <v>13000</v>
      </c>
    </row>
    <row r="16" spans="2:18" s="452" customFormat="1" ht="19.5" customHeight="1" thickBot="1" x14ac:dyDescent="0.4">
      <c r="B16"/>
      <c r="C16" s="261"/>
      <c r="D16" s="202"/>
      <c r="E16" s="203"/>
      <c r="F16" s="414"/>
      <c r="G16" s="363" t="s">
        <v>116</v>
      </c>
      <c r="H16" s="326">
        <v>14</v>
      </c>
      <c r="I16" s="327">
        <v>9</v>
      </c>
      <c r="J16" s="451">
        <f>+H16*I16</f>
        <v>126</v>
      </c>
      <c r="K16" s="101"/>
      <c r="L16"/>
      <c r="M16" s="58" t="s">
        <v>15</v>
      </c>
      <c r="N16" s="64">
        <f>180*1.2</f>
        <v>216</v>
      </c>
      <c r="O16" s="50">
        <f t="shared" si="2"/>
        <v>324</v>
      </c>
      <c r="P16" s="53">
        <v>13000</v>
      </c>
      <c r="Q16"/>
      <c r="R16"/>
    </row>
    <row r="17" spans="1:18" ht="18.75" customHeight="1" thickBot="1" x14ac:dyDescent="0.4">
      <c r="B17" s="1273" t="s">
        <v>15</v>
      </c>
      <c r="C17" s="1274"/>
      <c r="D17" s="1274"/>
      <c r="E17" s="1275"/>
      <c r="F17" s="415"/>
      <c r="G17" s="364" t="s">
        <v>111</v>
      </c>
      <c r="H17" s="344">
        <v>3</v>
      </c>
      <c r="I17" s="345">
        <v>8</v>
      </c>
      <c r="J17" s="451">
        <f>+H17*I17</f>
        <v>24</v>
      </c>
      <c r="K17" s="101"/>
      <c r="M17" s="58" t="s">
        <v>10</v>
      </c>
      <c r="N17" s="64">
        <f>169.2*1.2</f>
        <v>203.04</v>
      </c>
      <c r="O17" s="50">
        <f t="shared" si="2"/>
        <v>304.56</v>
      </c>
      <c r="P17" s="53">
        <v>8000</v>
      </c>
      <c r="R17" s="452"/>
    </row>
    <row r="18" spans="1:18" ht="18.75" customHeight="1" thickBot="1" x14ac:dyDescent="0.4">
      <c r="B18" s="16" t="s">
        <v>7</v>
      </c>
      <c r="C18" s="257" t="s">
        <v>8</v>
      </c>
      <c r="D18" s="192" t="s">
        <v>4</v>
      </c>
      <c r="E18" s="193" t="s">
        <v>9</v>
      </c>
      <c r="F18" s="416"/>
      <c r="G18" s="364" t="s">
        <v>117</v>
      </c>
      <c r="H18" s="328">
        <v>4</v>
      </c>
      <c r="I18" s="329">
        <v>8</v>
      </c>
      <c r="J18" s="325">
        <f>+H18*I18</f>
        <v>32</v>
      </c>
      <c r="K18" s="101"/>
      <c r="M18" s="59" t="s">
        <v>16</v>
      </c>
      <c r="N18" s="64">
        <f>156*1.2</f>
        <v>187.2</v>
      </c>
      <c r="O18" s="50">
        <f t="shared" si="2"/>
        <v>280.79999999999995</v>
      </c>
      <c r="P18" s="53">
        <v>8000</v>
      </c>
      <c r="R18" s="452"/>
    </row>
    <row r="19" spans="1:18" ht="18.75" customHeight="1" thickBot="1" x14ac:dyDescent="0.4">
      <c r="B19" s="10" t="s">
        <v>3</v>
      </c>
      <c r="C19" s="258">
        <v>158</v>
      </c>
      <c r="D19" s="194">
        <v>232.8</v>
      </c>
      <c r="E19" s="196">
        <f t="shared" ref="E19:E24" si="3">C19*D19</f>
        <v>36782.400000000001</v>
      </c>
      <c r="F19" s="416"/>
      <c r="G19" s="156"/>
      <c r="H19" s="1311" t="s">
        <v>108</v>
      </c>
      <c r="I19" s="1312"/>
      <c r="J19" s="330">
        <f>SUM(J16:J18)</f>
        <v>182</v>
      </c>
      <c r="K19" s="101"/>
      <c r="M19" s="59" t="s">
        <v>174</v>
      </c>
      <c r="N19" s="64">
        <v>165</v>
      </c>
      <c r="O19" s="50">
        <f t="shared" si="2"/>
        <v>247.5</v>
      </c>
      <c r="P19" s="53">
        <v>8000</v>
      </c>
      <c r="R19" s="452"/>
    </row>
    <row r="20" spans="1:18" ht="16" thickBot="1" x14ac:dyDescent="0.4">
      <c r="B20" s="10" t="s">
        <v>181</v>
      </c>
      <c r="C20" s="258">
        <v>56</v>
      </c>
      <c r="D20" s="194">
        <f>+D19</f>
        <v>232.8</v>
      </c>
      <c r="E20" s="196">
        <f t="shared" si="3"/>
        <v>13036.800000000001</v>
      </c>
      <c r="F20" s="443" t="s">
        <v>175</v>
      </c>
      <c r="H20" s="248"/>
      <c r="I20" s="432"/>
      <c r="J20" s="450"/>
      <c r="K20" s="453"/>
      <c r="M20" s="60" t="s">
        <v>17</v>
      </c>
      <c r="N20" s="65">
        <f>132*1.2</f>
        <v>158.4</v>
      </c>
      <c r="O20" s="56">
        <f t="shared" si="2"/>
        <v>237.60000000000002</v>
      </c>
      <c r="P20" s="55">
        <v>8000</v>
      </c>
      <c r="Q20" s="4"/>
    </row>
    <row r="21" spans="1:18" ht="15.5" x14ac:dyDescent="0.35">
      <c r="B21" s="10" t="s">
        <v>111</v>
      </c>
      <c r="C21" s="258">
        <v>24</v>
      </c>
      <c r="D21" s="194">
        <v>232.8</v>
      </c>
      <c r="E21" s="196">
        <f t="shared" si="3"/>
        <v>5587.2000000000007</v>
      </c>
      <c r="F21" s="416" t="s">
        <v>178</v>
      </c>
      <c r="H21" s="248"/>
      <c r="I21" s="432"/>
      <c r="J21" s="453"/>
      <c r="K21" s="453"/>
      <c r="M21" s="314"/>
      <c r="N21" s="50"/>
      <c r="O21" s="50"/>
      <c r="P21" s="50"/>
      <c r="Q21" s="4"/>
    </row>
    <row r="22" spans="1:18" x14ac:dyDescent="0.35">
      <c r="B22" s="10" t="s">
        <v>177</v>
      </c>
      <c r="C22" s="258">
        <v>-18</v>
      </c>
      <c r="D22" s="194">
        <v>232.8</v>
      </c>
      <c r="E22" s="196">
        <f t="shared" si="3"/>
        <v>-4190.4000000000005</v>
      </c>
      <c r="F22" s="416" t="s">
        <v>179</v>
      </c>
      <c r="L22" s="51"/>
      <c r="M22" s="66"/>
      <c r="N22" s="49"/>
      <c r="O22" s="49"/>
    </row>
    <row r="23" spans="1:18" x14ac:dyDescent="0.35">
      <c r="B23" s="10" t="s">
        <v>139</v>
      </c>
      <c r="C23" s="258">
        <v>3.5</v>
      </c>
      <c r="D23" s="194">
        <f>+D19*2</f>
        <v>465.6</v>
      </c>
      <c r="E23" s="196">
        <f t="shared" si="3"/>
        <v>1629.6000000000001</v>
      </c>
      <c r="F23" s="421"/>
      <c r="M23" s="49"/>
      <c r="N23" s="49"/>
    </row>
    <row r="24" spans="1:18" x14ac:dyDescent="0.35">
      <c r="B24" s="10" t="s">
        <v>5</v>
      </c>
      <c r="C24" s="315">
        <v>0</v>
      </c>
      <c r="D24" s="194">
        <f>+D19*1.5</f>
        <v>349.20000000000005</v>
      </c>
      <c r="E24" s="196">
        <f t="shared" si="3"/>
        <v>0</v>
      </c>
      <c r="F24" s="422"/>
      <c r="G24" s="4"/>
      <c r="H24" s="452"/>
      <c r="I24" s="410"/>
      <c r="J24" s="181"/>
      <c r="K24" s="181"/>
      <c r="L24" s="181"/>
    </row>
    <row r="25" spans="1:18" ht="16" thickBot="1" x14ac:dyDescent="0.4">
      <c r="B25" s="10" t="s">
        <v>6</v>
      </c>
      <c r="C25" s="258">
        <v>13000</v>
      </c>
      <c r="D25" s="194"/>
      <c r="E25" s="196">
        <f>+C25</f>
        <v>13000</v>
      </c>
      <c r="F25" s="419"/>
      <c r="H25" s="452"/>
      <c r="I25" s="452"/>
      <c r="J25" s="181"/>
      <c r="K25" s="181"/>
      <c r="L25" s="181"/>
    </row>
    <row r="26" spans="1:18" ht="15" thickBot="1" x14ac:dyDescent="0.4">
      <c r="B26" s="1323" t="s">
        <v>99</v>
      </c>
      <c r="C26" s="1324"/>
      <c r="D26" s="1324"/>
      <c r="E26" s="304">
        <f>SUM(E19:E25)</f>
        <v>65845.600000000006</v>
      </c>
      <c r="F26" s="420"/>
      <c r="L26" s="183"/>
    </row>
    <row r="27" spans="1:18" s="4" customFormat="1" ht="20" thickBot="1" x14ac:dyDescent="0.5">
      <c r="B27" s="1329" t="s">
        <v>19</v>
      </c>
      <c r="C27" s="1330"/>
      <c r="D27" s="1331"/>
      <c r="E27" s="207">
        <v>5000</v>
      </c>
      <c r="F27" s="412"/>
      <c r="G27" s="106"/>
      <c r="H27"/>
      <c r="I27"/>
      <c r="J27"/>
      <c r="K27"/>
      <c r="L27" s="183"/>
      <c r="M27"/>
      <c r="N27"/>
      <c r="O27"/>
      <c r="P27"/>
      <c r="Q27"/>
    </row>
    <row r="28" spans="1:18" ht="16" thickBot="1" x14ac:dyDescent="0.4">
      <c r="B28" s="1296" t="s">
        <v>11</v>
      </c>
      <c r="C28" s="1297"/>
      <c r="D28" s="1298"/>
      <c r="E28" s="201">
        <f>+E26-E27</f>
        <v>60845.600000000006</v>
      </c>
      <c r="F28" s="423"/>
      <c r="G28" s="406"/>
      <c r="H28" s="183"/>
      <c r="L28" s="183"/>
    </row>
    <row r="29" spans="1:18" ht="15" thickBot="1" x14ac:dyDescent="0.4">
      <c r="A29" s="452"/>
      <c r="F29" s="413"/>
      <c r="G29" s="452"/>
      <c r="H29" s="183"/>
      <c r="I29" s="452"/>
      <c r="J29" s="452"/>
      <c r="K29" s="454"/>
      <c r="L29" s="183"/>
    </row>
    <row r="30" spans="1:18" s="452" customFormat="1" ht="20" thickBot="1" x14ac:dyDescent="0.5">
      <c r="A30"/>
      <c r="B30" s="1315" t="s">
        <v>16</v>
      </c>
      <c r="C30" s="1316"/>
      <c r="D30" s="1316"/>
      <c r="E30" s="1317"/>
      <c r="F30" s="155"/>
      <c r="G30"/>
      <c r="H30" s="181"/>
      <c r="K30" s="454"/>
      <c r="L30" s="180"/>
      <c r="M30"/>
      <c r="N30"/>
      <c r="O30"/>
      <c r="P30"/>
      <c r="Q30"/>
    </row>
    <row r="31" spans="1:18" s="452" customFormat="1" x14ac:dyDescent="0.35">
      <c r="A31"/>
      <c r="B31" s="169" t="s">
        <v>7</v>
      </c>
      <c r="C31" s="266" t="s">
        <v>8</v>
      </c>
      <c r="D31" s="209" t="s">
        <v>4</v>
      </c>
      <c r="E31" s="210" t="s">
        <v>9</v>
      </c>
      <c r="F31" s="155"/>
      <c r="G31"/>
      <c r="H31" s="181"/>
      <c r="I31"/>
      <c r="J31"/>
      <c r="K31"/>
      <c r="L31" s="181"/>
      <c r="M31"/>
      <c r="N31"/>
      <c r="O31"/>
      <c r="P31"/>
      <c r="Q31"/>
    </row>
    <row r="32" spans="1:18" x14ac:dyDescent="0.35">
      <c r="B32" s="165" t="s">
        <v>3</v>
      </c>
      <c r="C32" s="267">
        <v>158</v>
      </c>
      <c r="D32" s="211">
        <v>187.2</v>
      </c>
      <c r="E32" s="212">
        <f>C32*D32</f>
        <v>29577.599999999999</v>
      </c>
      <c r="F32" s="155"/>
      <c r="H32" s="181"/>
      <c r="J32" s="183"/>
      <c r="K32" s="183"/>
      <c r="L32" s="181"/>
    </row>
    <row r="33" spans="1:17" x14ac:dyDescent="0.35">
      <c r="B33" s="165" t="s">
        <v>155</v>
      </c>
      <c r="C33" s="267">
        <v>0</v>
      </c>
      <c r="D33" s="211"/>
      <c r="E33" s="212">
        <v>0</v>
      </c>
      <c r="F33" s="155"/>
      <c r="G33" s="452"/>
      <c r="H33" s="181"/>
      <c r="I33" s="183"/>
      <c r="J33" s="180"/>
      <c r="K33" s="180"/>
    </row>
    <row r="34" spans="1:17" x14ac:dyDescent="0.35">
      <c r="B34" s="165" t="s">
        <v>111</v>
      </c>
      <c r="C34" s="267">
        <v>24</v>
      </c>
      <c r="D34" s="211">
        <v>156</v>
      </c>
      <c r="E34" s="212">
        <f>C34*D34</f>
        <v>3744</v>
      </c>
      <c r="F34" s="106"/>
      <c r="G34" s="452"/>
      <c r="I34" s="183"/>
      <c r="J34" s="180"/>
      <c r="K34" s="180"/>
      <c r="L34" s="184"/>
    </row>
    <row r="35" spans="1:17" x14ac:dyDescent="0.35">
      <c r="B35" s="165" t="s">
        <v>139</v>
      </c>
      <c r="C35" s="267">
        <v>0</v>
      </c>
      <c r="D35" s="211">
        <f>+D32*2</f>
        <v>374.4</v>
      </c>
      <c r="E35" s="212">
        <f>C35*D35</f>
        <v>0</v>
      </c>
      <c r="I35" s="181"/>
      <c r="J35" s="184"/>
      <c r="K35" s="184"/>
      <c r="L35" s="184"/>
    </row>
    <row r="36" spans="1:17" x14ac:dyDescent="0.35">
      <c r="B36" s="165" t="s">
        <v>5</v>
      </c>
      <c r="C36" s="267">
        <v>1.5</v>
      </c>
      <c r="D36" s="211">
        <f>+D32*1.5</f>
        <v>280.79999999999995</v>
      </c>
      <c r="E36" s="212">
        <f>C36*D36</f>
        <v>421.19999999999993</v>
      </c>
      <c r="I36" s="181"/>
      <c r="J36" s="181"/>
      <c r="K36" s="181"/>
      <c r="L36" s="184"/>
      <c r="M36" s="180"/>
      <c r="N36" s="181"/>
      <c r="O36" s="181"/>
      <c r="P36" s="181"/>
    </row>
    <row r="37" spans="1:17" ht="15" thickBot="1" x14ac:dyDescent="0.4">
      <c r="B37" s="165" t="s">
        <v>6</v>
      </c>
      <c r="C37" s="267">
        <v>8000</v>
      </c>
      <c r="D37" s="211"/>
      <c r="E37" s="212">
        <f>+C37</f>
        <v>8000</v>
      </c>
      <c r="I37" s="181"/>
      <c r="J37" s="181"/>
      <c r="K37" s="181"/>
      <c r="L37" s="185"/>
      <c r="M37" s="180"/>
      <c r="N37" s="181"/>
      <c r="O37" s="181"/>
      <c r="P37" s="181"/>
      <c r="Q37" s="452"/>
    </row>
    <row r="38" spans="1:17" ht="15" thickBot="1" x14ac:dyDescent="0.4">
      <c r="A38" s="106"/>
      <c r="B38" s="1323" t="s">
        <v>99</v>
      </c>
      <c r="C38" s="1324"/>
      <c r="D38" s="1324"/>
      <c r="E38" s="304">
        <f>SUM(E32:E37)</f>
        <v>41742.799999999996</v>
      </c>
      <c r="I38" s="181"/>
      <c r="J38" s="181"/>
      <c r="K38" s="181"/>
      <c r="L38" s="189"/>
      <c r="M38" s="180"/>
      <c r="N38" s="181"/>
      <c r="O38" s="181"/>
      <c r="P38" s="181"/>
    </row>
    <row r="39" spans="1:17" ht="15" thickBot="1" x14ac:dyDescent="0.4">
      <c r="A39" s="155"/>
      <c r="B39" s="1352" t="s">
        <v>19</v>
      </c>
      <c r="C39" s="1353"/>
      <c r="D39" s="1354"/>
      <c r="E39" s="214">
        <v>10000</v>
      </c>
      <c r="G39" s="181"/>
      <c r="H39" s="115"/>
      <c r="L39" s="189"/>
      <c r="M39" s="180"/>
      <c r="N39" s="181"/>
      <c r="O39" s="181"/>
      <c r="P39" s="181"/>
    </row>
    <row r="40" spans="1:17" ht="15" thickBot="1" x14ac:dyDescent="0.4">
      <c r="A40" s="155"/>
      <c r="B40" s="1355" t="s">
        <v>11</v>
      </c>
      <c r="C40" s="1356"/>
      <c r="D40" s="1357"/>
      <c r="E40" s="216">
        <f>+E38-E39</f>
        <v>31742.799999999996</v>
      </c>
      <c r="F40" s="180"/>
      <c r="G40" s="409"/>
      <c r="H40" s="115"/>
      <c r="L40" s="185"/>
      <c r="M40" s="181"/>
      <c r="N40" s="181"/>
      <c r="O40" s="181"/>
    </row>
    <row r="41" spans="1:17" ht="15" thickBot="1" x14ac:dyDescent="0.4">
      <c r="A41" s="155"/>
      <c r="F41" s="155"/>
      <c r="G41" s="409"/>
      <c r="L41" s="185"/>
      <c r="M41" s="181"/>
      <c r="N41" s="184"/>
    </row>
    <row r="42" spans="1:17" ht="23.5" x14ac:dyDescent="0.35">
      <c r="A42" s="155"/>
      <c r="B42" s="1276" t="s">
        <v>0</v>
      </c>
      <c r="C42" s="1277"/>
      <c r="D42" s="1277"/>
      <c r="E42" s="1278"/>
      <c r="F42" s="155"/>
      <c r="G42" s="409"/>
      <c r="L42" s="182"/>
      <c r="M42" s="181"/>
      <c r="N42" s="184"/>
    </row>
    <row r="43" spans="1:17" x14ac:dyDescent="0.35">
      <c r="A43" s="156"/>
      <c r="B43" s="8" t="s">
        <v>7</v>
      </c>
      <c r="C43" s="270" t="s">
        <v>8</v>
      </c>
      <c r="D43" s="217" t="s">
        <v>4</v>
      </c>
      <c r="E43" s="218" t="s">
        <v>9</v>
      </c>
      <c r="F43" s="106"/>
      <c r="G43" s="311"/>
      <c r="L43" s="182"/>
    </row>
    <row r="44" spans="1:17" s="452" customFormat="1" x14ac:dyDescent="0.35">
      <c r="A44" s="155"/>
      <c r="B44" s="10" t="s">
        <v>3</v>
      </c>
      <c r="C44" s="258">
        <v>158</v>
      </c>
      <c r="D44" s="194">
        <v>232.8</v>
      </c>
      <c r="E44" s="196">
        <f>C44*D44</f>
        <v>36782.400000000001</v>
      </c>
      <c r="F44" s="106"/>
      <c r="G44"/>
      <c r="H44"/>
      <c r="I44" s="115"/>
      <c r="K44" s="454"/>
      <c r="L44" s="176"/>
      <c r="M44"/>
      <c r="Q44"/>
    </row>
    <row r="45" spans="1:17" x14ac:dyDescent="0.35">
      <c r="A45" s="155"/>
      <c r="B45" s="10" t="s">
        <v>111</v>
      </c>
      <c r="C45" s="258">
        <v>24</v>
      </c>
      <c r="D45" s="194">
        <v>232.8</v>
      </c>
      <c r="E45" s="196">
        <f>C45*D45</f>
        <v>5587.2000000000007</v>
      </c>
      <c r="F45" s="106"/>
      <c r="I45" s="115"/>
      <c r="J45" s="462"/>
      <c r="K45" s="462"/>
      <c r="L45" s="176"/>
      <c r="N45" s="462"/>
      <c r="O45" s="462"/>
      <c r="P45" s="462"/>
    </row>
    <row r="46" spans="1:17" x14ac:dyDescent="0.35">
      <c r="A46" s="155"/>
      <c r="B46" s="10" t="s">
        <v>182</v>
      </c>
      <c r="C46" s="258"/>
      <c r="D46" s="194"/>
      <c r="E46" s="196">
        <v>4000</v>
      </c>
      <c r="F46" s="106"/>
      <c r="I46" s="115"/>
      <c r="J46" s="452"/>
      <c r="K46" s="454"/>
      <c r="L46" s="176"/>
      <c r="Q46" s="452"/>
    </row>
    <row r="47" spans="1:17" x14ac:dyDescent="0.35">
      <c r="A47" s="155"/>
      <c r="B47" s="10" t="s">
        <v>139</v>
      </c>
      <c r="C47" s="258">
        <v>3.5</v>
      </c>
      <c r="D47" s="194">
        <f>+D44*2</f>
        <v>465.6</v>
      </c>
      <c r="E47" s="196">
        <f>C47*D47</f>
        <v>1629.6000000000001</v>
      </c>
      <c r="F47" s="106"/>
      <c r="L47" s="176"/>
      <c r="M47" s="452"/>
      <c r="N47" s="452"/>
      <c r="O47" s="452"/>
      <c r="P47" s="452"/>
    </row>
    <row r="48" spans="1:17" x14ac:dyDescent="0.35">
      <c r="A48" s="155"/>
      <c r="B48" s="10" t="s">
        <v>5</v>
      </c>
      <c r="C48" s="315">
        <v>5.5</v>
      </c>
      <c r="D48" s="194">
        <f>+D44*1.5</f>
        <v>349.20000000000005</v>
      </c>
      <c r="E48" s="196">
        <f>C48*D48</f>
        <v>1920.6000000000004</v>
      </c>
      <c r="F48" s="106"/>
      <c r="L48" s="449"/>
      <c r="M48" s="180"/>
      <c r="N48" s="181"/>
      <c r="O48" s="187"/>
      <c r="P48" s="188"/>
      <c r="Q48" s="452"/>
    </row>
    <row r="49" spans="1:17" ht="15" thickBot="1" x14ac:dyDescent="0.4">
      <c r="A49" s="155"/>
      <c r="B49" s="10" t="s">
        <v>6</v>
      </c>
      <c r="C49" s="258">
        <v>13500</v>
      </c>
      <c r="D49" s="194"/>
      <c r="E49" s="196">
        <f>+C49</f>
        <v>13500</v>
      </c>
      <c r="F49" s="106"/>
      <c r="G49" s="452"/>
      <c r="L49" s="176"/>
      <c r="M49" s="180"/>
      <c r="N49" s="181"/>
      <c r="O49" s="181"/>
      <c r="P49" s="184"/>
    </row>
    <row r="50" spans="1:17" ht="15" thickBot="1" x14ac:dyDescent="0.4">
      <c r="B50" s="1323" t="s">
        <v>99</v>
      </c>
      <c r="C50" s="1324"/>
      <c r="D50" s="1324"/>
      <c r="E50" s="304">
        <f>SUM(E44:E49)</f>
        <v>63419.8</v>
      </c>
      <c r="F50" s="106"/>
      <c r="G50" s="452"/>
      <c r="H50" s="452"/>
      <c r="L50" s="176"/>
      <c r="M50" s="180"/>
      <c r="N50" s="181"/>
      <c r="O50" s="181"/>
      <c r="P50" s="184"/>
    </row>
    <row r="51" spans="1:17" x14ac:dyDescent="0.35">
      <c r="B51" s="320" t="s">
        <v>19</v>
      </c>
      <c r="C51" s="319"/>
      <c r="D51" s="319"/>
      <c r="E51" s="343">
        <v>0</v>
      </c>
      <c r="F51" s="106"/>
      <c r="L51" s="176"/>
      <c r="M51" s="180"/>
      <c r="N51" s="181"/>
      <c r="O51" s="181"/>
      <c r="P51" s="184"/>
    </row>
    <row r="52" spans="1:17" ht="15" thickBot="1" x14ac:dyDescent="0.4">
      <c r="B52" s="1336" t="s">
        <v>18</v>
      </c>
      <c r="C52" s="1337"/>
      <c r="D52" s="1338"/>
      <c r="E52" s="198">
        <v>30064.45</v>
      </c>
      <c r="F52" s="317"/>
      <c r="L52" s="183"/>
      <c r="M52" s="180"/>
      <c r="N52" s="181"/>
      <c r="O52" s="181"/>
      <c r="P52" s="184"/>
    </row>
    <row r="53" spans="1:17" ht="16" thickBot="1" x14ac:dyDescent="0.4">
      <c r="B53" s="1296" t="s">
        <v>11</v>
      </c>
      <c r="C53" s="1297"/>
      <c r="D53" s="1298"/>
      <c r="E53" s="201">
        <f>+E50-E51-E52</f>
        <v>33355.350000000006</v>
      </c>
      <c r="F53" s="317"/>
      <c r="L53" s="176"/>
      <c r="M53" s="191"/>
      <c r="N53" s="181"/>
      <c r="O53" s="181"/>
      <c r="P53" s="184"/>
      <c r="Q53" s="452"/>
    </row>
    <row r="54" spans="1:17" ht="15" thickBot="1" x14ac:dyDescent="0.4">
      <c r="A54" s="452"/>
      <c r="F54" s="389"/>
      <c r="L54" s="176"/>
      <c r="M54" s="180"/>
      <c r="N54" s="181"/>
      <c r="O54" s="181"/>
      <c r="P54" s="184"/>
      <c r="Q54" s="452"/>
    </row>
    <row r="55" spans="1:17" s="452" customFormat="1" ht="23.5" x14ac:dyDescent="0.35">
      <c r="A55"/>
      <c r="B55" s="1276" t="s">
        <v>28</v>
      </c>
      <c r="C55" s="1277"/>
      <c r="D55" s="1277"/>
      <c r="E55" s="1278"/>
      <c r="F55" s="394"/>
      <c r="G55"/>
      <c r="H55"/>
      <c r="K55" s="454"/>
      <c r="L55" s="176"/>
      <c r="M55" s="180"/>
      <c r="N55" s="181"/>
      <c r="O55" s="181"/>
      <c r="P55" s="184"/>
    </row>
    <row r="56" spans="1:17" x14ac:dyDescent="0.35">
      <c r="A56" s="452"/>
      <c r="B56" s="8" t="s">
        <v>7</v>
      </c>
      <c r="C56" s="270" t="s">
        <v>8</v>
      </c>
      <c r="D56" s="217" t="s">
        <v>4</v>
      </c>
      <c r="E56" s="218" t="s">
        <v>9</v>
      </c>
      <c r="F56" s="114"/>
      <c r="L56" s="176"/>
      <c r="M56" s="180"/>
      <c r="N56" s="181"/>
      <c r="O56" s="181"/>
      <c r="P56" s="184"/>
    </row>
    <row r="57" spans="1:17" s="452" customFormat="1" x14ac:dyDescent="0.35">
      <c r="A57"/>
      <c r="B57" s="10" t="s">
        <v>3</v>
      </c>
      <c r="C57" s="315">
        <v>158</v>
      </c>
      <c r="D57" s="194">
        <v>216</v>
      </c>
      <c r="E57" s="196">
        <f>+C57*D57</f>
        <v>34128</v>
      </c>
      <c r="F57" s="49"/>
      <c r="G57"/>
      <c r="H57"/>
      <c r="I57"/>
      <c r="J57"/>
      <c r="K57"/>
      <c r="L57" s="176"/>
      <c r="M57" s="180"/>
      <c r="N57" s="181"/>
      <c r="O57" s="181"/>
      <c r="P57" s="184"/>
      <c r="Q57"/>
    </row>
    <row r="58" spans="1:17" s="454" customFormat="1" x14ac:dyDescent="0.35">
      <c r="A58"/>
      <c r="B58" s="10" t="s">
        <v>180</v>
      </c>
      <c r="C58" s="315">
        <v>16</v>
      </c>
      <c r="D58" s="194">
        <f>+D57</f>
        <v>216</v>
      </c>
      <c r="E58" s="196">
        <f>+C58*D58</f>
        <v>3456</v>
      </c>
      <c r="F58" s="49"/>
      <c r="G58"/>
      <c r="H58"/>
      <c r="I58"/>
      <c r="J58"/>
      <c r="K58"/>
      <c r="L58" s="176"/>
      <c r="M58" s="180"/>
      <c r="N58" s="181"/>
      <c r="O58" s="181"/>
      <c r="P58" s="184"/>
      <c r="Q58"/>
    </row>
    <row r="59" spans="1:17" x14ac:dyDescent="0.35">
      <c r="B59" s="10" t="s">
        <v>111</v>
      </c>
      <c r="C59" s="315">
        <v>24</v>
      </c>
      <c r="D59" s="194">
        <v>216</v>
      </c>
      <c r="E59" s="196">
        <f>C59*D59</f>
        <v>5184</v>
      </c>
      <c r="F59" s="428"/>
      <c r="G59" s="452"/>
      <c r="L59" s="176"/>
      <c r="M59" s="449"/>
      <c r="N59" s="181"/>
      <c r="O59" s="181"/>
      <c r="P59" s="184"/>
    </row>
    <row r="60" spans="1:17" x14ac:dyDescent="0.35">
      <c r="B60" s="10" t="s">
        <v>139</v>
      </c>
      <c r="C60" s="315">
        <v>3.5</v>
      </c>
      <c r="D60" s="194">
        <f>+D57*2</f>
        <v>432</v>
      </c>
      <c r="E60" s="196">
        <f>C60*D60</f>
        <v>1512</v>
      </c>
      <c r="F60" s="428"/>
      <c r="L60" s="176"/>
      <c r="M60" s="176"/>
      <c r="N60" s="181"/>
      <c r="O60" s="181"/>
      <c r="P60" s="184"/>
    </row>
    <row r="61" spans="1:17" x14ac:dyDescent="0.35">
      <c r="B61" s="10" t="s">
        <v>5</v>
      </c>
      <c r="C61" s="315">
        <v>2</v>
      </c>
      <c r="D61" s="194">
        <f>+D57*1.5</f>
        <v>324</v>
      </c>
      <c r="E61" s="196">
        <f>C61*D61</f>
        <v>648</v>
      </c>
      <c r="F61" s="430" t="s">
        <v>163</v>
      </c>
      <c r="L61" s="176"/>
      <c r="M61" s="176"/>
      <c r="N61" s="176"/>
      <c r="O61" s="176"/>
      <c r="P61" s="176"/>
    </row>
    <row r="62" spans="1:17" ht="15" thickBot="1" x14ac:dyDescent="0.4">
      <c r="B62" s="10" t="s">
        <v>6</v>
      </c>
      <c r="C62" s="258">
        <v>13000</v>
      </c>
      <c r="D62" s="194"/>
      <c r="E62" s="196">
        <f>+C62</f>
        <v>13000</v>
      </c>
      <c r="F62" s="429"/>
      <c r="M62" s="183"/>
      <c r="N62" s="176"/>
      <c r="O62" s="176"/>
      <c r="P62" s="176"/>
    </row>
    <row r="63" spans="1:17" ht="15" thickBot="1" x14ac:dyDescent="0.4">
      <c r="B63" s="1323" t="s">
        <v>99</v>
      </c>
      <c r="C63" s="1324"/>
      <c r="D63" s="1324"/>
      <c r="E63" s="304">
        <f>SUM(E57:E62)</f>
        <v>57928</v>
      </c>
      <c r="F63" s="429"/>
      <c r="M63" s="183"/>
      <c r="N63" s="176"/>
      <c r="O63" s="176"/>
      <c r="P63" s="176"/>
    </row>
    <row r="64" spans="1:17" ht="15" thickBot="1" x14ac:dyDescent="0.4">
      <c r="B64" s="1339" t="s">
        <v>18</v>
      </c>
      <c r="C64" s="1340"/>
      <c r="D64" s="1341"/>
      <c r="E64" s="343">
        <v>11023.23</v>
      </c>
      <c r="F64" s="429"/>
      <c r="M64" s="176"/>
      <c r="N64" s="183"/>
      <c r="O64" s="183"/>
      <c r="P64" s="183"/>
    </row>
    <row r="65" spans="2:17" ht="15" thickBot="1" x14ac:dyDescent="0.4">
      <c r="B65" s="1339" t="s">
        <v>19</v>
      </c>
      <c r="C65" s="1340"/>
      <c r="D65" s="1341"/>
      <c r="E65" s="198">
        <v>6000</v>
      </c>
      <c r="F65" s="429"/>
      <c r="M65" s="176"/>
      <c r="N65" s="176"/>
      <c r="O65" s="176"/>
      <c r="P65" s="176"/>
    </row>
    <row r="66" spans="2:17" ht="16" thickBot="1" x14ac:dyDescent="0.4">
      <c r="B66" s="1296" t="s">
        <v>11</v>
      </c>
      <c r="C66" s="1297"/>
      <c r="D66" s="1298"/>
      <c r="E66" s="201">
        <f>+E63-E64-E65</f>
        <v>40904.770000000004</v>
      </c>
      <c r="F66" s="429"/>
      <c r="M66" s="176"/>
      <c r="N66" s="176"/>
      <c r="O66" s="176"/>
      <c r="P66" s="176"/>
      <c r="Q66" s="452"/>
    </row>
    <row r="67" spans="2:17" ht="15" thickBot="1" x14ac:dyDescent="0.4">
      <c r="F67" s="429"/>
      <c r="M67" s="176"/>
      <c r="N67" s="176"/>
      <c r="O67" s="176"/>
      <c r="P67" s="176"/>
    </row>
    <row r="68" spans="2:17" ht="23.5" x14ac:dyDescent="0.35">
      <c r="B68" s="1276" t="s">
        <v>17</v>
      </c>
      <c r="C68" s="1277"/>
      <c r="D68" s="1277"/>
      <c r="E68" s="1278"/>
      <c r="F68" s="431"/>
      <c r="M68" s="176"/>
      <c r="N68" s="176"/>
      <c r="O68" s="176"/>
      <c r="P68" s="176"/>
    </row>
    <row r="69" spans="2:17" x14ac:dyDescent="0.35">
      <c r="B69" s="8" t="s">
        <v>7</v>
      </c>
      <c r="C69" s="270" t="s">
        <v>8</v>
      </c>
      <c r="D69" s="217" t="s">
        <v>4</v>
      </c>
      <c r="E69" s="218" t="s">
        <v>9</v>
      </c>
      <c r="F69" s="428"/>
      <c r="M69" s="176"/>
      <c r="N69" s="176"/>
      <c r="O69" s="176"/>
      <c r="P69" s="176"/>
    </row>
    <row r="70" spans="2:17" x14ac:dyDescent="0.35">
      <c r="B70" s="10" t="s">
        <v>3</v>
      </c>
      <c r="C70" s="258">
        <v>158</v>
      </c>
      <c r="D70" s="194">
        <v>158.4</v>
      </c>
      <c r="E70" s="196">
        <f>C70*D70</f>
        <v>25027.200000000001</v>
      </c>
      <c r="F70" s="428"/>
      <c r="M70" s="176"/>
      <c r="N70" s="176"/>
      <c r="O70" s="176"/>
      <c r="P70" s="176"/>
    </row>
    <row r="71" spans="2:17" x14ac:dyDescent="0.35">
      <c r="B71" s="10" t="s">
        <v>111</v>
      </c>
      <c r="C71" s="258">
        <v>24</v>
      </c>
      <c r="D71" s="194">
        <v>158.4</v>
      </c>
      <c r="E71" s="196">
        <f>C71*D71</f>
        <v>3801.6000000000004</v>
      </c>
      <c r="M71" s="176"/>
      <c r="N71" s="176"/>
      <c r="O71" s="176"/>
      <c r="P71" s="176"/>
    </row>
    <row r="72" spans="2:17" x14ac:dyDescent="0.35">
      <c r="B72" s="10" t="s">
        <v>139</v>
      </c>
      <c r="C72" s="258">
        <v>0</v>
      </c>
      <c r="D72" s="194">
        <f>+D70*2</f>
        <v>316.8</v>
      </c>
      <c r="E72" s="196">
        <f>C72*D72</f>
        <v>0</v>
      </c>
      <c r="M72" s="176"/>
      <c r="N72" s="176"/>
      <c r="O72" s="176"/>
      <c r="P72" s="176"/>
    </row>
    <row r="73" spans="2:17" x14ac:dyDescent="0.35">
      <c r="B73" s="10" t="s">
        <v>5</v>
      </c>
      <c r="C73" s="258">
        <v>0</v>
      </c>
      <c r="D73" s="194">
        <f>+D70*1.5</f>
        <v>237.60000000000002</v>
      </c>
      <c r="E73" s="196">
        <f>C73*D73</f>
        <v>0</v>
      </c>
    </row>
    <row r="74" spans="2:17" ht="15" thickBot="1" x14ac:dyDescent="0.4">
      <c r="B74" s="10" t="s">
        <v>6</v>
      </c>
      <c r="C74" s="258">
        <v>8000</v>
      </c>
      <c r="D74" s="194"/>
      <c r="E74" s="222">
        <v>8000</v>
      </c>
    </row>
    <row r="75" spans="2:17" ht="15" thickBot="1" x14ac:dyDescent="0.4">
      <c r="B75" s="1323" t="s">
        <v>99</v>
      </c>
      <c r="C75" s="1324"/>
      <c r="D75" s="1324"/>
      <c r="E75" s="304">
        <f>SUM(E70:E74)</f>
        <v>36828.800000000003</v>
      </c>
    </row>
    <row r="76" spans="2:17" ht="15" thickBot="1" x14ac:dyDescent="0.4">
      <c r="B76" s="1339" t="s">
        <v>19</v>
      </c>
      <c r="C76" s="1340"/>
      <c r="D76" s="1341"/>
      <c r="E76" s="199">
        <v>0</v>
      </c>
    </row>
    <row r="77" spans="2:17" ht="16" thickBot="1" x14ac:dyDescent="0.4">
      <c r="B77" s="1296" t="s">
        <v>11</v>
      </c>
      <c r="C77" s="1297"/>
      <c r="D77" s="1298"/>
      <c r="E77" s="201">
        <f>+E75-E76</f>
        <v>36828.800000000003</v>
      </c>
    </row>
    <row r="79" spans="2:17" ht="15" thickBot="1" x14ac:dyDescent="0.4"/>
    <row r="80" spans="2:17" ht="23.5" x14ac:dyDescent="0.35">
      <c r="B80" s="1276" t="s">
        <v>39</v>
      </c>
      <c r="C80" s="1277"/>
      <c r="D80" s="1277"/>
      <c r="E80" s="1278"/>
    </row>
    <row r="81" spans="2:6" x14ac:dyDescent="0.35">
      <c r="B81" s="8" t="s">
        <v>7</v>
      </c>
      <c r="C81" s="270" t="s">
        <v>8</v>
      </c>
      <c r="D81" s="217" t="s">
        <v>4</v>
      </c>
      <c r="E81" s="218" t="s">
        <v>9</v>
      </c>
    </row>
    <row r="82" spans="2:6" x14ac:dyDescent="0.35">
      <c r="B82" s="10" t="s">
        <v>3</v>
      </c>
      <c r="C82" s="258"/>
      <c r="D82" s="194"/>
      <c r="E82" s="196">
        <v>30000</v>
      </c>
      <c r="F82" s="452"/>
    </row>
    <row r="83" spans="2:6" x14ac:dyDescent="0.35">
      <c r="B83" s="10" t="s">
        <v>5</v>
      </c>
      <c r="C83" s="258">
        <v>12.5</v>
      </c>
      <c r="D83" s="194">
        <f>300*1.5</f>
        <v>450</v>
      </c>
      <c r="E83" s="196">
        <f>C83*D83</f>
        <v>5625</v>
      </c>
    </row>
    <row r="84" spans="2:6" ht="15" thickBot="1" x14ac:dyDescent="0.4">
      <c r="B84" s="457" t="s">
        <v>176</v>
      </c>
      <c r="C84" s="458">
        <v>-5</v>
      </c>
      <c r="D84" s="459">
        <v>450</v>
      </c>
      <c r="E84" s="460">
        <f>C84*D84</f>
        <v>-2250</v>
      </c>
    </row>
    <row r="85" spans="2:6" ht="16" thickBot="1" x14ac:dyDescent="0.4">
      <c r="B85" s="12" t="s">
        <v>11</v>
      </c>
      <c r="C85" s="272"/>
      <c r="D85" s="223"/>
      <c r="E85" s="201">
        <f>+E82+E83+E84</f>
        <v>33375</v>
      </c>
    </row>
    <row r="87" spans="2:6" ht="15" thickBot="1" x14ac:dyDescent="0.4">
      <c r="F87" s="114"/>
    </row>
    <row r="88" spans="2:6" ht="24" thickBot="1" x14ac:dyDescent="0.4">
      <c r="B88" s="1273" t="s">
        <v>174</v>
      </c>
      <c r="C88" s="1274"/>
      <c r="D88" s="1274"/>
      <c r="E88" s="1275"/>
    </row>
    <row r="89" spans="2:6" x14ac:dyDescent="0.35">
      <c r="B89" s="16" t="s">
        <v>7</v>
      </c>
      <c r="C89" s="257" t="s">
        <v>8</v>
      </c>
      <c r="D89" s="192" t="s">
        <v>4</v>
      </c>
      <c r="E89" s="193" t="s">
        <v>9</v>
      </c>
    </row>
    <row r="90" spans="2:6" x14ac:dyDescent="0.35">
      <c r="B90" s="10" t="s">
        <v>3</v>
      </c>
      <c r="C90" s="258">
        <v>158</v>
      </c>
      <c r="D90" s="227">
        <v>165</v>
      </c>
      <c r="E90" s="196">
        <f>C90*D90</f>
        <v>26070</v>
      </c>
    </row>
    <row r="91" spans="2:6" x14ac:dyDescent="0.35">
      <c r="B91" s="10" t="s">
        <v>111</v>
      </c>
      <c r="C91" s="258">
        <v>24</v>
      </c>
      <c r="D91" s="227">
        <v>165</v>
      </c>
      <c r="E91" s="196">
        <f>C91*D91</f>
        <v>3960</v>
      </c>
    </row>
    <row r="92" spans="2:6" x14ac:dyDescent="0.35">
      <c r="B92" s="10" t="s">
        <v>5</v>
      </c>
      <c r="C92" s="258">
        <v>0</v>
      </c>
      <c r="D92" s="194">
        <f>+D90*1.5</f>
        <v>247.5</v>
      </c>
      <c r="E92" s="196">
        <f>C92*D92</f>
        <v>0</v>
      </c>
    </row>
    <row r="93" spans="2:6" x14ac:dyDescent="0.35">
      <c r="B93" s="10" t="s">
        <v>139</v>
      </c>
      <c r="C93" s="258">
        <v>0</v>
      </c>
      <c r="D93" s="194">
        <f>+D91*2</f>
        <v>330</v>
      </c>
      <c r="E93" s="196">
        <f>+C93*D93</f>
        <v>0</v>
      </c>
    </row>
    <row r="94" spans="2:6" ht="15" thickBot="1" x14ac:dyDescent="0.4">
      <c r="B94" s="10" t="s">
        <v>6</v>
      </c>
      <c r="C94" s="258"/>
      <c r="D94" s="194">
        <v>8000</v>
      </c>
      <c r="E94" s="196">
        <v>8000</v>
      </c>
    </row>
    <row r="95" spans="2:6" ht="15" thickBot="1" x14ac:dyDescent="0.4">
      <c r="B95" s="1323" t="s">
        <v>99</v>
      </c>
      <c r="C95" s="1324"/>
      <c r="D95" s="1324"/>
      <c r="E95" s="304">
        <f>SUM(E90:E94)</f>
        <v>38030</v>
      </c>
    </row>
    <row r="96" spans="2:6" x14ac:dyDescent="0.35">
      <c r="B96" s="1339" t="s">
        <v>19</v>
      </c>
      <c r="C96" s="1340"/>
      <c r="D96" s="1341"/>
      <c r="E96" s="302">
        <v>5000</v>
      </c>
    </row>
    <row r="97" spans="2:5" ht="16" thickBot="1" x14ac:dyDescent="0.4">
      <c r="B97" s="1296" t="s">
        <v>11</v>
      </c>
      <c r="C97" s="1297"/>
      <c r="D97" s="1335"/>
      <c r="E97" s="303">
        <f>+E95-E96</f>
        <v>33030</v>
      </c>
    </row>
  </sheetData>
  <mergeCells count="35">
    <mergeCell ref="B88:E88"/>
    <mergeCell ref="B95:D95"/>
    <mergeCell ref="B96:D96"/>
    <mergeCell ref="B97:D97"/>
    <mergeCell ref="B66:D66"/>
    <mergeCell ref="B68:E68"/>
    <mergeCell ref="B75:D75"/>
    <mergeCell ref="B76:D76"/>
    <mergeCell ref="B77:D77"/>
    <mergeCell ref="B80:E80"/>
    <mergeCell ref="B65:D65"/>
    <mergeCell ref="B28:D28"/>
    <mergeCell ref="B30:E30"/>
    <mergeCell ref="B38:D38"/>
    <mergeCell ref="B39:D39"/>
    <mergeCell ref="B40:D40"/>
    <mergeCell ref="B42:E42"/>
    <mergeCell ref="B50:D50"/>
    <mergeCell ref="B52:D52"/>
    <mergeCell ref="B53:D53"/>
    <mergeCell ref="B55:E55"/>
    <mergeCell ref="B63:D63"/>
    <mergeCell ref="O11:Q11"/>
    <mergeCell ref="B13:D13"/>
    <mergeCell ref="B17:E17"/>
    <mergeCell ref="H19:I19"/>
    <mergeCell ref="B26:D26"/>
    <mergeCell ref="H10:N10"/>
    <mergeCell ref="B12:D12"/>
    <mergeCell ref="B64:D64"/>
    <mergeCell ref="B27:D27"/>
    <mergeCell ref="B1:E1"/>
    <mergeCell ref="G8:G10"/>
    <mergeCell ref="B10:D10"/>
    <mergeCell ref="B11:D11"/>
  </mergeCells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117"/>
  <sheetViews>
    <sheetView topLeftCell="A94" workbookViewId="0">
      <selection activeCell="A6" sqref="A6"/>
    </sheetView>
  </sheetViews>
  <sheetFormatPr baseColWidth="10" defaultRowHeight="14.5" x14ac:dyDescent="0.35"/>
  <cols>
    <col min="2" max="2" width="23.453125" customWidth="1"/>
    <col min="3" max="3" width="18.90625" style="261" customWidth="1"/>
    <col min="4" max="4" width="19.90625" style="202" customWidth="1"/>
    <col min="5" max="5" width="18.54296875" style="203" customWidth="1"/>
    <col min="6" max="6" width="20" bestFit="1" customWidth="1"/>
    <col min="7" max="7" width="21.36328125" bestFit="1" customWidth="1"/>
    <col min="8" max="9" width="15.08984375" bestFit="1" customWidth="1"/>
    <col min="10" max="10" width="11.90625" bestFit="1" customWidth="1"/>
    <col min="11" max="11" width="12.54296875" customWidth="1"/>
    <col min="12" max="12" width="13.54296875" bestFit="1" customWidth="1"/>
    <col min="13" max="13" width="13.54296875" customWidth="1"/>
    <col min="14" max="14" width="14.6328125" customWidth="1"/>
    <col min="15" max="15" width="14.54296875" bestFit="1" customWidth="1"/>
    <col min="16" max="16" width="13" customWidth="1"/>
    <col min="17" max="17" width="13.453125" customWidth="1"/>
    <col min="18" max="18" width="14.453125" bestFit="1" customWidth="1"/>
    <col min="19" max="19" width="14.08984375" customWidth="1"/>
  </cols>
  <sheetData>
    <row r="1" spans="2:20" ht="9" customHeight="1" thickBot="1" x14ac:dyDescent="0.4">
      <c r="H1" s="1279" t="s">
        <v>183</v>
      </c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1"/>
    </row>
    <row r="2" spans="2:20" ht="18.75" customHeight="1" thickBot="1" x14ac:dyDescent="0.4">
      <c r="B2" s="1273" t="s">
        <v>10</v>
      </c>
      <c r="C2" s="1274"/>
      <c r="D2" s="1274"/>
      <c r="E2" s="1275"/>
      <c r="F2" s="414"/>
      <c r="H2" s="80" t="s">
        <v>20</v>
      </c>
      <c r="I2" s="74" t="s">
        <v>8</v>
      </c>
      <c r="J2" s="74" t="s">
        <v>112</v>
      </c>
      <c r="K2" s="74" t="s">
        <v>199</v>
      </c>
      <c r="L2" s="74" t="s">
        <v>200</v>
      </c>
      <c r="M2" s="74" t="s">
        <v>203</v>
      </c>
      <c r="N2" s="74" t="s">
        <v>44</v>
      </c>
      <c r="O2" s="81" t="s">
        <v>43</v>
      </c>
      <c r="P2" s="74" t="s">
        <v>24</v>
      </c>
      <c r="Q2" s="74" t="s">
        <v>19</v>
      </c>
      <c r="R2" s="74" t="s">
        <v>18</v>
      </c>
      <c r="S2" s="68" t="s">
        <v>23</v>
      </c>
    </row>
    <row r="3" spans="2:20" s="464" customFormat="1" ht="18.75" customHeight="1" thickBot="1" x14ac:dyDescent="0.4">
      <c r="B3" s="16" t="s">
        <v>7</v>
      </c>
      <c r="C3" s="257" t="s">
        <v>8</v>
      </c>
      <c r="D3" s="192" t="s">
        <v>4</v>
      </c>
      <c r="E3" s="193" t="s">
        <v>9</v>
      </c>
      <c r="F3" s="415"/>
      <c r="H3" s="230" t="s">
        <v>10</v>
      </c>
      <c r="I3" s="351">
        <f>+E4</f>
        <v>37562.400000000001</v>
      </c>
      <c r="J3" s="352">
        <f>+E7</f>
        <v>4872.96</v>
      </c>
      <c r="K3" s="352">
        <f>+E5</f>
        <v>0</v>
      </c>
      <c r="L3" s="352">
        <f>+E6</f>
        <v>5000</v>
      </c>
      <c r="M3" s="352">
        <v>0</v>
      </c>
      <c r="N3" s="335">
        <f>+E8+E9</f>
        <v>1218.24</v>
      </c>
      <c r="O3" s="353">
        <f>+E10</f>
        <v>11000</v>
      </c>
      <c r="P3" s="447">
        <f t="shared" ref="P3:P11" si="0">SUM(I3:O3)</f>
        <v>59653.599999999999</v>
      </c>
      <c r="Q3" s="339">
        <f>+E12</f>
        <v>0</v>
      </c>
      <c r="R3" s="437">
        <f>+E13</f>
        <v>29425.38</v>
      </c>
      <c r="S3" s="235">
        <f t="shared" ref="S3:S8" si="1">+P3-Q3-R3</f>
        <v>30228.219999999998</v>
      </c>
    </row>
    <row r="4" spans="2:20" ht="18.75" customHeight="1" thickBot="1" x14ac:dyDescent="0.4">
      <c r="B4" s="10" t="s">
        <v>3</v>
      </c>
      <c r="C4" s="258">
        <v>185</v>
      </c>
      <c r="D4" s="227">
        <v>203.04</v>
      </c>
      <c r="E4" s="196">
        <f>C4*D4</f>
        <v>37562.400000000001</v>
      </c>
      <c r="F4" s="416"/>
      <c r="H4" s="236" t="s">
        <v>15</v>
      </c>
      <c r="I4" s="356">
        <f>+E18</f>
        <v>43068</v>
      </c>
      <c r="J4" s="356">
        <f>+E20</f>
        <v>2793.6000000000004</v>
      </c>
      <c r="K4" s="356">
        <f>+E19</f>
        <v>0</v>
      </c>
      <c r="L4" s="356">
        <f>+E21</f>
        <v>5000</v>
      </c>
      <c r="M4" s="356">
        <v>-990</v>
      </c>
      <c r="N4" s="336">
        <f>+E22+E23</f>
        <v>9195.6</v>
      </c>
      <c r="O4" s="357">
        <f>+E24</f>
        <v>16500</v>
      </c>
      <c r="P4" s="448">
        <f t="shared" si="0"/>
        <v>75567.199999999997</v>
      </c>
      <c r="Q4" s="340">
        <f>+E27</f>
        <v>10000</v>
      </c>
      <c r="R4" s="249">
        <v>0</v>
      </c>
      <c r="S4" s="471">
        <f t="shared" si="1"/>
        <v>65567.199999999997</v>
      </c>
      <c r="T4" s="202"/>
    </row>
    <row r="5" spans="2:20" ht="18.75" customHeight="1" thickBot="1" x14ac:dyDescent="0.4">
      <c r="B5" s="10" t="s">
        <v>187</v>
      </c>
      <c r="C5" s="258"/>
      <c r="D5" s="227"/>
      <c r="E5" s="196"/>
      <c r="F5" s="416"/>
      <c r="H5" s="236" t="s">
        <v>16</v>
      </c>
      <c r="I5" s="356">
        <f>+E32</f>
        <v>33134.400000000001</v>
      </c>
      <c r="J5" s="356">
        <f>+E36</f>
        <v>2246.3999999999996</v>
      </c>
      <c r="K5" s="356">
        <f>+E33</f>
        <v>1497.6</v>
      </c>
      <c r="L5" s="356">
        <f>+E35</f>
        <v>5000</v>
      </c>
      <c r="M5" s="356">
        <v>0</v>
      </c>
      <c r="N5" s="336">
        <f>+E37+E38</f>
        <v>5616</v>
      </c>
      <c r="O5" s="336">
        <f>+E39</f>
        <v>11000</v>
      </c>
      <c r="P5" s="447">
        <f t="shared" si="0"/>
        <v>58494.400000000001</v>
      </c>
      <c r="Q5" s="340">
        <f>+E41</f>
        <v>10000</v>
      </c>
      <c r="R5" s="249">
        <v>0</v>
      </c>
      <c r="S5" s="235">
        <f t="shared" si="1"/>
        <v>48494.400000000001</v>
      </c>
    </row>
    <row r="6" spans="2:20" ht="18.75" customHeight="1" thickBot="1" x14ac:dyDescent="0.4">
      <c r="B6" s="10" t="s">
        <v>196</v>
      </c>
      <c r="C6" s="258">
        <v>5000</v>
      </c>
      <c r="D6" s="227">
        <v>0</v>
      </c>
      <c r="E6" s="196">
        <f>+C6</f>
        <v>5000</v>
      </c>
      <c r="F6" s="416"/>
      <c r="H6" s="236" t="s">
        <v>0</v>
      </c>
      <c r="I6" s="355">
        <f>+E46</f>
        <v>38877.599999999999</v>
      </c>
      <c r="J6" s="356">
        <f>+E48</f>
        <v>2793.6000000000004</v>
      </c>
      <c r="K6" s="356">
        <f>+E47</f>
        <v>13036.800000000001</v>
      </c>
      <c r="L6" s="356">
        <f>+E49</f>
        <v>5000</v>
      </c>
      <c r="M6" s="356">
        <v>0</v>
      </c>
      <c r="N6" s="336">
        <f>+E52+E51+E50</f>
        <v>8089.8000000000011</v>
      </c>
      <c r="O6" s="357">
        <f>+E53</f>
        <v>16500</v>
      </c>
      <c r="P6" s="447">
        <f t="shared" si="0"/>
        <v>84297.8</v>
      </c>
      <c r="Q6" s="340">
        <v>0</v>
      </c>
      <c r="R6" s="249">
        <f>+E56</f>
        <v>30064.45</v>
      </c>
      <c r="S6" s="235">
        <f t="shared" si="1"/>
        <v>54233.350000000006</v>
      </c>
    </row>
    <row r="7" spans="2:20" ht="18.75" customHeight="1" thickBot="1" x14ac:dyDescent="0.4">
      <c r="B7" s="10" t="s">
        <v>111</v>
      </c>
      <c r="C7" s="258">
        <v>12</v>
      </c>
      <c r="D7" s="227">
        <f>+D4*2</f>
        <v>406.08</v>
      </c>
      <c r="E7" s="196">
        <f>C7*D7</f>
        <v>4872.96</v>
      </c>
      <c r="F7" s="416"/>
      <c r="H7" s="236" t="s">
        <v>28</v>
      </c>
      <c r="I7" s="356">
        <f>+E61</f>
        <v>36504</v>
      </c>
      <c r="J7" s="356">
        <f>+E65</f>
        <v>2592</v>
      </c>
      <c r="K7" s="356">
        <f>+E63+E64</f>
        <v>1728</v>
      </c>
      <c r="L7" s="356">
        <f>+E62</f>
        <v>0</v>
      </c>
      <c r="M7" s="356">
        <v>0</v>
      </c>
      <c r="N7" s="336">
        <f>+E66+E67</f>
        <v>0</v>
      </c>
      <c r="O7" s="357">
        <f>+E68</f>
        <v>16000</v>
      </c>
      <c r="P7" s="447">
        <f t="shared" si="0"/>
        <v>56824</v>
      </c>
      <c r="Q7" s="340">
        <f>+E71</f>
        <v>10000</v>
      </c>
      <c r="R7" s="249">
        <f>+E70</f>
        <v>24028.31</v>
      </c>
      <c r="S7" s="235">
        <f t="shared" si="1"/>
        <v>22795.69</v>
      </c>
    </row>
    <row r="8" spans="2:20" ht="18.75" customHeight="1" thickBot="1" x14ac:dyDescent="0.4">
      <c r="B8" s="10" t="s">
        <v>208</v>
      </c>
      <c r="C8" s="258">
        <v>4</v>
      </c>
      <c r="D8" s="194">
        <f>+D4*1.5</f>
        <v>304.56</v>
      </c>
      <c r="E8" s="196">
        <f>C8*D8</f>
        <v>1218.24</v>
      </c>
      <c r="F8" s="416"/>
      <c r="H8" s="236" t="s">
        <v>17</v>
      </c>
      <c r="I8" s="356">
        <f>+E76</f>
        <v>29304</v>
      </c>
      <c r="J8" s="356">
        <f>+E77</f>
        <v>1900.8000000000002</v>
      </c>
      <c r="K8" s="356">
        <f>+E79</f>
        <v>-4276.8</v>
      </c>
      <c r="L8" s="356">
        <f>+E78</f>
        <v>0</v>
      </c>
      <c r="M8" s="356">
        <v>0</v>
      </c>
      <c r="N8" s="336">
        <f>+E80+E81</f>
        <v>5385.6</v>
      </c>
      <c r="O8" s="357">
        <f>+E82</f>
        <v>11000</v>
      </c>
      <c r="P8" s="447">
        <f t="shared" si="0"/>
        <v>43313.599999999999</v>
      </c>
      <c r="Q8" s="340">
        <f>+E84</f>
        <v>0</v>
      </c>
      <c r="R8" s="249">
        <v>0</v>
      </c>
      <c r="S8" s="235">
        <f t="shared" si="1"/>
        <v>43313.599999999999</v>
      </c>
    </row>
    <row r="9" spans="2:20" ht="18.75" customHeight="1" thickBot="1" x14ac:dyDescent="0.4">
      <c r="B9" s="10" t="s">
        <v>139</v>
      </c>
      <c r="C9" s="258">
        <v>0</v>
      </c>
      <c r="D9" s="194">
        <f>+D7*2</f>
        <v>812.16</v>
      </c>
      <c r="E9" s="196">
        <f>+C9*D9</f>
        <v>0</v>
      </c>
      <c r="F9" s="416"/>
      <c r="G9" s="1310"/>
      <c r="H9" s="444" t="s">
        <v>174</v>
      </c>
      <c r="I9" s="445">
        <f>+E96</f>
        <v>32214</v>
      </c>
      <c r="J9" s="445">
        <f>+E97</f>
        <v>2184</v>
      </c>
      <c r="K9" s="445">
        <f>+E99</f>
        <v>1456</v>
      </c>
      <c r="L9" s="445">
        <f>+E98</f>
        <v>5000</v>
      </c>
      <c r="M9" s="445">
        <v>0</v>
      </c>
      <c r="N9" s="446">
        <f>+E100+E101</f>
        <v>6870.5</v>
      </c>
      <c r="O9" s="336">
        <f>+E102</f>
        <v>11000</v>
      </c>
      <c r="P9" s="447">
        <f t="shared" si="0"/>
        <v>58724.5</v>
      </c>
      <c r="Q9" s="342">
        <f>+E104</f>
        <v>8000</v>
      </c>
      <c r="R9" s="249">
        <v>0</v>
      </c>
      <c r="S9" s="235">
        <f>+P9-Q9</f>
        <v>50724.5</v>
      </c>
    </row>
    <row r="10" spans="2:20" ht="18.75" customHeight="1" thickBot="1" x14ac:dyDescent="0.4">
      <c r="B10" s="10" t="s">
        <v>6</v>
      </c>
      <c r="C10" s="258">
        <v>11000</v>
      </c>
      <c r="D10" s="194"/>
      <c r="E10" s="196">
        <f>+C10</f>
        <v>11000</v>
      </c>
      <c r="F10" s="421"/>
      <c r="G10" s="1310"/>
      <c r="H10" s="245" t="s">
        <v>42</v>
      </c>
      <c r="I10" s="361">
        <f>+E89</f>
        <v>30000</v>
      </c>
      <c r="J10" s="461"/>
      <c r="K10" s="461"/>
      <c r="L10" s="461"/>
      <c r="M10" s="461">
        <v>0</v>
      </c>
      <c r="N10" s="338">
        <f>+E90+E91</f>
        <v>11500</v>
      </c>
      <c r="O10" s="362">
        <v>0</v>
      </c>
      <c r="P10" s="447">
        <f t="shared" si="0"/>
        <v>41500</v>
      </c>
      <c r="Q10" s="342">
        <v>0</v>
      </c>
      <c r="R10" s="251">
        <v>0</v>
      </c>
      <c r="S10" s="235">
        <f>+P10-Q10-R10</f>
        <v>41500</v>
      </c>
    </row>
    <row r="11" spans="2:20" ht="18.75" customHeight="1" thickBot="1" x14ac:dyDescent="0.4">
      <c r="B11" s="1323" t="s">
        <v>99</v>
      </c>
      <c r="C11" s="1324"/>
      <c r="D11" s="1324"/>
      <c r="E11" s="304">
        <f>SUM(E4:E10)</f>
        <v>59653.599999999999</v>
      </c>
      <c r="F11" s="422"/>
      <c r="G11" s="1310"/>
      <c r="H11" s="245" t="s">
        <v>184</v>
      </c>
      <c r="I11" s="461">
        <f>+E109</f>
        <v>16005</v>
      </c>
      <c r="J11" s="461">
        <f>+E110</f>
        <v>1980</v>
      </c>
      <c r="K11" s="461">
        <f>+E111</f>
        <v>-1650</v>
      </c>
      <c r="L11" s="461">
        <v>0</v>
      </c>
      <c r="M11" s="461"/>
      <c r="N11" s="338">
        <f>+E112+E113</f>
        <v>247.5</v>
      </c>
      <c r="O11" s="338">
        <f>+E114</f>
        <v>8000</v>
      </c>
      <c r="P11" s="447">
        <f t="shared" si="0"/>
        <v>24582.5</v>
      </c>
      <c r="Q11" s="342">
        <v>0</v>
      </c>
      <c r="R11" s="251">
        <v>0</v>
      </c>
      <c r="S11" s="235">
        <f>+P11-Q11-R11</f>
        <v>24582.5</v>
      </c>
    </row>
    <row r="12" spans="2:20" ht="18.75" customHeight="1" thickBot="1" x14ac:dyDescent="0.4">
      <c r="B12" s="1339" t="s">
        <v>19</v>
      </c>
      <c r="C12" s="1340"/>
      <c r="D12" s="1341"/>
      <c r="E12" s="302">
        <v>0</v>
      </c>
      <c r="F12" s="422"/>
      <c r="G12" s="176"/>
      <c r="H12" s="1332" t="s">
        <v>202</v>
      </c>
      <c r="I12" s="1333"/>
      <c r="J12" s="1333"/>
      <c r="K12" s="1333"/>
      <c r="L12" s="1333"/>
      <c r="M12" s="1333"/>
      <c r="N12" s="1333"/>
      <c r="O12" s="1333"/>
      <c r="P12" s="1334"/>
      <c r="Q12" s="256">
        <f>SUM(Q3:Q10)</f>
        <v>38000</v>
      </c>
      <c r="R12" s="256">
        <f>SUM(R3:R10)</f>
        <v>83518.14</v>
      </c>
      <c r="S12" s="256">
        <f>SUM(S3:S10)</f>
        <v>356856.96</v>
      </c>
    </row>
    <row r="13" spans="2:20" ht="18.75" customHeight="1" thickBot="1" x14ac:dyDescent="0.4">
      <c r="B13" s="1336" t="s">
        <v>197</v>
      </c>
      <c r="C13" s="1337"/>
      <c r="D13" s="1338"/>
      <c r="E13" s="198">
        <v>29425.38</v>
      </c>
      <c r="F13" s="419"/>
      <c r="H13" s="248"/>
      <c r="I13" s="248"/>
      <c r="J13" s="248"/>
      <c r="K13" s="248" t="s">
        <v>63</v>
      </c>
      <c r="L13" s="248"/>
      <c r="M13" s="248"/>
      <c r="N13" s="248"/>
      <c r="O13" s="248"/>
      <c r="P13" s="248"/>
      <c r="Q13" s="1318">
        <f>+R12+S12+Q12</f>
        <v>478375.10000000003</v>
      </c>
      <c r="R13" s="1319"/>
      <c r="S13" s="1320"/>
    </row>
    <row r="14" spans="2:20" ht="18.75" customHeight="1" thickBot="1" x14ac:dyDescent="0.4">
      <c r="B14" s="1296" t="s">
        <v>11</v>
      </c>
      <c r="C14" s="1297"/>
      <c r="D14" s="1335"/>
      <c r="E14" s="303">
        <f>+E11-E13</f>
        <v>30228.219999999998</v>
      </c>
      <c r="F14" s="420"/>
      <c r="H14" s="433"/>
      <c r="I14" s="434"/>
      <c r="J14" s="434" t="s">
        <v>63</v>
      </c>
      <c r="K14" s="434"/>
      <c r="L14" s="472">
        <f>+I4+L4+M4+N4+O4</f>
        <v>72773.600000000006</v>
      </c>
      <c r="M14" s="434"/>
      <c r="N14" s="176"/>
    </row>
    <row r="15" spans="2:20" s="464" customFormat="1" ht="14.25" customHeight="1" thickBot="1" x14ac:dyDescent="0.4">
      <c r="B15"/>
      <c r="C15" s="261"/>
      <c r="D15" s="202"/>
      <c r="E15" s="203"/>
      <c r="F15" s="414"/>
      <c r="G15"/>
      <c r="H15"/>
      <c r="I15"/>
      <c r="J15"/>
      <c r="K15"/>
      <c r="L15"/>
      <c r="M15"/>
      <c r="N15" s="51"/>
      <c r="O15" s="66"/>
      <c r="P15" s="49"/>
      <c r="Q15" s="49"/>
      <c r="R15"/>
      <c r="S15"/>
      <c r="T15"/>
    </row>
    <row r="16" spans="2:20" ht="18.75" customHeight="1" thickBot="1" x14ac:dyDescent="0.4">
      <c r="B16" s="1273" t="s">
        <v>15</v>
      </c>
      <c r="C16" s="1274"/>
      <c r="D16" s="1274"/>
      <c r="E16" s="1275"/>
      <c r="F16" s="415"/>
      <c r="I16" s="321"/>
      <c r="J16" s="321"/>
      <c r="K16" s="321"/>
      <c r="L16" s="473">
        <f>+O4+N4+M4+L4+K4+J4+I4</f>
        <v>75567.199999999997</v>
      </c>
      <c r="M16" s="321"/>
      <c r="N16" s="321"/>
      <c r="P16" s="57"/>
      <c r="Q16" s="61" t="s">
        <v>29</v>
      </c>
      <c r="R16" s="61" t="s">
        <v>30</v>
      </c>
      <c r="S16" s="62" t="s">
        <v>32</v>
      </c>
      <c r="T16" s="464"/>
    </row>
    <row r="17" spans="1:20" ht="18.75" customHeight="1" x14ac:dyDescent="0.35">
      <c r="B17" s="16" t="s">
        <v>7</v>
      </c>
      <c r="C17" s="257" t="s">
        <v>8</v>
      </c>
      <c r="D17" s="192" t="s">
        <v>4</v>
      </c>
      <c r="E17" s="193" t="s">
        <v>9</v>
      </c>
      <c r="F17" s="416"/>
      <c r="H17" s="4"/>
      <c r="O17" s="4"/>
      <c r="P17" s="172" t="s">
        <v>0</v>
      </c>
      <c r="Q17" s="63">
        <f>194*1.2</f>
        <v>232.79999999999998</v>
      </c>
      <c r="R17" s="173">
        <f>+Q17*1.5</f>
        <v>349.2</v>
      </c>
      <c r="S17" s="175">
        <v>13500</v>
      </c>
      <c r="T17" s="464"/>
    </row>
    <row r="18" spans="1:20" ht="18.75" customHeight="1" thickBot="1" x14ac:dyDescent="0.4">
      <c r="B18" s="10" t="s">
        <v>3</v>
      </c>
      <c r="C18" s="258">
        <v>185</v>
      </c>
      <c r="D18" s="194">
        <v>232.8</v>
      </c>
      <c r="E18" s="196">
        <f t="shared" ref="E18:E23" si="2">C18*D18</f>
        <v>43068</v>
      </c>
      <c r="F18" s="416"/>
      <c r="G18" s="106"/>
      <c r="H18" s="363"/>
      <c r="I18" s="322" t="s">
        <v>106</v>
      </c>
      <c r="J18" s="323" t="s">
        <v>107</v>
      </c>
      <c r="K18" s="323" t="s">
        <v>201</v>
      </c>
      <c r="L18" s="323"/>
      <c r="M18" s="323"/>
      <c r="N18" s="465"/>
      <c r="P18" s="58" t="s">
        <v>28</v>
      </c>
      <c r="Q18" s="64">
        <f>180*1.2</f>
        <v>216</v>
      </c>
      <c r="R18" s="50">
        <f t="shared" ref="R18:R24" si="3">+Q18*1.5</f>
        <v>324</v>
      </c>
      <c r="S18" s="53">
        <v>13000</v>
      </c>
      <c r="T18" s="464"/>
    </row>
    <row r="19" spans="1:20" ht="16" thickBot="1" x14ac:dyDescent="0.4">
      <c r="B19" s="10" t="s">
        <v>187</v>
      </c>
      <c r="C19" s="258"/>
      <c r="D19" s="194"/>
      <c r="E19" s="196">
        <v>0</v>
      </c>
      <c r="F19" s="443"/>
      <c r="G19" s="406"/>
      <c r="H19" s="363" t="s">
        <v>116</v>
      </c>
      <c r="I19" s="326">
        <v>17</v>
      </c>
      <c r="J19" s="327">
        <v>9</v>
      </c>
      <c r="K19" s="467">
        <f>+I19*J19</f>
        <v>153</v>
      </c>
      <c r="L19" s="101"/>
      <c r="M19" s="101"/>
      <c r="N19" s="101"/>
      <c r="P19" s="58" t="s">
        <v>15</v>
      </c>
      <c r="Q19" s="64">
        <f>180*1.2</f>
        <v>216</v>
      </c>
      <c r="R19" s="50">
        <f t="shared" si="3"/>
        <v>324</v>
      </c>
      <c r="S19" s="53">
        <v>13500</v>
      </c>
    </row>
    <row r="20" spans="1:20" ht="16" thickBot="1" x14ac:dyDescent="0.4">
      <c r="B20" s="10" t="s">
        <v>111</v>
      </c>
      <c r="C20" s="258">
        <v>12</v>
      </c>
      <c r="D20" s="194">
        <v>232.8</v>
      </c>
      <c r="E20" s="196">
        <f t="shared" si="2"/>
        <v>2793.6000000000004</v>
      </c>
      <c r="F20" s="416" t="s">
        <v>210</v>
      </c>
      <c r="G20" s="464"/>
      <c r="H20" s="364" t="s">
        <v>111</v>
      </c>
      <c r="I20" s="344">
        <v>1.5</v>
      </c>
      <c r="J20" s="345">
        <v>8</v>
      </c>
      <c r="K20" s="467">
        <f>+I20*J20</f>
        <v>12</v>
      </c>
      <c r="L20" s="101"/>
      <c r="M20" s="101"/>
      <c r="N20" s="101"/>
      <c r="P20" s="58" t="s">
        <v>10</v>
      </c>
      <c r="Q20" s="64">
        <f>169.2*1.2</f>
        <v>203.04</v>
      </c>
      <c r="R20" s="50">
        <f t="shared" si="3"/>
        <v>304.56</v>
      </c>
      <c r="S20" s="53">
        <v>11000</v>
      </c>
    </row>
    <row r="21" spans="1:20" ht="16" thickBot="1" x14ac:dyDescent="0.4">
      <c r="B21" s="10" t="s">
        <v>196</v>
      </c>
      <c r="C21" s="258">
        <v>5000</v>
      </c>
      <c r="D21" s="194"/>
      <c r="E21" s="196">
        <v>5000</v>
      </c>
      <c r="F21" s="416">
        <f>4*349</f>
        <v>1396</v>
      </c>
      <c r="H21" s="364" t="s">
        <v>117</v>
      </c>
      <c r="I21" s="328">
        <v>4</v>
      </c>
      <c r="J21" s="329">
        <v>8</v>
      </c>
      <c r="K21" s="467">
        <f>+I21*J21</f>
        <v>32</v>
      </c>
      <c r="L21" s="101"/>
      <c r="M21" s="101"/>
      <c r="N21" s="101"/>
      <c r="P21" s="59" t="s">
        <v>16</v>
      </c>
      <c r="Q21" s="64">
        <f>156*1.2</f>
        <v>187.2</v>
      </c>
      <c r="R21" s="50">
        <f t="shared" si="3"/>
        <v>280.79999999999995</v>
      </c>
      <c r="S21" s="53">
        <v>11000</v>
      </c>
    </row>
    <row r="22" spans="1:20" ht="16" thickBot="1" x14ac:dyDescent="0.4">
      <c r="B22" s="10" t="s">
        <v>190</v>
      </c>
      <c r="C22" s="258">
        <v>13</v>
      </c>
      <c r="D22" s="194">
        <f>+D18*2</f>
        <v>465.6</v>
      </c>
      <c r="E22" s="196">
        <f t="shared" si="2"/>
        <v>6052.8</v>
      </c>
      <c r="F22" s="421"/>
      <c r="H22" s="156"/>
      <c r="I22" s="1311" t="s">
        <v>108</v>
      </c>
      <c r="J22" s="1312"/>
      <c r="K22" s="330">
        <f>SUM(K19:K21)</f>
        <v>197</v>
      </c>
      <c r="L22" s="101"/>
      <c r="M22" s="101"/>
      <c r="N22" s="101"/>
      <c r="P22" s="59" t="s">
        <v>174</v>
      </c>
      <c r="Q22" s="64">
        <v>165</v>
      </c>
      <c r="R22" s="50">
        <f t="shared" si="3"/>
        <v>247.5</v>
      </c>
      <c r="S22" s="53">
        <v>8000</v>
      </c>
    </row>
    <row r="23" spans="1:20" ht="16" thickBot="1" x14ac:dyDescent="0.4">
      <c r="B23" s="10" t="s">
        <v>195</v>
      </c>
      <c r="C23" s="315">
        <v>9</v>
      </c>
      <c r="D23" s="194">
        <f>+D18*1.5</f>
        <v>349.20000000000005</v>
      </c>
      <c r="E23" s="196">
        <f t="shared" si="2"/>
        <v>3142.8</v>
      </c>
      <c r="F23" s="422"/>
      <c r="I23" s="248"/>
      <c r="J23" s="432"/>
      <c r="K23" s="466"/>
      <c r="L23" s="466"/>
      <c r="M23" s="466"/>
      <c r="N23" s="466"/>
      <c r="P23" s="60" t="s">
        <v>184</v>
      </c>
      <c r="Q23" s="65">
        <f>132*1.2</f>
        <v>158.4</v>
      </c>
      <c r="R23" s="56">
        <f t="shared" si="3"/>
        <v>237.60000000000002</v>
      </c>
      <c r="S23" s="55">
        <v>8000</v>
      </c>
    </row>
    <row r="24" spans="1:20" ht="16" thickBot="1" x14ac:dyDescent="0.4">
      <c r="B24" s="10" t="s">
        <v>6</v>
      </c>
      <c r="C24" s="258">
        <v>16500</v>
      </c>
      <c r="D24" s="194"/>
      <c r="E24" s="196">
        <f>+C24</f>
        <v>16500</v>
      </c>
      <c r="F24" s="419"/>
      <c r="I24" s="248"/>
      <c r="J24" s="432"/>
      <c r="K24" s="466"/>
      <c r="L24" s="466"/>
      <c r="M24" s="466"/>
      <c r="N24" s="466"/>
      <c r="P24" s="60"/>
      <c r="Q24" s="65"/>
      <c r="R24" s="56">
        <f t="shared" si="3"/>
        <v>0</v>
      </c>
      <c r="S24" s="55"/>
    </row>
    <row r="25" spans="1:20" ht="15" thickBot="1" x14ac:dyDescent="0.4">
      <c r="B25" s="1323" t="s">
        <v>99</v>
      </c>
      <c r="C25" s="1324"/>
      <c r="D25" s="1324"/>
      <c r="E25" s="304">
        <f>SUM(E18:E24)</f>
        <v>76557.200000000012</v>
      </c>
      <c r="F25" s="420"/>
      <c r="G25" s="464"/>
      <c r="O25" s="51"/>
      <c r="P25" s="66"/>
      <c r="Q25" s="49"/>
      <c r="R25" s="49"/>
    </row>
    <row r="26" spans="1:20" ht="18" customHeight="1" thickBot="1" x14ac:dyDescent="0.4">
      <c r="B26" s="1363" t="s">
        <v>79</v>
      </c>
      <c r="C26" s="1364"/>
      <c r="D26" s="1365"/>
      <c r="E26" s="470">
        <v>990</v>
      </c>
      <c r="F26" s="420"/>
      <c r="G26" s="468"/>
      <c r="H26" s="181"/>
      <c r="I26" s="183"/>
      <c r="J26" s="180"/>
      <c r="K26" s="180"/>
      <c r="L26" s="180"/>
      <c r="M26" s="180"/>
    </row>
    <row r="27" spans="1:20" s="4" customFormat="1" ht="20" thickBot="1" x14ac:dyDescent="0.5">
      <c r="B27" s="1329" t="s">
        <v>19</v>
      </c>
      <c r="C27" s="1330"/>
      <c r="D27" s="1331"/>
      <c r="E27" s="207">
        <v>10000</v>
      </c>
      <c r="F27" s="412"/>
      <c r="G27" s="464"/>
      <c r="H27" s="181"/>
      <c r="I27" s="183"/>
      <c r="J27" s="180"/>
      <c r="K27" s="180"/>
      <c r="L27" s="180"/>
      <c r="M27" s="180"/>
      <c r="N27"/>
      <c r="O27"/>
      <c r="P27"/>
      <c r="Q27"/>
      <c r="R27"/>
      <c r="S27"/>
    </row>
    <row r="28" spans="1:20" ht="16" thickBot="1" x14ac:dyDescent="0.4">
      <c r="B28" s="1296" t="s">
        <v>11</v>
      </c>
      <c r="C28" s="1297"/>
      <c r="D28" s="1298"/>
      <c r="E28" s="201">
        <f>+E25-E26-E27</f>
        <v>65567.200000000012</v>
      </c>
      <c r="F28" s="423"/>
      <c r="I28" s="183"/>
      <c r="J28" s="180"/>
      <c r="K28" s="180"/>
      <c r="L28" s="180"/>
      <c r="M28" s="180"/>
      <c r="N28" s="184"/>
    </row>
    <row r="29" spans="1:20" ht="8.25" customHeight="1" thickBot="1" x14ac:dyDescent="0.4">
      <c r="A29" s="464"/>
      <c r="F29" s="413"/>
      <c r="I29" s="181"/>
      <c r="J29" s="184"/>
      <c r="K29" s="184"/>
      <c r="L29" s="184"/>
      <c r="M29" s="184"/>
      <c r="N29" s="184"/>
    </row>
    <row r="30" spans="1:20" s="464" customFormat="1" ht="20" thickBot="1" x14ac:dyDescent="0.5">
      <c r="A30"/>
      <c r="B30" s="1315" t="s">
        <v>16</v>
      </c>
      <c r="C30" s="1316"/>
      <c r="D30" s="1316"/>
      <c r="E30" s="1317"/>
      <c r="F30" s="155"/>
      <c r="G30"/>
      <c r="H30"/>
      <c r="I30" s="181"/>
      <c r="J30" s="181"/>
      <c r="K30" s="181"/>
      <c r="L30" s="181"/>
      <c r="M30" s="181"/>
      <c r="N30" s="184"/>
      <c r="O30" s="180"/>
      <c r="P30" s="181"/>
      <c r="Q30" s="181"/>
      <c r="R30" s="181"/>
      <c r="S30"/>
    </row>
    <row r="31" spans="1:20" s="464" customFormat="1" x14ac:dyDescent="0.35">
      <c r="A31"/>
      <c r="B31" s="169" t="s">
        <v>7</v>
      </c>
      <c r="C31" s="266" t="s">
        <v>8</v>
      </c>
      <c r="D31" s="209" t="s">
        <v>4</v>
      </c>
      <c r="E31" s="210" t="s">
        <v>9</v>
      </c>
      <c r="F31" s="155"/>
      <c r="G31"/>
      <c r="H31"/>
      <c r="I31" s="181"/>
      <c r="J31" s="181"/>
      <c r="K31" s="181"/>
      <c r="L31" s="181"/>
      <c r="M31" s="181"/>
      <c r="N31" s="185"/>
      <c r="O31" s="180"/>
      <c r="P31" s="181"/>
      <c r="Q31" s="181"/>
      <c r="R31" s="181"/>
    </row>
    <row r="32" spans="1:20" x14ac:dyDescent="0.35">
      <c r="B32" s="165" t="s">
        <v>3</v>
      </c>
      <c r="C32" s="267">
        <v>177</v>
      </c>
      <c r="D32" s="211">
        <v>187.2</v>
      </c>
      <c r="E32" s="212">
        <f>C32*D32</f>
        <v>33134.400000000001</v>
      </c>
      <c r="F32" s="155">
        <f>185-8</f>
        <v>177</v>
      </c>
      <c r="G32" s="181"/>
      <c r="I32" s="181"/>
      <c r="J32" s="181"/>
      <c r="K32" s="181"/>
      <c r="L32" s="181"/>
      <c r="M32" s="181"/>
      <c r="N32" s="189"/>
      <c r="O32" s="180"/>
      <c r="P32" s="181"/>
      <c r="Q32" s="181"/>
      <c r="R32" s="181"/>
    </row>
    <row r="33" spans="1:19" x14ac:dyDescent="0.35">
      <c r="B33" s="165" t="s">
        <v>192</v>
      </c>
      <c r="C33" s="267">
        <v>8</v>
      </c>
      <c r="D33" s="211">
        <v>187.2</v>
      </c>
      <c r="E33" s="212">
        <f>+C33*D33</f>
        <v>1497.6</v>
      </c>
      <c r="F33" s="155"/>
      <c r="G33" s="409"/>
      <c r="H33" s="115"/>
      <c r="N33" s="189"/>
      <c r="O33" s="180"/>
      <c r="P33" s="181"/>
      <c r="Q33" s="181"/>
      <c r="R33" s="181"/>
    </row>
    <row r="34" spans="1:19" x14ac:dyDescent="0.35">
      <c r="B34" s="165" t="s">
        <v>187</v>
      </c>
      <c r="C34" s="267"/>
      <c r="D34" s="211">
        <v>-187.2</v>
      </c>
      <c r="E34" s="212">
        <f>+C34*D34</f>
        <v>0</v>
      </c>
      <c r="F34" s="155"/>
      <c r="G34" s="409"/>
      <c r="H34" s="115"/>
      <c r="N34" s="185"/>
      <c r="O34" s="181"/>
      <c r="P34" s="181"/>
      <c r="Q34" s="181"/>
    </row>
    <row r="35" spans="1:19" x14ac:dyDescent="0.35">
      <c r="B35" s="165" t="s">
        <v>196</v>
      </c>
      <c r="C35" s="267">
        <v>5000</v>
      </c>
      <c r="D35" s="211"/>
      <c r="E35" s="212">
        <v>5000</v>
      </c>
      <c r="F35" s="155"/>
      <c r="G35" s="409"/>
      <c r="N35" s="185"/>
      <c r="O35" s="181"/>
      <c r="P35" s="184"/>
    </row>
    <row r="36" spans="1:19" x14ac:dyDescent="0.35">
      <c r="B36" s="165" t="s">
        <v>193</v>
      </c>
      <c r="C36" s="267">
        <v>12</v>
      </c>
      <c r="D36" s="211">
        <f>+D32</f>
        <v>187.2</v>
      </c>
      <c r="E36" s="212">
        <f>+C36*D36</f>
        <v>2246.3999999999996</v>
      </c>
      <c r="F36" s="106"/>
      <c r="G36" s="311"/>
      <c r="N36" s="182"/>
      <c r="O36" s="181"/>
      <c r="P36" s="184"/>
    </row>
    <row r="37" spans="1:19" x14ac:dyDescent="0.35">
      <c r="B37" s="165" t="s">
        <v>194</v>
      </c>
      <c r="C37" s="267">
        <v>9</v>
      </c>
      <c r="D37" s="211">
        <f>+D32*2</f>
        <v>374.4</v>
      </c>
      <c r="E37" s="212">
        <f>C37*D37</f>
        <v>3369.6</v>
      </c>
      <c r="N37" s="182"/>
    </row>
    <row r="38" spans="1:19" x14ac:dyDescent="0.35">
      <c r="B38" s="165" t="s">
        <v>195</v>
      </c>
      <c r="C38" s="267">
        <v>8</v>
      </c>
      <c r="D38" s="211">
        <f>+D32*1.5</f>
        <v>280.79999999999995</v>
      </c>
      <c r="E38" s="212">
        <f>C38*D38</f>
        <v>2246.3999999999996</v>
      </c>
      <c r="I38" s="115"/>
      <c r="J38" s="464"/>
      <c r="K38" s="464"/>
      <c r="L38" s="468"/>
      <c r="M38" s="468"/>
      <c r="N38" s="176"/>
      <c r="P38" s="464"/>
      <c r="Q38" s="464"/>
      <c r="R38" s="464"/>
    </row>
    <row r="39" spans="1:19" ht="15" thickBot="1" x14ac:dyDescent="0.4">
      <c r="B39" s="165" t="s">
        <v>6</v>
      </c>
      <c r="C39" s="267">
        <v>11000</v>
      </c>
      <c r="D39" s="211"/>
      <c r="E39" s="212">
        <f>+C39</f>
        <v>11000</v>
      </c>
      <c r="I39" s="115"/>
      <c r="J39" s="464"/>
      <c r="K39" s="464"/>
      <c r="L39" s="468"/>
      <c r="M39" s="468"/>
      <c r="N39" s="176"/>
      <c r="P39" s="464"/>
      <c r="Q39" s="464"/>
      <c r="R39" s="464"/>
    </row>
    <row r="40" spans="1:19" ht="15" thickBot="1" x14ac:dyDescent="0.4">
      <c r="A40" s="106"/>
      <c r="B40" s="1323" t="s">
        <v>99</v>
      </c>
      <c r="C40" s="1324"/>
      <c r="D40" s="1324"/>
      <c r="E40" s="304">
        <f>SUM(E32:E39)</f>
        <v>58494.400000000001</v>
      </c>
      <c r="I40" s="115"/>
      <c r="J40" s="468"/>
      <c r="K40" s="468"/>
      <c r="L40" s="468"/>
      <c r="M40" s="468"/>
      <c r="N40" s="176"/>
      <c r="P40" s="468"/>
      <c r="Q40" s="468"/>
      <c r="R40" s="468"/>
    </row>
    <row r="41" spans="1:19" ht="15" thickBot="1" x14ac:dyDescent="0.4">
      <c r="A41" s="155"/>
      <c r="B41" s="1352" t="s">
        <v>19</v>
      </c>
      <c r="C41" s="1353"/>
      <c r="D41" s="1354"/>
      <c r="E41" s="214">
        <v>10000</v>
      </c>
      <c r="I41" s="115"/>
      <c r="J41" s="464"/>
      <c r="K41" s="464"/>
      <c r="L41" s="468"/>
      <c r="M41" s="468"/>
      <c r="N41" s="176"/>
      <c r="S41" s="464"/>
    </row>
    <row r="42" spans="1:19" ht="15" thickBot="1" x14ac:dyDescent="0.4">
      <c r="A42" s="155"/>
      <c r="B42" s="1355" t="s">
        <v>11</v>
      </c>
      <c r="C42" s="1356"/>
      <c r="D42" s="1357"/>
      <c r="E42" s="216">
        <f>+E40-E41</f>
        <v>48494.400000000001</v>
      </c>
      <c r="F42" s="180"/>
      <c r="N42" s="176"/>
      <c r="O42" s="464"/>
      <c r="P42" s="464"/>
      <c r="Q42" s="464"/>
      <c r="R42" s="464"/>
    </row>
    <row r="43" spans="1:19" ht="129.75" customHeight="1" thickBot="1" x14ac:dyDescent="0.4">
      <c r="A43" s="155"/>
      <c r="F43" s="155"/>
      <c r="G43" s="464"/>
      <c r="N43" s="463"/>
      <c r="O43" s="180"/>
      <c r="P43" s="181"/>
      <c r="Q43" s="187"/>
      <c r="R43" s="188"/>
      <c r="S43" s="464"/>
    </row>
    <row r="44" spans="1:19" ht="23.5" x14ac:dyDescent="0.35">
      <c r="A44" s="155"/>
      <c r="B44" s="1276" t="s">
        <v>0</v>
      </c>
      <c r="C44" s="1277"/>
      <c r="D44" s="1277"/>
      <c r="E44" s="1278"/>
      <c r="F44" s="155" t="s">
        <v>206</v>
      </c>
      <c r="G44" s="464"/>
      <c r="N44" s="176"/>
      <c r="O44" s="180"/>
      <c r="P44" s="181"/>
      <c r="Q44" s="181"/>
      <c r="R44" s="184"/>
    </row>
    <row r="45" spans="1:19" x14ac:dyDescent="0.35">
      <c r="A45" s="156"/>
      <c r="B45" s="8" t="s">
        <v>7</v>
      </c>
      <c r="C45" s="270" t="s">
        <v>8</v>
      </c>
      <c r="D45" s="217" t="s">
        <v>4</v>
      </c>
      <c r="E45" s="218" t="s">
        <v>9</v>
      </c>
      <c r="F45" s="106"/>
      <c r="H45" s="464"/>
      <c r="N45" s="176"/>
      <c r="O45" s="180"/>
      <c r="P45" s="181"/>
      <c r="Q45" s="181"/>
      <c r="R45" s="184"/>
    </row>
    <row r="46" spans="1:19" s="464" customFormat="1" x14ac:dyDescent="0.35">
      <c r="A46" s="155"/>
      <c r="B46" s="10" t="s">
        <v>3</v>
      </c>
      <c r="C46" s="258">
        <v>167</v>
      </c>
      <c r="D46" s="194">
        <v>232.8</v>
      </c>
      <c r="E46" s="196">
        <f>C46*D46</f>
        <v>38877.599999999999</v>
      </c>
      <c r="F46" s="106">
        <f>185-18</f>
        <v>167</v>
      </c>
      <c r="G46"/>
      <c r="H46"/>
      <c r="I46"/>
      <c r="J46"/>
      <c r="K46"/>
      <c r="L46"/>
      <c r="M46"/>
      <c r="N46" s="176"/>
      <c r="O46" s="180"/>
      <c r="P46" s="181"/>
      <c r="Q46" s="181"/>
      <c r="R46" s="184"/>
      <c r="S46"/>
    </row>
    <row r="47" spans="1:19" s="469" customFormat="1" x14ac:dyDescent="0.35">
      <c r="A47" s="155"/>
      <c r="B47" s="10" t="s">
        <v>207</v>
      </c>
      <c r="C47" s="258">
        <v>56</v>
      </c>
      <c r="D47" s="194">
        <f>+D46</f>
        <v>232.8</v>
      </c>
      <c r="E47" s="196">
        <f>C47*D47</f>
        <v>13036.800000000001</v>
      </c>
      <c r="F47" s="106">
        <f>7*8</f>
        <v>56</v>
      </c>
      <c r="G47"/>
      <c r="H47"/>
      <c r="I47"/>
      <c r="J47"/>
      <c r="K47"/>
      <c r="L47"/>
      <c r="M47"/>
      <c r="N47" s="176"/>
      <c r="O47" s="180"/>
      <c r="P47" s="181"/>
      <c r="Q47" s="181"/>
      <c r="R47" s="184"/>
      <c r="S47"/>
    </row>
    <row r="48" spans="1:19" x14ac:dyDescent="0.35">
      <c r="A48" s="155"/>
      <c r="B48" s="10" t="s">
        <v>111</v>
      </c>
      <c r="C48" s="258">
        <v>12</v>
      </c>
      <c r="D48" s="194">
        <v>232.8</v>
      </c>
      <c r="E48" s="196">
        <f>C48*D48</f>
        <v>2793.6000000000004</v>
      </c>
      <c r="F48" s="106"/>
      <c r="N48" s="183"/>
      <c r="O48" s="180"/>
      <c r="P48" s="181"/>
      <c r="Q48" s="181"/>
      <c r="R48" s="184"/>
    </row>
    <row r="49" spans="1:19" x14ac:dyDescent="0.35">
      <c r="A49" s="155"/>
      <c r="B49" s="10" t="s">
        <v>196</v>
      </c>
      <c r="C49" s="258">
        <v>5000</v>
      </c>
      <c r="D49" s="194"/>
      <c r="E49" s="196">
        <v>5000</v>
      </c>
      <c r="F49" s="106" t="s">
        <v>191</v>
      </c>
      <c r="N49" s="176"/>
      <c r="O49" s="191"/>
      <c r="P49" s="181"/>
      <c r="Q49" s="181"/>
      <c r="R49" s="184"/>
      <c r="S49" s="464"/>
    </row>
    <row r="50" spans="1:19" x14ac:dyDescent="0.35">
      <c r="A50" s="155"/>
      <c r="B50" s="10" t="s">
        <v>187</v>
      </c>
      <c r="C50" s="258">
        <v>0</v>
      </c>
      <c r="D50" s="194"/>
      <c r="E50" s="196">
        <v>0</v>
      </c>
      <c r="F50" s="106" t="s">
        <v>188</v>
      </c>
      <c r="N50" s="176"/>
      <c r="O50" s="180"/>
      <c r="P50" s="181"/>
      <c r="Q50" s="181"/>
      <c r="R50" s="184"/>
      <c r="S50" s="464"/>
    </row>
    <row r="51" spans="1:19" x14ac:dyDescent="0.35">
      <c r="A51" s="155"/>
      <c r="B51" s="10" t="s">
        <v>190</v>
      </c>
      <c r="C51" s="258">
        <v>14</v>
      </c>
      <c r="D51" s="194">
        <f>+D46*2</f>
        <v>465.6</v>
      </c>
      <c r="E51" s="196">
        <f>C51*D51</f>
        <v>6518.4000000000005</v>
      </c>
      <c r="F51" s="106"/>
      <c r="I51" s="464"/>
      <c r="J51" s="464"/>
      <c r="K51" s="464"/>
      <c r="L51" s="468"/>
      <c r="M51" s="468"/>
      <c r="N51" s="176"/>
      <c r="O51" s="180"/>
      <c r="P51" s="181"/>
      <c r="Q51" s="181"/>
      <c r="R51" s="184"/>
      <c r="S51" s="464"/>
    </row>
    <row r="52" spans="1:19" x14ac:dyDescent="0.35">
      <c r="A52" s="155"/>
      <c r="B52" s="10" t="s">
        <v>195</v>
      </c>
      <c r="C52" s="315">
        <v>4.5</v>
      </c>
      <c r="D52" s="194">
        <f>+D46*1.5</f>
        <v>349.20000000000005</v>
      </c>
      <c r="E52" s="196">
        <f>C52*D52</f>
        <v>1571.4</v>
      </c>
      <c r="F52" s="106"/>
      <c r="N52" s="176"/>
      <c r="O52" s="180"/>
      <c r="P52" s="181"/>
      <c r="Q52" s="181"/>
      <c r="R52" s="184"/>
    </row>
    <row r="53" spans="1:19" ht="15" thickBot="1" x14ac:dyDescent="0.4">
      <c r="A53" s="155"/>
      <c r="B53" s="10" t="s">
        <v>6</v>
      </c>
      <c r="C53" s="258">
        <v>16500</v>
      </c>
      <c r="D53" s="194"/>
      <c r="E53" s="196">
        <f>+C53</f>
        <v>16500</v>
      </c>
      <c r="F53" s="106"/>
      <c r="N53" s="176"/>
      <c r="O53" s="180"/>
      <c r="P53" s="181"/>
      <c r="Q53" s="181"/>
      <c r="R53" s="184"/>
    </row>
    <row r="54" spans="1:19" ht="15" thickBot="1" x14ac:dyDescent="0.4">
      <c r="B54" s="1323" t="s">
        <v>99</v>
      </c>
      <c r="C54" s="1324"/>
      <c r="D54" s="1324"/>
      <c r="E54" s="304">
        <f>SUM(E46:E53)</f>
        <v>84297.799999999988</v>
      </c>
      <c r="F54" s="106"/>
      <c r="N54" s="176"/>
      <c r="O54" s="180"/>
      <c r="P54" s="181"/>
      <c r="Q54" s="181"/>
      <c r="R54" s="184"/>
    </row>
    <row r="55" spans="1:19" x14ac:dyDescent="0.35">
      <c r="B55" s="320" t="s">
        <v>19</v>
      </c>
      <c r="C55" s="319"/>
      <c r="D55" s="319"/>
      <c r="E55" s="343">
        <v>0</v>
      </c>
      <c r="F55" s="106"/>
      <c r="N55" s="176"/>
      <c r="O55" s="180"/>
      <c r="P55" s="181"/>
      <c r="Q55" s="181"/>
      <c r="R55" s="184"/>
    </row>
    <row r="56" spans="1:19" ht="15" thickBot="1" x14ac:dyDescent="0.4">
      <c r="B56" s="1366" t="s">
        <v>18</v>
      </c>
      <c r="C56" s="1367"/>
      <c r="D56" s="1368"/>
      <c r="E56" s="198">
        <v>30064.45</v>
      </c>
      <c r="F56" s="317"/>
      <c r="G56" s="464"/>
      <c r="N56" s="176"/>
      <c r="O56" s="180"/>
      <c r="P56" s="181"/>
      <c r="Q56" s="181"/>
      <c r="R56" s="184"/>
    </row>
    <row r="57" spans="1:19" ht="16" thickBot="1" x14ac:dyDescent="0.4">
      <c r="B57" s="1296" t="s">
        <v>11</v>
      </c>
      <c r="C57" s="1297"/>
      <c r="D57" s="1298"/>
      <c r="E57" s="201">
        <f>+E54-E55-E56</f>
        <v>54233.349999999991</v>
      </c>
      <c r="F57" s="317"/>
      <c r="N57" s="176"/>
      <c r="O57" s="463"/>
      <c r="P57" s="181"/>
      <c r="Q57" s="181"/>
      <c r="R57" s="184"/>
    </row>
    <row r="58" spans="1:19" ht="15" thickBot="1" x14ac:dyDescent="0.4">
      <c r="A58" s="464"/>
      <c r="F58" s="389"/>
      <c r="N58" s="176"/>
      <c r="O58" s="176"/>
      <c r="P58" s="181"/>
      <c r="Q58" s="181"/>
      <c r="R58" s="184"/>
    </row>
    <row r="59" spans="1:19" s="464" customFormat="1" ht="23.5" x14ac:dyDescent="0.35">
      <c r="A59"/>
      <c r="B59" s="1276" t="s">
        <v>28</v>
      </c>
      <c r="C59" s="1277"/>
      <c r="D59" s="1277"/>
      <c r="E59" s="1278"/>
      <c r="F59" s="394"/>
      <c r="G59"/>
      <c r="H59"/>
      <c r="I59"/>
      <c r="J59"/>
      <c r="K59"/>
      <c r="L59"/>
      <c r="M59"/>
      <c r="N59" s="176"/>
      <c r="O59" s="176"/>
      <c r="P59" s="176"/>
      <c r="Q59" s="176"/>
      <c r="R59" s="176"/>
      <c r="S59"/>
    </row>
    <row r="60" spans="1:19" x14ac:dyDescent="0.35">
      <c r="A60" s="464"/>
      <c r="B60" s="8" t="s">
        <v>7</v>
      </c>
      <c r="C60" s="270" t="s">
        <v>8</v>
      </c>
      <c r="D60" s="217" t="s">
        <v>4</v>
      </c>
      <c r="E60" s="218" t="s">
        <v>9</v>
      </c>
      <c r="F60" s="114" t="s">
        <v>205</v>
      </c>
      <c r="O60" s="183"/>
      <c r="P60" s="176"/>
      <c r="Q60" s="176"/>
      <c r="R60" s="176"/>
    </row>
    <row r="61" spans="1:19" s="464" customFormat="1" x14ac:dyDescent="0.35">
      <c r="A61"/>
      <c r="B61" s="10" t="s">
        <v>3</v>
      </c>
      <c r="C61" s="315">
        <v>169</v>
      </c>
      <c r="D61" s="194">
        <v>216</v>
      </c>
      <c r="E61" s="196">
        <f>+C61*D61</f>
        <v>36504</v>
      </c>
      <c r="F61" s="49"/>
      <c r="G61"/>
      <c r="H61"/>
      <c r="I61"/>
      <c r="J61"/>
      <c r="K61"/>
      <c r="L61"/>
      <c r="M61"/>
      <c r="N61"/>
      <c r="O61" s="183"/>
      <c r="P61" s="176"/>
      <c r="Q61" s="176"/>
      <c r="R61" s="176"/>
      <c r="S61"/>
    </row>
    <row r="62" spans="1:19" s="468" customFormat="1" x14ac:dyDescent="0.35">
      <c r="A62"/>
      <c r="B62" s="10" t="s">
        <v>196</v>
      </c>
      <c r="C62" s="315">
        <v>0</v>
      </c>
      <c r="D62" s="194"/>
      <c r="E62" s="196">
        <v>0</v>
      </c>
      <c r="F62" s="49"/>
      <c r="G62"/>
      <c r="H62"/>
      <c r="I62"/>
      <c r="J62"/>
      <c r="K62"/>
      <c r="L62"/>
      <c r="M62"/>
      <c r="N62"/>
      <c r="O62" s="176"/>
      <c r="P62" s="183"/>
      <c r="Q62" s="183"/>
      <c r="R62" s="183"/>
      <c r="S62"/>
    </row>
    <row r="63" spans="1:19" s="468" customFormat="1" x14ac:dyDescent="0.35">
      <c r="A63"/>
      <c r="B63" s="10" t="s">
        <v>192</v>
      </c>
      <c r="C63" s="315">
        <v>8</v>
      </c>
      <c r="D63" s="194">
        <v>216</v>
      </c>
      <c r="E63" s="196">
        <f>+D63*C63</f>
        <v>1728</v>
      </c>
      <c r="F63" s="49"/>
      <c r="G63"/>
      <c r="H63"/>
      <c r="I63"/>
      <c r="J63"/>
      <c r="K63"/>
      <c r="L63"/>
      <c r="M63"/>
      <c r="N63"/>
      <c r="O63" s="176"/>
      <c r="P63" s="176"/>
      <c r="Q63" s="176"/>
      <c r="R63" s="176"/>
      <c r="S63"/>
    </row>
    <row r="64" spans="1:19" s="464" customFormat="1" x14ac:dyDescent="0.35">
      <c r="A64"/>
      <c r="B64" s="10" t="s">
        <v>187</v>
      </c>
      <c r="C64" s="315">
        <v>8</v>
      </c>
      <c r="D64" s="194">
        <f>+D61</f>
        <v>216</v>
      </c>
      <c r="E64" s="196"/>
      <c r="F64" s="49"/>
      <c r="G64"/>
      <c r="H64"/>
      <c r="I64"/>
      <c r="J64"/>
      <c r="K64"/>
      <c r="L64"/>
      <c r="M64"/>
      <c r="N64"/>
      <c r="O64" s="176"/>
      <c r="P64" s="176"/>
      <c r="Q64" s="176"/>
      <c r="R64" s="176"/>
    </row>
    <row r="65" spans="2:18" x14ac:dyDescent="0.35">
      <c r="B65" s="10" t="s">
        <v>111</v>
      </c>
      <c r="C65" s="315">
        <v>12</v>
      </c>
      <c r="D65" s="194">
        <v>216</v>
      </c>
      <c r="E65" s="196">
        <f>C65*D65</f>
        <v>2592</v>
      </c>
      <c r="F65" s="428"/>
      <c r="O65" s="176"/>
      <c r="P65" s="176"/>
      <c r="Q65" s="176"/>
      <c r="R65" s="176"/>
    </row>
    <row r="66" spans="2:18" x14ac:dyDescent="0.35">
      <c r="B66" s="10" t="s">
        <v>139</v>
      </c>
      <c r="C66" s="315"/>
      <c r="D66" s="194">
        <f>+D61*2</f>
        <v>432</v>
      </c>
      <c r="E66" s="196">
        <f>C66*D66</f>
        <v>0</v>
      </c>
      <c r="F66" s="428"/>
      <c r="O66" s="176"/>
      <c r="P66" s="176"/>
      <c r="Q66" s="176"/>
      <c r="R66" s="176"/>
    </row>
    <row r="67" spans="2:18" x14ac:dyDescent="0.35">
      <c r="B67" s="10" t="s">
        <v>195</v>
      </c>
      <c r="C67" s="315"/>
      <c r="D67" s="194">
        <f>+D61*1.5</f>
        <v>324</v>
      </c>
      <c r="E67" s="196">
        <f>C67*D67</f>
        <v>0</v>
      </c>
      <c r="F67" s="430"/>
      <c r="O67" s="176"/>
      <c r="P67" s="176"/>
      <c r="Q67" s="176"/>
      <c r="R67" s="176"/>
    </row>
    <row r="68" spans="2:18" ht="15" thickBot="1" x14ac:dyDescent="0.4">
      <c r="B68" s="10" t="s">
        <v>6</v>
      </c>
      <c r="C68" s="258">
        <v>16000</v>
      </c>
      <c r="D68" s="194"/>
      <c r="E68" s="196">
        <f>+C68</f>
        <v>16000</v>
      </c>
      <c r="F68" s="429"/>
      <c r="O68" s="176"/>
      <c r="P68" s="176"/>
      <c r="Q68" s="176"/>
      <c r="R68" s="176"/>
    </row>
    <row r="69" spans="2:18" ht="15" thickBot="1" x14ac:dyDescent="0.4">
      <c r="B69" s="1323" t="s">
        <v>99</v>
      </c>
      <c r="C69" s="1324"/>
      <c r="D69" s="1324"/>
      <c r="E69" s="304">
        <f>SUM(E61:E68)</f>
        <v>56824</v>
      </c>
      <c r="F69" s="429"/>
      <c r="O69" s="176"/>
      <c r="P69" s="176"/>
      <c r="Q69" s="176"/>
      <c r="R69" s="176"/>
    </row>
    <row r="70" spans="2:18" ht="15" thickBot="1" x14ac:dyDescent="0.4">
      <c r="B70" s="1339" t="s">
        <v>18</v>
      </c>
      <c r="C70" s="1340"/>
      <c r="D70" s="1341"/>
      <c r="E70" s="343">
        <v>24028.31</v>
      </c>
      <c r="F70" s="429"/>
      <c r="O70" s="176"/>
      <c r="P70" s="176"/>
      <c r="Q70" s="176"/>
      <c r="R70" s="176"/>
    </row>
    <row r="71" spans="2:18" ht="15" thickBot="1" x14ac:dyDescent="0.4">
      <c r="B71" s="1339" t="s">
        <v>19</v>
      </c>
      <c r="C71" s="1340"/>
      <c r="D71" s="1341"/>
      <c r="E71" s="198">
        <v>10000</v>
      </c>
      <c r="F71" s="429"/>
      <c r="O71" s="176"/>
      <c r="P71" s="176"/>
      <c r="Q71" s="176"/>
      <c r="R71" s="176"/>
    </row>
    <row r="72" spans="2:18" ht="16" thickBot="1" x14ac:dyDescent="0.4">
      <c r="B72" s="1296" t="s">
        <v>11</v>
      </c>
      <c r="C72" s="1297"/>
      <c r="D72" s="1298"/>
      <c r="E72" s="201">
        <f>+E69-E70-E71</f>
        <v>22795.690000000002</v>
      </c>
      <c r="F72" s="429"/>
      <c r="O72" s="176"/>
      <c r="P72" s="176"/>
      <c r="Q72" s="176"/>
      <c r="R72" s="176"/>
    </row>
    <row r="73" spans="2:18" ht="6.75" customHeight="1" thickBot="1" x14ac:dyDescent="0.4">
      <c r="F73" s="429"/>
    </row>
    <row r="74" spans="2:18" ht="23.5" x14ac:dyDescent="0.35">
      <c r="B74" s="1276" t="s">
        <v>17</v>
      </c>
      <c r="C74" s="1277"/>
      <c r="D74" s="1277"/>
      <c r="E74" s="1278"/>
      <c r="F74" s="431"/>
    </row>
    <row r="75" spans="2:18" x14ac:dyDescent="0.35">
      <c r="B75" s="8" t="s">
        <v>7</v>
      </c>
      <c r="C75" s="270" t="s">
        <v>8</v>
      </c>
      <c r="D75" s="217" t="s">
        <v>4</v>
      </c>
      <c r="E75" s="218" t="s">
        <v>9</v>
      </c>
      <c r="F75" s="428"/>
    </row>
    <row r="76" spans="2:18" x14ac:dyDescent="0.35">
      <c r="B76" s="10" t="s">
        <v>3</v>
      </c>
      <c r="C76" s="258">
        <v>185</v>
      </c>
      <c r="D76" s="194">
        <v>158.4</v>
      </c>
      <c r="E76" s="196">
        <f t="shared" ref="E76:E81" si="4">C76*D76</f>
        <v>29304</v>
      </c>
      <c r="F76" s="428"/>
    </row>
    <row r="77" spans="2:18" x14ac:dyDescent="0.35">
      <c r="B77" s="10" t="s">
        <v>111</v>
      </c>
      <c r="C77" s="258">
        <v>12</v>
      </c>
      <c r="D77" s="194">
        <v>158.4</v>
      </c>
      <c r="E77" s="196">
        <f t="shared" si="4"/>
        <v>1900.8000000000002</v>
      </c>
    </row>
    <row r="78" spans="2:18" x14ac:dyDescent="0.35">
      <c r="B78" s="10" t="s">
        <v>196</v>
      </c>
      <c r="C78" s="258">
        <v>0</v>
      </c>
      <c r="D78" s="194"/>
      <c r="E78" s="196">
        <f t="shared" si="4"/>
        <v>0</v>
      </c>
    </row>
    <row r="79" spans="2:18" x14ac:dyDescent="0.35">
      <c r="B79" s="10" t="s">
        <v>187</v>
      </c>
      <c r="C79" s="258">
        <v>-27</v>
      </c>
      <c r="D79" s="194">
        <f>+D77</f>
        <v>158.4</v>
      </c>
      <c r="E79" s="196">
        <f t="shared" si="4"/>
        <v>-4276.8</v>
      </c>
    </row>
    <row r="80" spans="2:18" x14ac:dyDescent="0.35">
      <c r="B80" s="10" t="s">
        <v>190</v>
      </c>
      <c r="C80" s="258">
        <v>14</v>
      </c>
      <c r="D80" s="194">
        <f>+D76*2</f>
        <v>316.8</v>
      </c>
      <c r="E80" s="196">
        <f t="shared" si="4"/>
        <v>4435.2</v>
      </c>
    </row>
    <row r="81" spans="2:10" x14ac:dyDescent="0.35">
      <c r="B81" s="10" t="s">
        <v>209</v>
      </c>
      <c r="C81" s="258">
        <v>4</v>
      </c>
      <c r="D81" s="194">
        <f>+D76*1.5</f>
        <v>237.60000000000002</v>
      </c>
      <c r="E81" s="196">
        <f t="shared" si="4"/>
        <v>950.40000000000009</v>
      </c>
    </row>
    <row r="82" spans="2:10" ht="15" thickBot="1" x14ac:dyDescent="0.4">
      <c r="B82" s="10" t="s">
        <v>6</v>
      </c>
      <c r="C82" s="258">
        <v>11000</v>
      </c>
      <c r="D82" s="194"/>
      <c r="E82" s="222">
        <v>11000</v>
      </c>
    </row>
    <row r="83" spans="2:10" ht="15" thickBot="1" x14ac:dyDescent="0.4">
      <c r="B83" s="1323" t="s">
        <v>99</v>
      </c>
      <c r="C83" s="1324"/>
      <c r="D83" s="1324"/>
      <c r="E83" s="304">
        <f>SUM(E76:E82)</f>
        <v>43313.600000000006</v>
      </c>
    </row>
    <row r="84" spans="2:10" ht="15" thickBot="1" x14ac:dyDescent="0.4">
      <c r="B84" s="1339" t="s">
        <v>19</v>
      </c>
      <c r="C84" s="1340"/>
      <c r="D84" s="1341"/>
      <c r="E84" s="199">
        <v>0</v>
      </c>
    </row>
    <row r="85" spans="2:10" ht="16" thickBot="1" x14ac:dyDescent="0.4">
      <c r="B85" s="1296" t="s">
        <v>11</v>
      </c>
      <c r="C85" s="1297"/>
      <c r="D85" s="1298"/>
      <c r="E85" s="201">
        <f>+E83-E84</f>
        <v>43313.600000000006</v>
      </c>
    </row>
    <row r="86" spans="2:10" ht="8.25" customHeight="1" thickBot="1" x14ac:dyDescent="0.4"/>
    <row r="87" spans="2:10" ht="23.5" x14ac:dyDescent="0.35">
      <c r="B87" s="1276" t="s">
        <v>39</v>
      </c>
      <c r="C87" s="1277"/>
      <c r="D87" s="1277"/>
      <c r="E87" s="1278"/>
    </row>
    <row r="88" spans="2:10" x14ac:dyDescent="0.35">
      <c r="B88" s="8" t="s">
        <v>7</v>
      </c>
      <c r="C88" s="270" t="s">
        <v>8</v>
      </c>
      <c r="D88" s="217" t="s">
        <v>4</v>
      </c>
      <c r="E88" s="218" t="s">
        <v>9</v>
      </c>
    </row>
    <row r="89" spans="2:10" x14ac:dyDescent="0.35">
      <c r="B89" s="10" t="s">
        <v>3</v>
      </c>
      <c r="C89" s="258">
        <v>105</v>
      </c>
      <c r="D89" s="194">
        <f>+E89/C89</f>
        <v>285.71428571428572</v>
      </c>
      <c r="E89" s="196">
        <v>30000</v>
      </c>
      <c r="F89" s="464"/>
    </row>
    <row r="90" spans="2:10" x14ac:dyDescent="0.35">
      <c r="B90" s="10" t="s">
        <v>204</v>
      </c>
      <c r="C90" s="258">
        <v>2500</v>
      </c>
      <c r="D90" s="194">
        <v>0</v>
      </c>
      <c r="E90" s="196">
        <v>2500</v>
      </c>
    </row>
    <row r="91" spans="2:10" ht="15" thickBot="1" x14ac:dyDescent="0.4">
      <c r="B91" s="457" t="s">
        <v>185</v>
      </c>
      <c r="C91" s="458">
        <v>31.5</v>
      </c>
      <c r="D91" s="459">
        <f>+D89</f>
        <v>285.71428571428572</v>
      </c>
      <c r="E91" s="222">
        <f>C91*D91</f>
        <v>9000</v>
      </c>
    </row>
    <row r="92" spans="2:10" ht="16" thickBot="1" x14ac:dyDescent="0.4">
      <c r="B92" s="12" t="s">
        <v>11</v>
      </c>
      <c r="C92" s="272"/>
      <c r="D92" s="223"/>
      <c r="E92" s="201">
        <f>+E89+E90+E91</f>
        <v>41500</v>
      </c>
    </row>
    <row r="93" spans="2:10" ht="60.75" customHeight="1" thickBot="1" x14ac:dyDescent="0.4">
      <c r="F93" s="114"/>
    </row>
    <row r="94" spans="2:10" ht="24" thickBot="1" x14ac:dyDescent="0.4">
      <c r="B94" s="1273" t="s">
        <v>174</v>
      </c>
      <c r="C94" s="1274"/>
      <c r="D94" s="1274"/>
      <c r="E94" s="1275"/>
      <c r="G94" s="1273" t="s">
        <v>174</v>
      </c>
      <c r="H94" s="1274"/>
      <c r="I94" s="1274"/>
      <c r="J94" s="1275"/>
    </row>
    <row r="95" spans="2:10" x14ac:dyDescent="0.35">
      <c r="B95" s="16" t="s">
        <v>7</v>
      </c>
      <c r="C95" s="257" t="s">
        <v>8</v>
      </c>
      <c r="D95" s="192" t="s">
        <v>4</v>
      </c>
      <c r="E95" s="193" t="s">
        <v>9</v>
      </c>
      <c r="G95" s="16" t="s">
        <v>7</v>
      </c>
      <c r="H95" s="257" t="s">
        <v>8</v>
      </c>
      <c r="I95" s="192" t="s">
        <v>4</v>
      </c>
      <c r="J95" s="193" t="s">
        <v>9</v>
      </c>
    </row>
    <row r="96" spans="2:10" x14ac:dyDescent="0.35">
      <c r="B96" s="10" t="s">
        <v>3</v>
      </c>
      <c r="C96" s="258">
        <v>177</v>
      </c>
      <c r="D96" s="227">
        <v>182</v>
      </c>
      <c r="E96" s="196">
        <f>C96*D96</f>
        <v>32214</v>
      </c>
      <c r="G96" s="10" t="s">
        <v>3</v>
      </c>
      <c r="H96" s="258">
        <v>185</v>
      </c>
      <c r="I96" s="227">
        <v>182</v>
      </c>
      <c r="J96" s="196">
        <f>H96*I96</f>
        <v>33670</v>
      </c>
    </row>
    <row r="97" spans="2:10" x14ac:dyDescent="0.35">
      <c r="B97" s="10" t="s">
        <v>111</v>
      </c>
      <c r="C97" s="258">
        <v>12</v>
      </c>
      <c r="D97" s="227">
        <v>182</v>
      </c>
      <c r="E97" s="196">
        <f>C97*D97</f>
        <v>2184</v>
      </c>
      <c r="G97" s="10" t="s">
        <v>111</v>
      </c>
      <c r="H97" s="258">
        <v>0</v>
      </c>
      <c r="I97" s="227">
        <v>165</v>
      </c>
      <c r="J97" s="196">
        <f>H97*I97</f>
        <v>0</v>
      </c>
    </row>
    <row r="98" spans="2:10" x14ac:dyDescent="0.35">
      <c r="B98" s="10" t="s">
        <v>196</v>
      </c>
      <c r="C98" s="258">
        <v>5000</v>
      </c>
      <c r="D98" s="227"/>
      <c r="E98" s="196">
        <v>5000</v>
      </c>
      <c r="G98" s="10" t="s">
        <v>196</v>
      </c>
      <c r="H98" s="258">
        <v>5000</v>
      </c>
      <c r="I98" s="227"/>
      <c r="J98" s="196">
        <v>5000</v>
      </c>
    </row>
    <row r="99" spans="2:10" x14ac:dyDescent="0.35">
      <c r="B99" s="10" t="s">
        <v>187</v>
      </c>
      <c r="C99" s="258">
        <v>8</v>
      </c>
      <c r="D99" s="227">
        <v>182</v>
      </c>
      <c r="E99" s="196">
        <f>C99*D99</f>
        <v>1456</v>
      </c>
      <c r="G99" s="10" t="s">
        <v>187</v>
      </c>
      <c r="H99" s="258">
        <v>-9</v>
      </c>
      <c r="I99" s="227">
        <v>165</v>
      </c>
      <c r="J99" s="196">
        <f>H99*I99</f>
        <v>-1485</v>
      </c>
    </row>
    <row r="100" spans="2:10" x14ac:dyDescent="0.35">
      <c r="B100" s="10" t="s">
        <v>211</v>
      </c>
      <c r="C100" s="258">
        <v>6.5</v>
      </c>
      <c r="D100" s="194">
        <f>+D96*1.5</f>
        <v>273</v>
      </c>
      <c r="E100" s="196">
        <f>C100*D100</f>
        <v>1774.5</v>
      </c>
      <c r="G100" s="10" t="s">
        <v>211</v>
      </c>
      <c r="H100" s="258">
        <v>6.5</v>
      </c>
      <c r="I100" s="194">
        <f>+I96*1.5</f>
        <v>273</v>
      </c>
      <c r="J100" s="196">
        <f>H100*I100</f>
        <v>1774.5</v>
      </c>
    </row>
    <row r="101" spans="2:10" x14ac:dyDescent="0.35">
      <c r="B101" s="10" t="s">
        <v>190</v>
      </c>
      <c r="C101" s="258">
        <v>14</v>
      </c>
      <c r="D101" s="194">
        <f>+D96*2</f>
        <v>364</v>
      </c>
      <c r="E101" s="196">
        <f>+C101*D101</f>
        <v>5096</v>
      </c>
      <c r="G101" s="10" t="s">
        <v>190</v>
      </c>
      <c r="H101" s="258">
        <v>14</v>
      </c>
      <c r="I101" s="194">
        <f>+I96*2</f>
        <v>364</v>
      </c>
      <c r="J101" s="196">
        <f>+H101*I101</f>
        <v>5096</v>
      </c>
    </row>
    <row r="102" spans="2:10" ht="15" thickBot="1" x14ac:dyDescent="0.4">
      <c r="B102" s="10" t="s">
        <v>6</v>
      </c>
      <c r="C102" s="258"/>
      <c r="D102" s="194">
        <v>11000</v>
      </c>
      <c r="E102" s="196">
        <v>11000</v>
      </c>
      <c r="G102" s="10" t="s">
        <v>6</v>
      </c>
      <c r="H102" s="258"/>
      <c r="I102" s="194">
        <v>11000</v>
      </c>
      <c r="J102" s="196">
        <v>11000</v>
      </c>
    </row>
    <row r="103" spans="2:10" ht="15" thickBot="1" x14ac:dyDescent="0.4">
      <c r="B103" s="1323" t="s">
        <v>99</v>
      </c>
      <c r="C103" s="1324"/>
      <c r="D103" s="1324"/>
      <c r="E103" s="304">
        <f>SUM(E96:E102)</f>
        <v>58724.5</v>
      </c>
      <c r="F103" s="202"/>
      <c r="G103" s="1323" t="s">
        <v>99</v>
      </c>
      <c r="H103" s="1324"/>
      <c r="I103" s="1324"/>
      <c r="J103" s="304">
        <f>SUM(J96:J102)</f>
        <v>55055.5</v>
      </c>
    </row>
    <row r="104" spans="2:10" x14ac:dyDescent="0.35">
      <c r="B104" s="1339" t="s">
        <v>19</v>
      </c>
      <c r="C104" s="1340"/>
      <c r="D104" s="1341"/>
      <c r="E104" s="302">
        <v>8000</v>
      </c>
      <c r="G104" s="1339" t="s">
        <v>19</v>
      </c>
      <c r="H104" s="1340"/>
      <c r="I104" s="1341"/>
      <c r="J104" s="302">
        <v>8000</v>
      </c>
    </row>
    <row r="105" spans="2:10" ht="16" thickBot="1" x14ac:dyDescent="0.4">
      <c r="B105" s="1296" t="s">
        <v>11</v>
      </c>
      <c r="C105" s="1297"/>
      <c r="D105" s="1335"/>
      <c r="E105" s="303">
        <f>+E103-E104</f>
        <v>50724.5</v>
      </c>
      <c r="F105" s="202">
        <f>+J105-E105</f>
        <v>-3669</v>
      </c>
      <c r="G105" s="1296" t="s">
        <v>11</v>
      </c>
      <c r="H105" s="1297"/>
      <c r="I105" s="1335"/>
      <c r="J105" s="303">
        <f>+J103-J104</f>
        <v>47055.5</v>
      </c>
    </row>
    <row r="106" spans="2:10" ht="3.75" customHeight="1" thickBot="1" x14ac:dyDescent="0.4"/>
    <row r="107" spans="2:10" ht="24" thickBot="1" x14ac:dyDescent="0.4">
      <c r="B107" s="1273" t="s">
        <v>198</v>
      </c>
      <c r="C107" s="1274"/>
      <c r="D107" s="1274"/>
      <c r="E107" s="1275"/>
      <c r="F107" t="s">
        <v>189</v>
      </c>
      <c r="I107" s="202"/>
    </row>
    <row r="108" spans="2:10" x14ac:dyDescent="0.35">
      <c r="B108" s="16" t="s">
        <v>7</v>
      </c>
      <c r="C108" s="257" t="s">
        <v>8</v>
      </c>
      <c r="D108" s="192" t="s">
        <v>4</v>
      </c>
      <c r="E108" s="193" t="s">
        <v>9</v>
      </c>
    </row>
    <row r="109" spans="2:10" x14ac:dyDescent="0.35">
      <c r="B109" s="10" t="s">
        <v>3</v>
      </c>
      <c r="C109" s="258">
        <v>97</v>
      </c>
      <c r="D109" s="227">
        <v>165</v>
      </c>
      <c r="E109" s="196">
        <f>C109*D109</f>
        <v>16005</v>
      </c>
      <c r="F109">
        <f>9*9</f>
        <v>81</v>
      </c>
    </row>
    <row r="110" spans="2:10" x14ac:dyDescent="0.35">
      <c r="B110" s="10" t="s">
        <v>111</v>
      </c>
      <c r="C110" s="258">
        <v>12</v>
      </c>
      <c r="D110" s="227">
        <v>165</v>
      </c>
      <c r="E110" s="196">
        <f>C110*D110</f>
        <v>1980</v>
      </c>
      <c r="F110">
        <f>2*8</f>
        <v>16</v>
      </c>
    </row>
    <row r="111" spans="2:10" x14ac:dyDescent="0.35">
      <c r="B111" s="10" t="s">
        <v>186</v>
      </c>
      <c r="C111" s="258">
        <v>-10</v>
      </c>
      <c r="D111" s="227">
        <v>165</v>
      </c>
      <c r="E111" s="196">
        <f>C111*D111</f>
        <v>-1650</v>
      </c>
    </row>
    <row r="112" spans="2:10" x14ac:dyDescent="0.35">
      <c r="B112" s="10" t="s">
        <v>5</v>
      </c>
      <c r="C112" s="258">
        <v>1</v>
      </c>
      <c r="D112" s="194">
        <f>+D109*1.5</f>
        <v>247.5</v>
      </c>
      <c r="E112" s="196">
        <f>C112*D112</f>
        <v>247.5</v>
      </c>
    </row>
    <row r="113" spans="2:5" x14ac:dyDescent="0.35">
      <c r="B113" s="10" t="s">
        <v>190</v>
      </c>
      <c r="C113" s="258">
        <v>0</v>
      </c>
      <c r="D113" s="194">
        <f>+D109*2</f>
        <v>330</v>
      </c>
      <c r="E113" s="196">
        <f>+C113*D113</f>
        <v>0</v>
      </c>
    </row>
    <row r="114" spans="2:5" ht="15" thickBot="1" x14ac:dyDescent="0.4">
      <c r="B114" s="10" t="s">
        <v>6</v>
      </c>
      <c r="C114" s="258"/>
      <c r="D114" s="194">
        <v>8000</v>
      </c>
      <c r="E114" s="196">
        <v>8000</v>
      </c>
    </row>
    <row r="115" spans="2:5" ht="15" thickBot="1" x14ac:dyDescent="0.4">
      <c r="B115" s="1323" t="s">
        <v>99</v>
      </c>
      <c r="C115" s="1324"/>
      <c r="D115" s="1324"/>
      <c r="E115" s="304">
        <f>SUM(E109:E114)</f>
        <v>24582.5</v>
      </c>
    </row>
    <row r="116" spans="2:5" x14ac:dyDescent="0.35">
      <c r="B116" s="1339" t="s">
        <v>19</v>
      </c>
      <c r="C116" s="1340"/>
      <c r="D116" s="1341"/>
      <c r="E116" s="302"/>
    </row>
    <row r="117" spans="2:5" ht="16" thickBot="1" x14ac:dyDescent="0.4">
      <c r="B117" s="1296" t="s">
        <v>11</v>
      </c>
      <c r="C117" s="1297"/>
      <c r="D117" s="1335"/>
      <c r="E117" s="303">
        <f>+E115-E116</f>
        <v>24582.5</v>
      </c>
    </row>
  </sheetData>
  <mergeCells count="45">
    <mergeCell ref="B116:D116"/>
    <mergeCell ref="B117:D117"/>
    <mergeCell ref="B27:D27"/>
    <mergeCell ref="B84:D84"/>
    <mergeCell ref="B85:D85"/>
    <mergeCell ref="B54:D54"/>
    <mergeCell ref="B56:D56"/>
    <mergeCell ref="B57:D57"/>
    <mergeCell ref="B59:E59"/>
    <mergeCell ref="B69:D69"/>
    <mergeCell ref="B70:D70"/>
    <mergeCell ref="B87:E87"/>
    <mergeCell ref="B94:E94"/>
    <mergeCell ref="B103:D103"/>
    <mergeCell ref="B107:E107"/>
    <mergeCell ref="B115:D115"/>
    <mergeCell ref="B16:E16"/>
    <mergeCell ref="B25:D25"/>
    <mergeCell ref="B104:D104"/>
    <mergeCell ref="B105:D105"/>
    <mergeCell ref="B26:D26"/>
    <mergeCell ref="B72:D72"/>
    <mergeCell ref="B74:E74"/>
    <mergeCell ref="B83:D83"/>
    <mergeCell ref="B12:D12"/>
    <mergeCell ref="I22:J22"/>
    <mergeCell ref="H1:S1"/>
    <mergeCell ref="B71:D71"/>
    <mergeCell ref="B28:D28"/>
    <mergeCell ref="B30:E30"/>
    <mergeCell ref="B40:D40"/>
    <mergeCell ref="B41:D41"/>
    <mergeCell ref="B42:D42"/>
    <mergeCell ref="B44:E44"/>
    <mergeCell ref="B13:D13"/>
    <mergeCell ref="B2:E2"/>
    <mergeCell ref="G9:G11"/>
    <mergeCell ref="B11:D11"/>
    <mergeCell ref="Q13:S13"/>
    <mergeCell ref="B14:D14"/>
    <mergeCell ref="G94:J94"/>
    <mergeCell ref="G103:I103"/>
    <mergeCell ref="G104:I104"/>
    <mergeCell ref="G105:I105"/>
    <mergeCell ref="H12:P12"/>
  </mergeCells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W152"/>
  <sheetViews>
    <sheetView topLeftCell="B109" workbookViewId="0">
      <selection activeCell="A6" sqref="A6"/>
    </sheetView>
  </sheetViews>
  <sheetFormatPr baseColWidth="10" defaultRowHeight="14.5" x14ac:dyDescent="0.35"/>
  <cols>
    <col min="2" max="2" width="23.453125" customWidth="1"/>
    <col min="3" max="3" width="18.90625" style="261" customWidth="1"/>
    <col min="4" max="4" width="19.90625" style="202" customWidth="1"/>
    <col min="5" max="5" width="18.54296875" style="203" customWidth="1"/>
    <col min="6" max="6" width="20" bestFit="1" customWidth="1"/>
    <col min="7" max="7" width="10.08984375" customWidth="1"/>
    <col min="8" max="8" width="12.6328125" customWidth="1"/>
    <col min="9" max="9" width="14.6328125" customWidth="1"/>
    <col min="10" max="11" width="12.54296875" customWidth="1"/>
    <col min="12" max="12" width="13.54296875" bestFit="1" customWidth="1"/>
    <col min="13" max="13" width="13.54296875" customWidth="1"/>
    <col min="14" max="14" width="14.6328125" customWidth="1"/>
    <col min="15" max="15" width="14.54296875" bestFit="1" customWidth="1"/>
    <col min="16" max="16" width="14.54296875" customWidth="1"/>
    <col min="17" max="17" width="13" customWidth="1"/>
    <col min="18" max="19" width="14.453125" bestFit="1" customWidth="1"/>
    <col min="20" max="20" width="14.08984375" customWidth="1"/>
  </cols>
  <sheetData>
    <row r="1" spans="1:22" ht="16.5" customHeight="1" thickBot="1" x14ac:dyDescent="0.4"/>
    <row r="2" spans="1:22" ht="35.25" customHeight="1" thickBot="1" x14ac:dyDescent="0.75">
      <c r="B2" s="1273" t="s">
        <v>10</v>
      </c>
      <c r="C2" s="1274"/>
      <c r="D2" s="1274"/>
      <c r="E2" s="1275"/>
      <c r="F2" s="414"/>
      <c r="H2" s="1388" t="s">
        <v>212</v>
      </c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90"/>
    </row>
    <row r="3" spans="1:22" s="477" customFormat="1" ht="18.75" customHeight="1" thickBot="1" x14ac:dyDescent="0.4">
      <c r="B3" s="16" t="s">
        <v>7</v>
      </c>
      <c r="C3" s="257" t="s">
        <v>8</v>
      </c>
      <c r="D3" s="192" t="s">
        <v>4</v>
      </c>
      <c r="E3" s="193" t="s">
        <v>9</v>
      </c>
      <c r="F3" s="415"/>
      <c r="G3"/>
      <c r="H3" s="80" t="s">
        <v>20</v>
      </c>
      <c r="I3" s="74" t="s">
        <v>8</v>
      </c>
      <c r="J3" s="74" t="s">
        <v>112</v>
      </c>
      <c r="K3" s="74" t="s">
        <v>199</v>
      </c>
      <c r="L3" s="74" t="s">
        <v>200</v>
      </c>
      <c r="M3" s="74" t="s">
        <v>241</v>
      </c>
      <c r="N3" s="74" t="s">
        <v>44</v>
      </c>
      <c r="O3" s="81" t="s">
        <v>43</v>
      </c>
      <c r="P3" s="81" t="s">
        <v>242</v>
      </c>
      <c r="Q3" s="74" t="s">
        <v>24</v>
      </c>
      <c r="R3" s="74" t="s">
        <v>19</v>
      </c>
      <c r="S3" s="74" t="s">
        <v>18</v>
      </c>
      <c r="T3" s="68" t="s">
        <v>23</v>
      </c>
      <c r="U3"/>
      <c r="V3"/>
    </row>
    <row r="4" spans="1:22" ht="18.75" customHeight="1" thickBot="1" x14ac:dyDescent="0.4">
      <c r="B4" s="10" t="s">
        <v>3</v>
      </c>
      <c r="C4" s="258">
        <v>181</v>
      </c>
      <c r="D4" s="227">
        <v>203.04</v>
      </c>
      <c r="E4" s="196">
        <f>C4*D4</f>
        <v>36750.239999999998</v>
      </c>
      <c r="F4" s="416"/>
      <c r="G4" s="477"/>
      <c r="H4" s="230" t="s">
        <v>10</v>
      </c>
      <c r="I4" s="352">
        <f>+E4</f>
        <v>36750.239999999998</v>
      </c>
      <c r="J4" s="352">
        <f>+E5</f>
        <v>2436.48</v>
      </c>
      <c r="K4" s="352">
        <f>+E6</f>
        <v>22740.48</v>
      </c>
      <c r="L4" s="352">
        <f>+E9</f>
        <v>5000</v>
      </c>
      <c r="M4" s="492">
        <f>+E7</f>
        <v>29825</v>
      </c>
      <c r="N4" s="335">
        <f>+E12+E11</f>
        <v>2284.1999999999998</v>
      </c>
      <c r="O4" s="335">
        <f>+E13</f>
        <v>11000</v>
      </c>
      <c r="P4" s="491"/>
      <c r="Q4" s="447">
        <f>SUM(I4:O4)</f>
        <v>110036.4</v>
      </c>
      <c r="R4" s="339">
        <f>+E15</f>
        <v>29825</v>
      </c>
      <c r="S4" s="437">
        <f>+E16</f>
        <v>30000</v>
      </c>
      <c r="T4" s="235">
        <f>+Q4-R4-S4</f>
        <v>50211.399999999994</v>
      </c>
      <c r="U4" s="477"/>
    </row>
    <row r="5" spans="1:22" ht="18.75" customHeight="1" thickBot="1" x14ac:dyDescent="0.4">
      <c r="B5" s="10" t="s">
        <v>111</v>
      </c>
      <c r="C5" s="258">
        <v>12</v>
      </c>
      <c r="D5" s="227">
        <f>+D4</f>
        <v>203.04</v>
      </c>
      <c r="E5" s="196">
        <f>+C5*D5</f>
        <v>2436.48</v>
      </c>
      <c r="F5" s="416"/>
      <c r="H5" s="505">
        <f>+++++++++++++F3</f>
        <v>0</v>
      </c>
      <c r="I5" s="356">
        <f>+E21</f>
        <v>42136.800000000003</v>
      </c>
      <c r="J5" s="356">
        <f>+E22</f>
        <v>2793.6000000000004</v>
      </c>
      <c r="K5" s="356"/>
      <c r="L5" s="356">
        <f>+E26</f>
        <v>5000</v>
      </c>
      <c r="M5" s="396">
        <f>+E24</f>
        <v>38250</v>
      </c>
      <c r="N5" s="336">
        <f>+E29+E28</f>
        <v>3317.4000000000005</v>
      </c>
      <c r="O5" s="336">
        <f>+E30</f>
        <v>16500</v>
      </c>
      <c r="P5" s="491">
        <f>+E33</f>
        <v>990</v>
      </c>
      <c r="Q5" s="448">
        <f>SUM(I5:P5)</f>
        <v>108987.79999999999</v>
      </c>
      <c r="R5" s="340">
        <f>+E36</f>
        <v>38250</v>
      </c>
      <c r="S5" s="249"/>
      <c r="T5" s="471">
        <f>+Q5-R5</f>
        <v>70737.799999999988</v>
      </c>
      <c r="U5" s="202"/>
    </row>
    <row r="6" spans="1:22" ht="18.75" customHeight="1" thickBot="1" x14ac:dyDescent="0.4">
      <c r="B6" s="10" t="s">
        <v>2</v>
      </c>
      <c r="C6" s="258">
        <f>14*8</f>
        <v>112</v>
      </c>
      <c r="D6" s="227">
        <f>+D5</f>
        <v>203.04</v>
      </c>
      <c r="E6" s="196">
        <f>+C6*D6</f>
        <v>22740.48</v>
      </c>
      <c r="F6" s="416"/>
      <c r="H6" s="236" t="s">
        <v>16</v>
      </c>
      <c r="I6" s="356">
        <f>+E41</f>
        <v>33883.199999999997</v>
      </c>
      <c r="J6" s="356">
        <f>+E42</f>
        <v>2246.3999999999996</v>
      </c>
      <c r="K6" s="356">
        <f>+E43</f>
        <v>20966.399999999998</v>
      </c>
      <c r="L6" s="356">
        <f>+E46</f>
        <v>5000</v>
      </c>
      <c r="M6" s="396">
        <f>+E44</f>
        <v>29250</v>
      </c>
      <c r="N6" s="336">
        <f>+E48+E49</f>
        <v>982.79999999999984</v>
      </c>
      <c r="O6" s="336">
        <f>+E50</f>
        <v>11000</v>
      </c>
      <c r="P6" s="491"/>
      <c r="Q6" s="447">
        <f>SUM(I6:O6)</f>
        <v>103328.8</v>
      </c>
      <c r="R6" s="340">
        <f>+E52</f>
        <v>29250</v>
      </c>
      <c r="S6" s="249">
        <f>+E53</f>
        <v>20966.400000000001</v>
      </c>
      <c r="T6" s="235">
        <f>+Q6-R6-S6</f>
        <v>53112.4</v>
      </c>
    </row>
    <row r="7" spans="1:22" ht="18.75" customHeight="1" thickBot="1" x14ac:dyDescent="0.4">
      <c r="B7" s="10" t="s">
        <v>226</v>
      </c>
      <c r="C7" s="258"/>
      <c r="D7" s="227"/>
      <c r="E7" s="196">
        <v>29825</v>
      </c>
      <c r="F7" s="416"/>
      <c r="H7" s="236" t="s">
        <v>0</v>
      </c>
      <c r="I7" s="356">
        <f>+E58</f>
        <v>36084</v>
      </c>
      <c r="J7" s="356">
        <f>+E59</f>
        <v>2793.6000000000004</v>
      </c>
      <c r="K7" s="356">
        <f>+E60</f>
        <v>0</v>
      </c>
      <c r="L7" s="356">
        <f>+E63</f>
        <v>5000</v>
      </c>
      <c r="M7" s="396">
        <f>+E61</f>
        <v>40300</v>
      </c>
      <c r="N7" s="336">
        <f>+E66+E65</f>
        <v>2793.6000000000004</v>
      </c>
      <c r="O7" s="336">
        <f>+E67</f>
        <v>16500</v>
      </c>
      <c r="P7" s="491"/>
      <c r="Q7" s="447">
        <f>SUM(I7:O7)</f>
        <v>103471.20000000001</v>
      </c>
      <c r="R7" s="340">
        <f>+E69</f>
        <v>40300</v>
      </c>
      <c r="S7" s="249">
        <f>+E70</f>
        <v>24313.15</v>
      </c>
      <c r="T7" s="235">
        <f>+Q7-R7-S7</f>
        <v>38858.05000000001</v>
      </c>
    </row>
    <row r="8" spans="1:22" ht="18.75" customHeight="1" thickBot="1" x14ac:dyDescent="0.4">
      <c r="B8" s="10" t="s">
        <v>213</v>
      </c>
      <c r="C8" s="258"/>
      <c r="D8" s="227">
        <f>-D4</f>
        <v>-203.04</v>
      </c>
      <c r="E8" s="196">
        <f>+C8*D8</f>
        <v>0</v>
      </c>
      <c r="F8" s="416"/>
      <c r="H8" s="236" t="s">
        <v>28</v>
      </c>
      <c r="I8" s="356">
        <f>+E75</f>
        <v>15120</v>
      </c>
      <c r="J8" s="356">
        <f>+E76</f>
        <v>2592</v>
      </c>
      <c r="K8" s="356">
        <f>+E81</f>
        <v>21384</v>
      </c>
      <c r="L8" s="356">
        <f>+E80</f>
        <v>0</v>
      </c>
      <c r="M8" s="396">
        <f>+E78</f>
        <v>24800</v>
      </c>
      <c r="N8" s="336">
        <f>+E83+E82</f>
        <v>0</v>
      </c>
      <c r="O8" s="336">
        <f>+E84</f>
        <v>16000</v>
      </c>
      <c r="P8" s="491"/>
      <c r="Q8" s="447">
        <f>SUM(I8:O8)</f>
        <v>79896</v>
      </c>
      <c r="R8" s="340">
        <f>+E87</f>
        <v>28400</v>
      </c>
      <c r="S8" s="249">
        <f>+E86</f>
        <v>24028.31</v>
      </c>
      <c r="T8" s="235">
        <f>+Q8-R8-S8</f>
        <v>27467.69</v>
      </c>
    </row>
    <row r="9" spans="1:22" ht="18.75" customHeight="1" thickBot="1" x14ac:dyDescent="0.4">
      <c r="B9" s="10" t="s">
        <v>196</v>
      </c>
      <c r="C9" s="258">
        <v>5000</v>
      </c>
      <c r="D9" s="227"/>
      <c r="E9" s="196">
        <f>+C9</f>
        <v>5000</v>
      </c>
      <c r="F9" s="416"/>
      <c r="G9" s="1310"/>
      <c r="H9" s="444" t="s">
        <v>174</v>
      </c>
      <c r="I9" s="445">
        <f>+E101</f>
        <v>32942</v>
      </c>
      <c r="J9" s="445">
        <f>+E102</f>
        <v>2184</v>
      </c>
      <c r="K9" s="445"/>
      <c r="L9" s="445">
        <f>+E106</f>
        <v>5000</v>
      </c>
      <c r="M9" s="493">
        <f>+E104</f>
        <v>18300</v>
      </c>
      <c r="N9" s="446">
        <f>+E109+E108</f>
        <v>2184</v>
      </c>
      <c r="O9" s="336">
        <f>+E110</f>
        <v>11000</v>
      </c>
      <c r="P9" s="491"/>
      <c r="Q9" s="447">
        <f>SUM(I9:O9)</f>
        <v>71610</v>
      </c>
      <c r="R9" s="342">
        <f>+E112</f>
        <v>18300</v>
      </c>
      <c r="S9" s="249"/>
      <c r="T9" s="235">
        <f>+Q9-R9</f>
        <v>53310</v>
      </c>
    </row>
    <row r="10" spans="1:22" ht="18.75" customHeight="1" thickBot="1" x14ac:dyDescent="0.4">
      <c r="B10" s="10" t="s">
        <v>214</v>
      </c>
      <c r="C10" s="258"/>
      <c r="D10" s="227"/>
      <c r="E10" s="196">
        <f>C10*D10</f>
        <v>0</v>
      </c>
      <c r="F10" s="416"/>
      <c r="G10" s="1310"/>
      <c r="H10" s="245" t="s">
        <v>42</v>
      </c>
      <c r="I10" s="361">
        <f>+E92</f>
        <v>30000</v>
      </c>
      <c r="J10" s="461"/>
      <c r="K10" s="461"/>
      <c r="L10" s="461">
        <f>+E93</f>
        <v>3600</v>
      </c>
      <c r="M10" s="494">
        <f>+E96</f>
        <v>21000</v>
      </c>
      <c r="N10" s="338" t="s">
        <v>63</v>
      </c>
      <c r="O10" s="362">
        <v>0</v>
      </c>
      <c r="P10" s="491">
        <f>+E94</f>
        <v>8590.9090909090919</v>
      </c>
      <c r="Q10" s="447">
        <f>SUM(I10:P10)</f>
        <v>63190.909090909088</v>
      </c>
      <c r="R10" s="342">
        <f>+E96</f>
        <v>21000</v>
      </c>
      <c r="S10" s="251"/>
      <c r="T10" s="235">
        <f>+Q10-R10-S10</f>
        <v>42190.909090909088</v>
      </c>
    </row>
    <row r="11" spans="1:22" ht="18.75" customHeight="1" thickBot="1" x14ac:dyDescent="0.4">
      <c r="B11" s="10" t="s">
        <v>215</v>
      </c>
      <c r="C11" s="258">
        <v>7.5</v>
      </c>
      <c r="D11" s="194">
        <f>+D4*1.5</f>
        <v>304.56</v>
      </c>
      <c r="E11" s="196">
        <f>C11*D11</f>
        <v>2284.1999999999998</v>
      </c>
      <c r="F11" s="416"/>
      <c r="G11" s="1310"/>
      <c r="H11" s="245" t="s">
        <v>219</v>
      </c>
      <c r="I11" s="461">
        <f>+E140</f>
        <v>25575</v>
      </c>
      <c r="J11" s="461">
        <f>+E141</f>
        <v>1980</v>
      </c>
      <c r="K11" s="461"/>
      <c r="L11" s="461">
        <f>+E145</f>
        <v>5000</v>
      </c>
      <c r="M11" s="494">
        <f>+E143</f>
        <v>4000</v>
      </c>
      <c r="N11" s="338">
        <f>+E109+E108</f>
        <v>2184</v>
      </c>
      <c r="O11" s="338">
        <f>+E149</f>
        <v>8000</v>
      </c>
      <c r="P11" s="491"/>
      <c r="Q11" s="447">
        <f>SUM(I11:O11)</f>
        <v>46739</v>
      </c>
      <c r="R11" s="342">
        <f>+E151</f>
        <v>4000</v>
      </c>
      <c r="S11" s="251"/>
      <c r="T11" s="471">
        <f>+Q11-R11-S11</f>
        <v>42739</v>
      </c>
    </row>
    <row r="12" spans="1:22" ht="18.75" customHeight="1" thickBot="1" x14ac:dyDescent="0.4">
      <c r="B12" s="10" t="s">
        <v>216</v>
      </c>
      <c r="C12" s="258"/>
      <c r="D12" s="194">
        <f>+D10*2</f>
        <v>0</v>
      </c>
      <c r="E12" s="196">
        <f>+C12*D12</f>
        <v>0</v>
      </c>
      <c r="F12" s="421"/>
      <c r="G12" s="176"/>
      <c r="H12" s="245" t="s">
        <v>184</v>
      </c>
      <c r="I12" s="461">
        <f>+E119</f>
        <v>29865</v>
      </c>
      <c r="J12" s="461">
        <f>+E120</f>
        <v>1980</v>
      </c>
      <c r="K12" s="461">
        <f>+E123+E124</f>
        <v>0</v>
      </c>
      <c r="L12" s="461">
        <f>+E125</f>
        <v>0</v>
      </c>
      <c r="M12" s="494">
        <f>+E122</f>
        <v>6000</v>
      </c>
      <c r="N12" s="338">
        <f>+E128+E127</f>
        <v>866.25</v>
      </c>
      <c r="O12" s="338">
        <f>+E129</f>
        <v>8000</v>
      </c>
      <c r="P12" s="491"/>
      <c r="Q12" s="448">
        <f>SUM(I12:O12)</f>
        <v>46711.25</v>
      </c>
      <c r="R12" s="342">
        <f>+E131</f>
        <v>6000</v>
      </c>
      <c r="S12" s="251"/>
      <c r="T12" s="235">
        <f>+Q12-R12-S12</f>
        <v>40711.25</v>
      </c>
    </row>
    <row r="13" spans="1:22" ht="18.75" customHeight="1" thickBot="1" x14ac:dyDescent="0.4">
      <c r="B13" s="10" t="s">
        <v>6</v>
      </c>
      <c r="C13" s="258">
        <v>11000</v>
      </c>
      <c r="D13" s="194"/>
      <c r="E13" s="196">
        <f>+C13</f>
        <v>11000</v>
      </c>
      <c r="F13" s="422"/>
      <c r="H13" s="1332" t="s">
        <v>24</v>
      </c>
      <c r="I13" s="1333"/>
      <c r="J13" s="1333"/>
      <c r="K13" s="1333"/>
      <c r="L13" s="1333"/>
      <c r="M13" s="1333"/>
      <c r="N13" s="1333"/>
      <c r="O13" s="1333"/>
      <c r="P13" s="1333"/>
      <c r="Q13" s="1334"/>
      <c r="R13" s="496">
        <f>SUM(R4:R12)</f>
        <v>215325</v>
      </c>
      <c r="S13" s="496">
        <f>SUM(S4:S12)</f>
        <v>99307.86</v>
      </c>
      <c r="T13" s="256">
        <f>SUM(T4:T12)</f>
        <v>419338.49909090903</v>
      </c>
      <c r="V13" s="477"/>
    </row>
    <row r="14" spans="1:22" ht="18.75" customHeight="1" thickBot="1" x14ac:dyDescent="0.4">
      <c r="B14" s="1323" t="s">
        <v>99</v>
      </c>
      <c r="C14" s="1324"/>
      <c r="D14" s="1324"/>
      <c r="E14" s="304">
        <f>SUM(E4:E13)</f>
        <v>110036.4</v>
      </c>
      <c r="F14" s="422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1318">
        <f>+S13+T13+R13</f>
        <v>733971.35909090901</v>
      </c>
      <c r="S14" s="1319"/>
      <c r="T14" s="1320"/>
      <c r="V14" s="477"/>
    </row>
    <row r="15" spans="1:22" s="477" customFormat="1" ht="19.5" customHeight="1" x14ac:dyDescent="0.35">
      <c r="A15"/>
      <c r="B15" s="1339" t="s">
        <v>224</v>
      </c>
      <c r="C15" s="1340"/>
      <c r="D15" s="1341"/>
      <c r="E15" s="302">
        <v>29825</v>
      </c>
      <c r="F15" s="419"/>
      <c r="G15"/>
      <c r="H15" s="433"/>
      <c r="I15" s="434"/>
      <c r="J15" s="434"/>
      <c r="K15" s="434"/>
      <c r="L15" s="472"/>
      <c r="M15" s="434"/>
      <c r="N15" s="176"/>
      <c r="O15"/>
      <c r="P15"/>
      <c r="Q15"/>
      <c r="R15"/>
      <c r="S15"/>
      <c r="T15" s="49">
        <f>+T13-T4-T6-T11</f>
        <v>273275.69909090898</v>
      </c>
      <c r="U15"/>
      <c r="V15"/>
    </row>
    <row r="16" spans="1:22" ht="18.75" customHeight="1" thickBot="1" x14ac:dyDescent="0.4">
      <c r="B16" s="1336" t="s">
        <v>217</v>
      </c>
      <c r="C16" s="1337"/>
      <c r="D16" s="1338"/>
      <c r="E16" s="198">
        <v>30000</v>
      </c>
      <c r="F16" s="420"/>
      <c r="N16" s="51"/>
      <c r="O16" s="66"/>
      <c r="P16" s="66"/>
      <c r="Q16" s="49"/>
      <c r="R16" s="49"/>
      <c r="U16" s="477"/>
    </row>
    <row r="17" spans="1:23" ht="18.75" customHeight="1" thickBot="1" x14ac:dyDescent="0.4">
      <c r="A17" s="477"/>
      <c r="B17" s="1296" t="s">
        <v>11</v>
      </c>
      <c r="C17" s="1297"/>
      <c r="D17" s="1335"/>
      <c r="E17" s="303">
        <f>+E14-E15-E16</f>
        <v>50211.399999999994</v>
      </c>
      <c r="F17" s="414"/>
      <c r="I17" s="321"/>
      <c r="J17" s="321"/>
      <c r="K17" s="321"/>
      <c r="L17" s="473"/>
      <c r="M17" s="321"/>
      <c r="N17" s="321"/>
      <c r="Q17" s="57"/>
      <c r="R17" s="61" t="s">
        <v>29</v>
      </c>
      <c r="S17" s="61" t="s">
        <v>30</v>
      </c>
      <c r="T17" s="62" t="s">
        <v>32</v>
      </c>
      <c r="U17" s="477"/>
    </row>
    <row r="18" spans="1:23" ht="18.75" customHeight="1" thickBot="1" x14ac:dyDescent="0.4">
      <c r="F18" s="415"/>
      <c r="G18" s="106"/>
      <c r="H18" s="4"/>
      <c r="O18" s="4"/>
      <c r="P18" s="4"/>
      <c r="Q18" s="172" t="s">
        <v>0</v>
      </c>
      <c r="R18" s="63">
        <f>194*1.2</f>
        <v>232.79999999999998</v>
      </c>
      <c r="S18" s="173">
        <f>+R18*1.5</f>
        <v>349.2</v>
      </c>
      <c r="T18" s="175">
        <v>13500</v>
      </c>
      <c r="U18" s="477"/>
    </row>
    <row r="19" spans="1:23" ht="24" thickBot="1" x14ac:dyDescent="0.4">
      <c r="B19" s="1273" t="s">
        <v>15</v>
      </c>
      <c r="C19" s="1274"/>
      <c r="D19" s="1274"/>
      <c r="E19" s="1275"/>
      <c r="F19" s="416"/>
      <c r="G19" s="406"/>
      <c r="H19" s="363"/>
      <c r="I19" s="322" t="s">
        <v>106</v>
      </c>
      <c r="J19" s="323" t="s">
        <v>107</v>
      </c>
      <c r="K19" s="323" t="s">
        <v>222</v>
      </c>
      <c r="L19" s="323"/>
      <c r="M19" s="323"/>
      <c r="N19" s="465"/>
      <c r="Q19" s="58" t="s">
        <v>28</v>
      </c>
      <c r="R19" s="64">
        <f>180*1.2</f>
        <v>216</v>
      </c>
      <c r="S19" s="50">
        <f t="shared" ref="S19:S25" si="0">+R19*1.5</f>
        <v>324</v>
      </c>
      <c r="T19" s="53">
        <v>13000</v>
      </c>
    </row>
    <row r="20" spans="1:23" ht="16" thickBot="1" x14ac:dyDescent="0.4">
      <c r="B20" s="16" t="s">
        <v>7</v>
      </c>
      <c r="C20" s="257" t="s">
        <v>8</v>
      </c>
      <c r="D20" s="192" t="s">
        <v>4</v>
      </c>
      <c r="E20" s="193" t="s">
        <v>9</v>
      </c>
      <c r="F20" s="416"/>
      <c r="G20" s="477"/>
      <c r="H20" s="363" t="s">
        <v>116</v>
      </c>
      <c r="I20" s="326">
        <v>17</v>
      </c>
      <c r="J20" s="327">
        <v>9</v>
      </c>
      <c r="K20" s="476">
        <f>+I20*J20</f>
        <v>153</v>
      </c>
      <c r="L20" s="101"/>
      <c r="M20" s="101"/>
      <c r="N20" s="101"/>
      <c r="Q20" s="58" t="s">
        <v>15</v>
      </c>
      <c r="R20" s="64">
        <f>180*1.2</f>
        <v>216</v>
      </c>
      <c r="S20" s="50">
        <f t="shared" si="0"/>
        <v>324</v>
      </c>
      <c r="T20" s="53">
        <v>13500</v>
      </c>
    </row>
    <row r="21" spans="1:23" ht="16" thickBot="1" x14ac:dyDescent="0.4">
      <c r="B21" s="10" t="s">
        <v>3</v>
      </c>
      <c r="C21" s="258">
        <v>181</v>
      </c>
      <c r="D21" s="194">
        <v>232.8</v>
      </c>
      <c r="E21" s="196">
        <f t="shared" ref="E21:E29" si="1">C21*D21</f>
        <v>42136.800000000003</v>
      </c>
      <c r="F21" s="443"/>
      <c r="H21" s="364" t="s">
        <v>111</v>
      </c>
      <c r="I21" s="344">
        <v>1.5</v>
      </c>
      <c r="J21" s="345">
        <v>8</v>
      </c>
      <c r="K21" s="476">
        <f>+I21*J21</f>
        <v>12</v>
      </c>
      <c r="L21" s="101"/>
      <c r="M21" s="101"/>
      <c r="N21" s="101"/>
      <c r="Q21" s="58" t="s">
        <v>10</v>
      </c>
      <c r="R21" s="64">
        <f>169.2*1.2</f>
        <v>203.04</v>
      </c>
      <c r="S21" s="50">
        <f t="shared" si="0"/>
        <v>304.56</v>
      </c>
      <c r="T21" s="53">
        <v>11000</v>
      </c>
    </row>
    <row r="22" spans="1:23" ht="16" thickBot="1" x14ac:dyDescent="0.4">
      <c r="B22" s="10" t="s">
        <v>111</v>
      </c>
      <c r="C22" s="258">
        <v>12</v>
      </c>
      <c r="D22" s="194">
        <f>+D21</f>
        <v>232.8</v>
      </c>
      <c r="E22" s="196">
        <f>+C22*D22</f>
        <v>2793.6000000000004</v>
      </c>
      <c r="F22" s="416"/>
      <c r="H22" s="364" t="s">
        <v>117</v>
      </c>
      <c r="I22" s="328">
        <v>4</v>
      </c>
      <c r="J22" s="329">
        <v>8</v>
      </c>
      <c r="K22" s="476">
        <f>+I22*J22</f>
        <v>32</v>
      </c>
      <c r="L22" s="101"/>
      <c r="M22" s="101"/>
      <c r="N22" s="101"/>
      <c r="Q22" s="59" t="s">
        <v>16</v>
      </c>
      <c r="R22" s="64">
        <f>156*1.2</f>
        <v>187.2</v>
      </c>
      <c r="S22" s="50">
        <f t="shared" si="0"/>
        <v>280.79999999999995</v>
      </c>
      <c r="T22" s="53">
        <v>11000</v>
      </c>
    </row>
    <row r="23" spans="1:23" ht="16" thickBot="1" x14ac:dyDescent="0.4">
      <c r="B23" s="10" t="s">
        <v>2</v>
      </c>
      <c r="C23" s="258"/>
      <c r="D23" s="194"/>
      <c r="E23" s="196"/>
      <c r="F23" s="416"/>
      <c r="H23" s="156"/>
      <c r="I23" s="1311" t="s">
        <v>108</v>
      </c>
      <c r="J23" s="1312"/>
      <c r="K23" s="330">
        <f>SUM(K20:K22)</f>
        <v>197</v>
      </c>
      <c r="L23" s="101"/>
      <c r="M23" s="101"/>
      <c r="N23" s="101"/>
      <c r="Q23" s="59" t="s">
        <v>174</v>
      </c>
      <c r="R23" s="64">
        <v>165</v>
      </c>
      <c r="S23" s="50">
        <f t="shared" si="0"/>
        <v>247.5</v>
      </c>
      <c r="T23" s="53">
        <v>8000</v>
      </c>
    </row>
    <row r="24" spans="1:23" ht="16" thickBot="1" x14ac:dyDescent="0.4">
      <c r="B24" s="10" t="s">
        <v>227</v>
      </c>
      <c r="C24" s="258"/>
      <c r="D24" s="194"/>
      <c r="E24" s="196">
        <v>38250</v>
      </c>
      <c r="F24" s="421"/>
      <c r="I24" s="248"/>
      <c r="J24" s="432"/>
      <c r="K24" s="475"/>
      <c r="L24" s="475"/>
      <c r="M24" s="475"/>
      <c r="N24" s="475"/>
      <c r="Q24" s="60" t="s">
        <v>184</v>
      </c>
      <c r="R24" s="65">
        <f>132*1.2</f>
        <v>158.4</v>
      </c>
      <c r="S24" s="56">
        <f t="shared" si="0"/>
        <v>237.60000000000002</v>
      </c>
      <c r="T24" s="55">
        <v>8000</v>
      </c>
    </row>
    <row r="25" spans="1:23" ht="16" thickBot="1" x14ac:dyDescent="0.4">
      <c r="B25" s="10" t="s">
        <v>213</v>
      </c>
      <c r="C25" s="258"/>
      <c r="D25" s="194">
        <f>-D21</f>
        <v>-232.8</v>
      </c>
      <c r="E25" s="196">
        <f t="shared" si="1"/>
        <v>0</v>
      </c>
      <c r="F25" s="421"/>
      <c r="G25" s="477"/>
      <c r="I25" s="248"/>
      <c r="J25" s="432"/>
      <c r="K25" s="475"/>
      <c r="L25" s="475"/>
      <c r="M25" s="475"/>
      <c r="N25" s="475"/>
      <c r="Q25" s="60" t="s">
        <v>219</v>
      </c>
      <c r="R25" s="65">
        <f>+R24</f>
        <v>158.4</v>
      </c>
      <c r="S25" s="56">
        <f t="shared" si="0"/>
        <v>237.60000000000002</v>
      </c>
      <c r="T25" s="55">
        <v>8000</v>
      </c>
    </row>
    <row r="26" spans="1:23" ht="18" customHeight="1" x14ac:dyDescent="0.35">
      <c r="B26" s="10" t="s">
        <v>196</v>
      </c>
      <c r="C26" s="258">
        <v>5000</v>
      </c>
      <c r="D26" s="194"/>
      <c r="E26" s="196">
        <v>5000</v>
      </c>
      <c r="F26" s="422"/>
      <c r="G26" s="477"/>
      <c r="I26" s="489">
        <v>17</v>
      </c>
      <c r="J26">
        <v>9</v>
      </c>
      <c r="K26">
        <f>+I26*J26</f>
        <v>153</v>
      </c>
      <c r="O26" s="51"/>
      <c r="P26" s="51"/>
      <c r="Q26" s="66"/>
      <c r="R26" s="49"/>
      <c r="S26" s="49"/>
    </row>
    <row r="27" spans="1:23" s="4" customFormat="1" ht="15.5" x14ac:dyDescent="0.35">
      <c r="A27"/>
      <c r="B27" s="10" t="s">
        <v>214</v>
      </c>
      <c r="C27" s="258"/>
      <c r="D27" s="194"/>
      <c r="E27" s="196"/>
      <c r="F27" s="419"/>
      <c r="G27" s="477"/>
      <c r="H27" s="181"/>
      <c r="I27" s="455">
        <v>3</v>
      </c>
      <c r="J27" s="180">
        <v>8</v>
      </c>
      <c r="K27">
        <f>+I27*J27</f>
        <v>24</v>
      </c>
      <c r="L27" s="180"/>
      <c r="M27" s="180"/>
      <c r="N27"/>
      <c r="O27"/>
      <c r="P27"/>
      <c r="Q27"/>
      <c r="R27"/>
      <c r="S27"/>
      <c r="T27"/>
      <c r="V27"/>
      <c r="W27"/>
    </row>
    <row r="28" spans="1:23" x14ac:dyDescent="0.35">
      <c r="B28" s="10" t="s">
        <v>190</v>
      </c>
      <c r="C28" s="258"/>
      <c r="D28" s="194">
        <f>+D21*2</f>
        <v>465.6</v>
      </c>
      <c r="E28" s="196">
        <f t="shared" si="1"/>
        <v>0</v>
      </c>
      <c r="F28" s="420"/>
      <c r="H28" s="181"/>
      <c r="I28" s="455">
        <v>1</v>
      </c>
      <c r="J28" s="180">
        <v>4</v>
      </c>
      <c r="K28">
        <f>+I28*J28</f>
        <v>4</v>
      </c>
      <c r="L28" s="180"/>
      <c r="M28" s="180"/>
      <c r="V28" s="477"/>
    </row>
    <row r="29" spans="1:23" ht="16.5" customHeight="1" x14ac:dyDescent="0.35">
      <c r="B29" s="10" t="s">
        <v>195</v>
      </c>
      <c r="C29" s="315">
        <v>9.5</v>
      </c>
      <c r="D29" s="194">
        <f>+D21*1.5</f>
        <v>349.20000000000005</v>
      </c>
      <c r="E29" s="196">
        <f t="shared" si="1"/>
        <v>3317.4000000000005</v>
      </c>
      <c r="F29" s="420"/>
      <c r="I29" s="455">
        <v>1.5</v>
      </c>
      <c r="J29" s="180">
        <v>8</v>
      </c>
      <c r="K29">
        <f>+I29*J29</f>
        <v>12</v>
      </c>
      <c r="L29" s="180"/>
      <c r="M29" s="180"/>
      <c r="N29" s="184"/>
    </row>
    <row r="30" spans="1:23" s="477" customFormat="1" ht="19.5" x14ac:dyDescent="0.45">
      <c r="A30" s="4"/>
      <c r="B30" s="10" t="s">
        <v>6</v>
      </c>
      <c r="C30" s="258">
        <v>16500</v>
      </c>
      <c r="D30" s="194"/>
      <c r="E30" s="196">
        <f>+C30</f>
        <v>16500</v>
      </c>
      <c r="F30" s="412"/>
      <c r="G30"/>
      <c r="H30"/>
      <c r="I30" s="181"/>
      <c r="J30" s="184"/>
      <c r="K30" s="184"/>
      <c r="L30" s="184"/>
      <c r="M30" s="184"/>
      <c r="N30" s="184"/>
      <c r="O30"/>
      <c r="P30"/>
      <c r="Q30"/>
      <c r="R30"/>
      <c r="S30"/>
      <c r="T30"/>
      <c r="W30"/>
    </row>
    <row r="31" spans="1:23" s="478" customFormat="1" ht="20" thickBot="1" x14ac:dyDescent="0.5">
      <c r="A31" s="4"/>
      <c r="B31" s="10" t="s">
        <v>235</v>
      </c>
      <c r="C31" s="258"/>
      <c r="D31" s="194"/>
      <c r="E31" s="196">
        <f>+C31</f>
        <v>0</v>
      </c>
      <c r="F31" s="412"/>
      <c r="G31"/>
      <c r="H31"/>
      <c r="I31" s="181"/>
      <c r="J31" s="181"/>
      <c r="K31" s="181"/>
      <c r="L31" s="181"/>
      <c r="M31" s="181"/>
      <c r="N31" s="184"/>
      <c r="O31" s="180"/>
      <c r="P31" s="180"/>
      <c r="Q31" s="181"/>
      <c r="R31" s="181"/>
      <c r="S31" s="181"/>
      <c r="T31"/>
      <c r="U31" s="477"/>
      <c r="V31" s="477"/>
      <c r="W31"/>
    </row>
    <row r="32" spans="1:23" s="477" customFormat="1" ht="15" thickBot="1" x14ac:dyDescent="0.4">
      <c r="A32"/>
      <c r="B32" s="1323" t="s">
        <v>99</v>
      </c>
      <c r="C32" s="1324"/>
      <c r="D32" s="1324"/>
      <c r="E32" s="304">
        <f>SUM(E21:E30)</f>
        <v>107997.79999999999</v>
      </c>
      <c r="F32" s="423"/>
      <c r="G32"/>
      <c r="H32"/>
      <c r="I32" s="181"/>
      <c r="J32" s="181"/>
      <c r="K32" s="181"/>
      <c r="L32" s="181"/>
      <c r="M32" s="181"/>
      <c r="N32" s="184"/>
      <c r="O32" s="180"/>
      <c r="P32" s="180"/>
      <c r="Q32" s="181"/>
      <c r="R32" s="181"/>
      <c r="S32" s="181"/>
      <c r="T32"/>
      <c r="U32" s="478"/>
      <c r="W32"/>
    </row>
    <row r="33" spans="1:23" x14ac:dyDescent="0.35">
      <c r="A33" s="477"/>
      <c r="B33" s="1380" t="s">
        <v>223</v>
      </c>
      <c r="C33" s="1381"/>
      <c r="D33" s="1382"/>
      <c r="E33" s="490">
        <v>990</v>
      </c>
      <c r="F33" s="413"/>
      <c r="G33" s="181"/>
      <c r="I33" s="181"/>
      <c r="J33" s="181"/>
      <c r="K33" s="181"/>
      <c r="L33" s="181"/>
      <c r="M33" s="181"/>
      <c r="N33" s="185"/>
      <c r="O33" s="180"/>
      <c r="P33" s="180"/>
      <c r="Q33" s="181"/>
      <c r="R33" s="181"/>
      <c r="S33" s="181"/>
      <c r="T33" s="477"/>
      <c r="V33" s="477"/>
    </row>
    <row r="34" spans="1:23" x14ac:dyDescent="0.35">
      <c r="A34" s="478"/>
      <c r="B34" s="1386" t="s">
        <v>233</v>
      </c>
      <c r="C34" s="1387"/>
      <c r="D34" s="1387"/>
      <c r="E34" s="207"/>
      <c r="F34" s="413"/>
      <c r="G34" s="409"/>
      <c r="I34" s="181"/>
      <c r="J34" s="181"/>
      <c r="K34" s="181"/>
      <c r="L34" s="181"/>
      <c r="M34" s="181"/>
      <c r="N34" s="189"/>
      <c r="O34" s="180"/>
      <c r="P34" s="180"/>
      <c r="Q34" s="181"/>
      <c r="R34" s="181"/>
      <c r="S34" s="181"/>
    </row>
    <row r="35" spans="1:23" x14ac:dyDescent="0.35">
      <c r="A35" s="478"/>
      <c r="B35" s="1386" t="s">
        <v>234</v>
      </c>
      <c r="C35" s="1387"/>
      <c r="D35" s="1387"/>
      <c r="E35" s="207"/>
      <c r="F35" s="413"/>
      <c r="G35" s="409"/>
      <c r="I35" s="181"/>
      <c r="J35" s="181"/>
      <c r="K35" s="181"/>
      <c r="L35" s="181"/>
      <c r="M35" s="181"/>
      <c r="N35" s="189"/>
      <c r="O35" s="180"/>
      <c r="P35" s="180"/>
      <c r="Q35" s="181"/>
      <c r="R35" s="181"/>
      <c r="S35" s="181"/>
    </row>
    <row r="36" spans="1:23" ht="15" thickBot="1" x14ac:dyDescent="0.4">
      <c r="B36" s="1383" t="s">
        <v>224</v>
      </c>
      <c r="C36" s="1384"/>
      <c r="D36" s="1385"/>
      <c r="E36" s="480">
        <v>38250</v>
      </c>
      <c r="F36" s="155"/>
      <c r="G36" s="409"/>
      <c r="I36" s="181"/>
      <c r="J36" s="181"/>
      <c r="K36" s="181"/>
      <c r="L36" s="181"/>
      <c r="M36" s="181"/>
      <c r="N36" s="189"/>
      <c r="O36" s="180"/>
      <c r="P36" s="180"/>
      <c r="Q36" s="181"/>
      <c r="R36" s="181"/>
      <c r="S36" s="181"/>
    </row>
    <row r="37" spans="1:23" ht="16" thickBot="1" x14ac:dyDescent="0.4">
      <c r="B37" s="1296" t="s">
        <v>11</v>
      </c>
      <c r="C37" s="1297"/>
      <c r="D37" s="1298"/>
      <c r="E37" s="201">
        <f>+E32+E33-E34-E35-E36</f>
        <v>70737.799999999988</v>
      </c>
      <c r="F37" s="155"/>
      <c r="G37" s="409"/>
      <c r="H37" s="115"/>
      <c r="N37" s="189"/>
      <c r="O37" s="180"/>
      <c r="P37" s="180"/>
      <c r="Q37" s="181"/>
      <c r="R37" s="181"/>
      <c r="S37" s="181"/>
    </row>
    <row r="38" spans="1:23" ht="16.5" customHeight="1" thickBot="1" x14ac:dyDescent="0.4">
      <c r="F38" s="155"/>
      <c r="G38" s="409"/>
      <c r="H38" s="115"/>
      <c r="N38" s="185"/>
      <c r="O38" s="181"/>
      <c r="P38" s="181"/>
      <c r="Q38" s="181"/>
      <c r="R38" s="181"/>
    </row>
    <row r="39" spans="1:23" ht="20.25" customHeight="1" thickBot="1" x14ac:dyDescent="0.5">
      <c r="B39" s="1315" t="s">
        <v>16</v>
      </c>
      <c r="C39" s="1316"/>
      <c r="D39" s="1316"/>
      <c r="E39" s="1317"/>
      <c r="F39" s="155"/>
      <c r="G39" s="409"/>
      <c r="H39" s="115"/>
      <c r="N39" s="185"/>
      <c r="O39" s="181"/>
      <c r="P39" s="181"/>
      <c r="Q39" s="181"/>
      <c r="R39" s="181"/>
    </row>
    <row r="40" spans="1:23" ht="15" customHeight="1" x14ac:dyDescent="0.35">
      <c r="B40" s="169" t="s">
        <v>7</v>
      </c>
      <c r="C40" s="266" t="s">
        <v>8</v>
      </c>
      <c r="D40" s="209" t="s">
        <v>4</v>
      </c>
      <c r="E40" s="210" t="s">
        <v>9</v>
      </c>
      <c r="F40" s="155"/>
      <c r="N40" s="185"/>
      <c r="O40" s="181"/>
      <c r="P40" s="181"/>
      <c r="Q40" s="184"/>
    </row>
    <row r="41" spans="1:23" ht="15" customHeight="1" x14ac:dyDescent="0.35">
      <c r="B41" s="165" t="s">
        <v>3</v>
      </c>
      <c r="C41" s="267">
        <v>181</v>
      </c>
      <c r="D41" s="211">
        <v>187.2</v>
      </c>
      <c r="E41" s="212">
        <f>C41*D41</f>
        <v>33883.199999999997</v>
      </c>
      <c r="F41" s="155"/>
      <c r="N41" s="182"/>
    </row>
    <row r="42" spans="1:23" ht="15" customHeight="1" x14ac:dyDescent="0.35">
      <c r="B42" s="10" t="s">
        <v>111</v>
      </c>
      <c r="C42" s="267">
        <v>12</v>
      </c>
      <c r="D42" s="211">
        <v>187.2</v>
      </c>
      <c r="E42" s="212">
        <f>+C42*D42</f>
        <v>2246.3999999999996</v>
      </c>
      <c r="F42" s="155"/>
      <c r="I42" s="115"/>
      <c r="J42" s="477"/>
      <c r="K42" s="477"/>
      <c r="L42" s="477"/>
      <c r="M42" s="477"/>
      <c r="N42" s="176"/>
      <c r="Q42" s="477"/>
      <c r="R42" s="477"/>
      <c r="S42" s="477"/>
    </row>
    <row r="43" spans="1:23" ht="15" customHeight="1" x14ac:dyDescent="0.35">
      <c r="B43" s="10" t="s">
        <v>2</v>
      </c>
      <c r="C43" s="267">
        <v>112</v>
      </c>
      <c r="D43" s="211">
        <f>+D41</f>
        <v>187.2</v>
      </c>
      <c r="E43" s="212">
        <f>+C43*D43</f>
        <v>20966.399999999998</v>
      </c>
      <c r="F43" s="155"/>
      <c r="I43" s="115"/>
      <c r="J43" s="477"/>
      <c r="K43" s="477"/>
      <c r="L43" s="477"/>
      <c r="M43" s="477"/>
      <c r="N43" s="176"/>
      <c r="Q43" s="477"/>
      <c r="R43" s="477"/>
      <c r="S43" s="477"/>
    </row>
    <row r="44" spans="1:23" ht="15" customHeight="1" x14ac:dyDescent="0.35">
      <c r="B44" s="10" t="s">
        <v>227</v>
      </c>
      <c r="C44" s="267"/>
      <c r="D44" s="211"/>
      <c r="E44" s="212">
        <v>29250</v>
      </c>
      <c r="I44" s="115"/>
      <c r="J44" s="477"/>
      <c r="K44" s="477"/>
      <c r="L44" s="477"/>
      <c r="M44" s="477"/>
      <c r="N44" s="176"/>
      <c r="Q44" s="477"/>
      <c r="R44" s="477"/>
      <c r="S44" s="477"/>
    </row>
    <row r="45" spans="1:23" ht="15" customHeight="1" x14ac:dyDescent="0.35">
      <c r="B45" s="10" t="s">
        <v>213</v>
      </c>
      <c r="C45" s="267"/>
      <c r="D45" s="211">
        <f>-D41</f>
        <v>-187.2</v>
      </c>
      <c r="E45" s="212">
        <f>+C45*D45</f>
        <v>0</v>
      </c>
      <c r="I45" s="115"/>
      <c r="J45" s="477"/>
      <c r="K45" s="477"/>
      <c r="L45" s="477"/>
      <c r="M45" s="477"/>
      <c r="N45" s="176"/>
      <c r="Q45" s="477"/>
      <c r="R45" s="477"/>
      <c r="S45" s="477"/>
      <c r="W45" s="4"/>
    </row>
    <row r="46" spans="1:23" ht="15" customHeight="1" x14ac:dyDescent="0.35">
      <c r="B46" s="10" t="s">
        <v>196</v>
      </c>
      <c r="C46" s="267">
        <v>5000</v>
      </c>
      <c r="D46" s="211"/>
      <c r="E46" s="212">
        <v>5000</v>
      </c>
      <c r="I46" s="115"/>
      <c r="J46" s="477"/>
      <c r="K46" s="477"/>
      <c r="L46" s="477"/>
      <c r="M46" s="477"/>
      <c r="N46" s="176"/>
      <c r="T46" s="477"/>
    </row>
    <row r="47" spans="1:23" ht="15" customHeight="1" x14ac:dyDescent="0.35">
      <c r="B47" s="10" t="s">
        <v>214</v>
      </c>
      <c r="C47" s="267"/>
      <c r="D47" s="211">
        <f>+D41</f>
        <v>187.2</v>
      </c>
      <c r="E47" s="212">
        <f>C47*D47</f>
        <v>0</v>
      </c>
      <c r="I47" s="115"/>
      <c r="J47" s="477"/>
      <c r="K47" s="477"/>
      <c r="L47" s="477"/>
      <c r="M47" s="477"/>
      <c r="N47" s="176"/>
      <c r="T47" s="477"/>
    </row>
    <row r="48" spans="1:23" ht="15" customHeight="1" x14ac:dyDescent="0.35">
      <c r="A48" s="106"/>
      <c r="B48" s="10" t="s">
        <v>190</v>
      </c>
      <c r="C48" s="267"/>
      <c r="D48" s="211">
        <f>+D41*2</f>
        <v>374.4</v>
      </c>
      <c r="E48" s="212">
        <f>C48*D48</f>
        <v>0</v>
      </c>
      <c r="G48" s="477"/>
      <c r="N48" s="176"/>
      <c r="O48" s="477"/>
      <c r="P48" s="488"/>
      <c r="Q48" s="477"/>
      <c r="R48" s="477"/>
      <c r="S48" s="477"/>
      <c r="W48" s="477"/>
    </row>
    <row r="49" spans="1:23" ht="15" customHeight="1" x14ac:dyDescent="0.35">
      <c r="A49" s="155"/>
      <c r="B49" s="10" t="s">
        <v>195</v>
      </c>
      <c r="C49" s="267">
        <v>3.5</v>
      </c>
      <c r="D49" s="211">
        <f>+D41*1.5</f>
        <v>280.79999999999995</v>
      </c>
      <c r="E49" s="212">
        <f>C49*D49</f>
        <v>982.79999999999984</v>
      </c>
      <c r="G49" s="477"/>
      <c r="N49" s="474"/>
      <c r="O49" s="180"/>
      <c r="P49" s="180"/>
      <c r="Q49" s="181"/>
      <c r="R49" s="187"/>
      <c r="S49" s="188"/>
      <c r="T49" s="477"/>
      <c r="W49" s="478"/>
    </row>
    <row r="50" spans="1:23" ht="15" customHeight="1" thickBot="1" x14ac:dyDescent="0.4">
      <c r="A50" s="155"/>
      <c r="B50" s="10" t="s">
        <v>6</v>
      </c>
      <c r="C50" s="267">
        <v>11000</v>
      </c>
      <c r="D50" s="211"/>
      <c r="E50" s="212">
        <f>+C50</f>
        <v>11000</v>
      </c>
      <c r="F50" s="180"/>
      <c r="N50" s="176"/>
      <c r="O50" s="180"/>
      <c r="P50" s="180"/>
      <c r="Q50" s="181"/>
      <c r="R50" s="181"/>
      <c r="S50" s="184"/>
      <c r="W50" s="477"/>
    </row>
    <row r="51" spans="1:23" s="477" customFormat="1" ht="15" customHeight="1" thickBot="1" x14ac:dyDescent="0.4">
      <c r="A51" s="155"/>
      <c r="B51" s="1323" t="s">
        <v>99</v>
      </c>
      <c r="C51" s="1324"/>
      <c r="D51" s="1324"/>
      <c r="E51" s="304">
        <f>SUM(E41:E50)</f>
        <v>103328.8</v>
      </c>
      <c r="F51" s="155"/>
      <c r="G51"/>
      <c r="I51"/>
      <c r="J51"/>
      <c r="K51"/>
      <c r="L51"/>
      <c r="M51"/>
      <c r="N51" s="176"/>
      <c r="O51" s="180"/>
      <c r="P51" s="180"/>
      <c r="Q51" s="181"/>
      <c r="R51" s="181"/>
      <c r="S51" s="184"/>
      <c r="T51"/>
      <c r="V51"/>
      <c r="W51"/>
    </row>
    <row r="52" spans="1:23" s="477" customFormat="1" ht="15" customHeight="1" x14ac:dyDescent="0.35">
      <c r="A52" s="155"/>
      <c r="B52" s="1352" t="s">
        <v>224</v>
      </c>
      <c r="C52" s="1353"/>
      <c r="D52" s="1354"/>
      <c r="E52" s="214">
        <v>29250</v>
      </c>
      <c r="F52" s="155"/>
      <c r="G52"/>
      <c r="H52"/>
      <c r="I52"/>
      <c r="J52"/>
      <c r="K52"/>
      <c r="L52"/>
      <c r="M52"/>
      <c r="N52" s="176"/>
      <c r="O52" s="180"/>
      <c r="P52" s="180"/>
      <c r="Q52" s="181"/>
      <c r="R52" s="181"/>
      <c r="S52" s="184"/>
      <c r="T52"/>
      <c r="V52"/>
      <c r="W52"/>
    </row>
    <row r="53" spans="1:23" s="488" customFormat="1" ht="15" customHeight="1" thickBot="1" x14ac:dyDescent="0.4">
      <c r="A53" s="155"/>
      <c r="B53" s="1378" t="s">
        <v>18</v>
      </c>
      <c r="C53" s="1379"/>
      <c r="D53" s="1379"/>
      <c r="E53" s="495">
        <v>20966.400000000001</v>
      </c>
      <c r="F53" s="155"/>
      <c r="G53"/>
      <c r="H53"/>
      <c r="I53"/>
      <c r="J53"/>
      <c r="K53"/>
      <c r="L53"/>
      <c r="M53"/>
      <c r="N53" s="176"/>
      <c r="O53" s="180"/>
      <c r="P53" s="180"/>
      <c r="Q53" s="181"/>
      <c r="R53" s="181"/>
      <c r="S53" s="184"/>
      <c r="T53"/>
      <c r="U53"/>
      <c r="V53"/>
      <c r="W53"/>
    </row>
    <row r="54" spans="1:23" ht="15" customHeight="1" thickBot="1" x14ac:dyDescent="0.4">
      <c r="A54" s="156"/>
      <c r="B54" s="1355" t="s">
        <v>11</v>
      </c>
      <c r="C54" s="1356"/>
      <c r="D54" s="1357"/>
      <c r="E54" s="216">
        <f>+E51-E52-E53</f>
        <v>53112.4</v>
      </c>
      <c r="F54" s="106"/>
      <c r="N54" s="183"/>
      <c r="O54" s="180"/>
      <c r="P54" s="180"/>
      <c r="Q54" s="181"/>
      <c r="R54" s="181"/>
      <c r="S54" s="184"/>
    </row>
    <row r="55" spans="1:23" ht="15" customHeight="1" thickBot="1" x14ac:dyDescent="0.4">
      <c r="A55" s="155"/>
      <c r="F55" s="106"/>
      <c r="N55" s="176"/>
      <c r="O55" s="191"/>
      <c r="P55" s="191"/>
      <c r="Q55" s="181"/>
      <c r="R55" s="181"/>
      <c r="S55" s="184"/>
      <c r="T55" s="477"/>
    </row>
    <row r="56" spans="1:23" ht="15" customHeight="1" x14ac:dyDescent="0.35">
      <c r="A56" s="155"/>
      <c r="B56" s="1276" t="s">
        <v>0</v>
      </c>
      <c r="C56" s="1277"/>
      <c r="D56" s="1277"/>
      <c r="E56" s="1278"/>
      <c r="F56" s="106"/>
      <c r="N56" s="176"/>
      <c r="O56" s="180"/>
      <c r="P56" s="180"/>
      <c r="Q56" s="181"/>
      <c r="R56" s="181"/>
      <c r="S56" s="184"/>
      <c r="T56" s="477"/>
    </row>
    <row r="57" spans="1:23" ht="15" customHeight="1" x14ac:dyDescent="0.35">
      <c r="A57" s="155"/>
      <c r="B57" s="8" t="s">
        <v>7</v>
      </c>
      <c r="C57" s="270" t="s">
        <v>8</v>
      </c>
      <c r="D57" s="217" t="s">
        <v>4</v>
      </c>
      <c r="E57" s="218" t="s">
        <v>9</v>
      </c>
      <c r="F57" s="106"/>
      <c r="I57" s="477"/>
      <c r="J57" s="477"/>
      <c r="K57" s="477"/>
      <c r="L57" s="477"/>
      <c r="M57" s="477"/>
      <c r="N57" s="176"/>
      <c r="O57" s="180"/>
      <c r="P57" s="180"/>
      <c r="Q57" s="181"/>
      <c r="R57" s="181"/>
      <c r="S57" s="184"/>
      <c r="T57" s="477"/>
    </row>
    <row r="58" spans="1:23" ht="15" customHeight="1" x14ac:dyDescent="0.35">
      <c r="A58" s="155"/>
      <c r="B58" s="10" t="s">
        <v>240</v>
      </c>
      <c r="C58" s="258">
        <f>181-26</f>
        <v>155</v>
      </c>
      <c r="D58" s="194">
        <v>232.8</v>
      </c>
      <c r="E58" s="196">
        <f>C58*D58</f>
        <v>36084</v>
      </c>
      <c r="F58" s="106" t="s">
        <v>191</v>
      </c>
      <c r="N58" s="176"/>
      <c r="O58" s="180"/>
      <c r="P58" s="180"/>
      <c r="Q58" s="181"/>
      <c r="R58" s="181"/>
      <c r="S58" s="184"/>
    </row>
    <row r="59" spans="1:23" ht="15" customHeight="1" x14ac:dyDescent="0.35">
      <c r="A59" s="155"/>
      <c r="B59" s="10" t="s">
        <v>111</v>
      </c>
      <c r="C59" s="258">
        <v>12</v>
      </c>
      <c r="D59" s="194">
        <f>+D58</f>
        <v>232.8</v>
      </c>
      <c r="E59" s="196">
        <f>C59*D59</f>
        <v>2793.6000000000004</v>
      </c>
      <c r="F59" s="106" t="s">
        <v>188</v>
      </c>
      <c r="N59" s="176"/>
      <c r="O59" s="180"/>
      <c r="P59" s="180"/>
      <c r="Q59" s="181"/>
      <c r="R59" s="181"/>
      <c r="S59" s="184"/>
    </row>
    <row r="60" spans="1:23" ht="15" customHeight="1" x14ac:dyDescent="0.35">
      <c r="A60" s="155"/>
      <c r="B60" s="10" t="s">
        <v>229</v>
      </c>
      <c r="C60" s="258"/>
      <c r="D60" s="194">
        <v>232.8</v>
      </c>
      <c r="E60" s="196">
        <f>C60*D60</f>
        <v>0</v>
      </c>
      <c r="F60" s="106"/>
      <c r="N60" s="176"/>
      <c r="O60" s="180"/>
      <c r="P60" s="180"/>
      <c r="Q60" s="181"/>
      <c r="R60" s="181"/>
      <c r="S60" s="184"/>
    </row>
    <row r="61" spans="1:23" ht="15" customHeight="1" x14ac:dyDescent="0.35">
      <c r="A61" s="155"/>
      <c r="B61" s="10" t="s">
        <v>227</v>
      </c>
      <c r="C61" s="258"/>
      <c r="D61" s="194"/>
      <c r="E61" s="196">
        <v>40300</v>
      </c>
      <c r="F61" s="106"/>
      <c r="G61" s="477"/>
      <c r="N61" s="176"/>
      <c r="O61" s="180"/>
      <c r="P61" s="180"/>
      <c r="Q61" s="181"/>
      <c r="R61" s="181"/>
      <c r="S61" s="184"/>
    </row>
    <row r="62" spans="1:23" ht="15" customHeight="1" x14ac:dyDescent="0.35">
      <c r="A62" s="155"/>
      <c r="B62" s="10" t="s">
        <v>213</v>
      </c>
      <c r="C62" s="258">
        <v>0</v>
      </c>
      <c r="D62" s="194"/>
      <c r="E62" s="196">
        <v>0</v>
      </c>
      <c r="F62" s="106"/>
      <c r="G62" s="477"/>
      <c r="N62" s="176"/>
      <c r="O62" s="180"/>
      <c r="P62" s="180"/>
      <c r="Q62" s="181"/>
      <c r="R62" s="181"/>
      <c r="S62" s="184"/>
    </row>
    <row r="63" spans="1:23" ht="15" customHeight="1" x14ac:dyDescent="0.35">
      <c r="A63" s="155"/>
      <c r="B63" s="10" t="s">
        <v>196</v>
      </c>
      <c r="C63" s="258">
        <v>5000</v>
      </c>
      <c r="D63" s="194"/>
      <c r="E63" s="196">
        <v>5000</v>
      </c>
      <c r="F63" s="106"/>
      <c r="G63" s="477"/>
      <c r="N63" s="176"/>
      <c r="O63" s="180"/>
      <c r="P63" s="180"/>
      <c r="Q63" s="181"/>
      <c r="R63" s="181"/>
      <c r="S63" s="184"/>
    </row>
    <row r="64" spans="1:23" ht="15" customHeight="1" x14ac:dyDescent="0.35">
      <c r="A64" s="155"/>
      <c r="B64" s="10" t="s">
        <v>214</v>
      </c>
      <c r="C64" s="258"/>
      <c r="D64" s="194"/>
      <c r="E64" s="196">
        <f>+C64*D63</f>
        <v>0</v>
      </c>
      <c r="F64" s="106"/>
      <c r="N64" s="176"/>
      <c r="O64" s="180"/>
      <c r="P64" s="180"/>
      <c r="Q64" s="181"/>
      <c r="R64" s="181"/>
      <c r="S64" s="184"/>
    </row>
    <row r="65" spans="1:23" ht="15" customHeight="1" x14ac:dyDescent="0.35">
      <c r="B65" s="10" t="s">
        <v>190</v>
      </c>
      <c r="C65" s="258"/>
      <c r="D65" s="194">
        <f>+D58*2</f>
        <v>465.6</v>
      </c>
      <c r="E65" s="196">
        <f>C65*D65</f>
        <v>0</v>
      </c>
      <c r="F65" s="106"/>
      <c r="N65" s="176"/>
      <c r="O65" s="474"/>
      <c r="P65" s="487"/>
      <c r="Q65" s="181"/>
      <c r="R65" s="181"/>
      <c r="S65" s="184"/>
    </row>
    <row r="66" spans="1:23" ht="15" customHeight="1" x14ac:dyDescent="0.35">
      <c r="B66" s="10" t="s">
        <v>195</v>
      </c>
      <c r="C66" s="315">
        <v>8</v>
      </c>
      <c r="D66" s="194">
        <f>+D58*1.5</f>
        <v>349.20000000000005</v>
      </c>
      <c r="E66" s="196">
        <f>C66*D66</f>
        <v>2793.6000000000004</v>
      </c>
      <c r="F66" s="106"/>
      <c r="N66" s="176"/>
      <c r="O66" s="176"/>
      <c r="P66" s="176"/>
      <c r="Q66" s="181"/>
      <c r="R66" s="181"/>
      <c r="S66" s="184"/>
      <c r="U66" s="477"/>
    </row>
    <row r="67" spans="1:23" s="477" customFormat="1" ht="15" customHeight="1" thickBot="1" x14ac:dyDescent="0.4">
      <c r="A67"/>
      <c r="B67" s="10" t="s">
        <v>6</v>
      </c>
      <c r="C67" s="258">
        <v>16500</v>
      </c>
      <c r="D67" s="194"/>
      <c r="E67" s="196">
        <f>+C67</f>
        <v>16500</v>
      </c>
      <c r="F67" s="317"/>
      <c r="G67"/>
      <c r="H67"/>
      <c r="I67"/>
      <c r="J67"/>
      <c r="K67"/>
      <c r="L67"/>
      <c r="M67"/>
      <c r="N67" s="176"/>
      <c r="O67" s="176"/>
      <c r="P67" s="176"/>
      <c r="Q67" s="176"/>
      <c r="R67" s="176"/>
      <c r="S67" s="176"/>
      <c r="T67"/>
      <c r="U67"/>
      <c r="V67"/>
      <c r="W67"/>
    </row>
    <row r="68" spans="1:23" ht="15" customHeight="1" thickBot="1" x14ac:dyDescent="0.4">
      <c r="B68" s="1323" t="s">
        <v>99</v>
      </c>
      <c r="C68" s="1324"/>
      <c r="D68" s="1324"/>
      <c r="E68" s="304">
        <f>SUM(E58:E67)</f>
        <v>103471.20000000001</v>
      </c>
      <c r="F68" s="317"/>
      <c r="O68" s="183"/>
      <c r="P68" s="183"/>
      <c r="Q68" s="176"/>
      <c r="R68" s="176"/>
      <c r="S68" s="176"/>
      <c r="U68" s="477"/>
    </row>
    <row r="69" spans="1:23" s="477" customFormat="1" ht="15" customHeight="1" x14ac:dyDescent="0.35">
      <c r="B69" s="320" t="s">
        <v>224</v>
      </c>
      <c r="C69" s="319"/>
      <c r="D69" s="319"/>
      <c r="E69" s="343">
        <v>40300</v>
      </c>
      <c r="F69" s="389"/>
      <c r="G69"/>
      <c r="H69"/>
      <c r="I69"/>
      <c r="J69"/>
      <c r="K69"/>
      <c r="L69"/>
      <c r="M69"/>
      <c r="N69"/>
      <c r="O69" s="183"/>
      <c r="P69" s="183"/>
      <c r="Q69" s="176"/>
      <c r="R69" s="176"/>
      <c r="S69" s="176"/>
      <c r="T69"/>
      <c r="V69"/>
      <c r="W69"/>
    </row>
    <row r="70" spans="1:23" s="477" customFormat="1" ht="15" customHeight="1" thickBot="1" x14ac:dyDescent="0.4">
      <c r="A70"/>
      <c r="B70" s="1366" t="s">
        <v>18</v>
      </c>
      <c r="C70" s="1367"/>
      <c r="D70" s="1368"/>
      <c r="E70" s="198">
        <v>24313.15</v>
      </c>
      <c r="F70" s="394"/>
      <c r="G70"/>
      <c r="H70"/>
      <c r="I70"/>
      <c r="J70"/>
      <c r="K70"/>
      <c r="L70"/>
      <c r="M70"/>
      <c r="N70"/>
      <c r="O70" s="176"/>
      <c r="P70" s="176"/>
      <c r="Q70" s="183"/>
      <c r="R70" s="183"/>
      <c r="S70" s="183"/>
      <c r="T70"/>
      <c r="V70"/>
    </row>
    <row r="71" spans="1:23" s="477" customFormat="1" ht="15" customHeight="1" thickBot="1" x14ac:dyDescent="0.4">
      <c r="B71" s="1296" t="s">
        <v>11</v>
      </c>
      <c r="C71" s="1297"/>
      <c r="D71" s="1298"/>
      <c r="E71" s="201">
        <f>+E68-E69-E70</f>
        <v>38858.05000000001</v>
      </c>
      <c r="F71" s="114"/>
      <c r="G71"/>
      <c r="H71"/>
      <c r="I71"/>
      <c r="J71"/>
      <c r="K71"/>
      <c r="L71"/>
      <c r="M71"/>
      <c r="N71"/>
      <c r="O71" s="176"/>
      <c r="P71" s="176"/>
      <c r="Q71" s="176"/>
      <c r="R71" s="176"/>
      <c r="S71" s="176"/>
      <c r="T71"/>
      <c r="V71"/>
    </row>
    <row r="72" spans="1:23" s="477" customFormat="1" ht="21" customHeight="1" thickBot="1" x14ac:dyDescent="0.4">
      <c r="A72"/>
      <c r="B72"/>
      <c r="C72" s="261"/>
      <c r="D72" s="202"/>
      <c r="E72" s="203"/>
      <c r="F72" s="49"/>
      <c r="G72"/>
      <c r="H72"/>
      <c r="I72"/>
      <c r="J72"/>
      <c r="K72"/>
      <c r="L72"/>
      <c r="M72"/>
      <c r="N72"/>
      <c r="O72" s="176"/>
      <c r="P72" s="176"/>
      <c r="Q72" s="176"/>
      <c r="R72" s="176"/>
      <c r="S72" s="176"/>
      <c r="U72"/>
      <c r="V72"/>
      <c r="W72"/>
    </row>
    <row r="73" spans="1:23" ht="15" customHeight="1" x14ac:dyDescent="0.35">
      <c r="B73" s="1276" t="s">
        <v>28</v>
      </c>
      <c r="C73" s="1277"/>
      <c r="D73" s="1277"/>
      <c r="E73" s="1278"/>
      <c r="F73" s="49"/>
      <c r="O73" s="176"/>
      <c r="P73" s="176"/>
      <c r="Q73" s="176"/>
      <c r="R73" s="176"/>
      <c r="S73" s="176"/>
    </row>
    <row r="74" spans="1:23" ht="15" customHeight="1" x14ac:dyDescent="0.35">
      <c r="B74" s="8" t="s">
        <v>7</v>
      </c>
      <c r="C74" s="270" t="s">
        <v>8</v>
      </c>
      <c r="D74" s="217" t="s">
        <v>4</v>
      </c>
      <c r="E74" s="218" t="s">
        <v>9</v>
      </c>
      <c r="F74" s="49"/>
      <c r="O74" s="176"/>
      <c r="P74" s="176"/>
      <c r="Q74" s="176"/>
      <c r="R74" s="176"/>
      <c r="S74" s="176"/>
    </row>
    <row r="75" spans="1:23" ht="15" customHeight="1" x14ac:dyDescent="0.35">
      <c r="B75" s="10" t="s">
        <v>3</v>
      </c>
      <c r="C75" s="315">
        <v>70</v>
      </c>
      <c r="D75" s="194">
        <v>216</v>
      </c>
      <c r="E75" s="196">
        <f>+C75*D75</f>
        <v>15120</v>
      </c>
      <c r="F75" s="49"/>
      <c r="O75" s="176"/>
      <c r="P75" s="176"/>
      <c r="Q75" s="176"/>
      <c r="R75" s="176"/>
      <c r="S75" s="176"/>
    </row>
    <row r="76" spans="1:23" ht="15" customHeight="1" x14ac:dyDescent="0.35">
      <c r="B76" s="10" t="s">
        <v>111</v>
      </c>
      <c r="C76" s="315">
        <v>12</v>
      </c>
      <c r="D76" s="194">
        <f>+D75</f>
        <v>216</v>
      </c>
      <c r="E76" s="196">
        <f>+C76*D76</f>
        <v>2592</v>
      </c>
      <c r="F76" s="428"/>
      <c r="O76" s="176"/>
      <c r="P76" s="176"/>
      <c r="Q76" s="176"/>
      <c r="R76" s="176"/>
      <c r="S76" s="176"/>
    </row>
    <row r="77" spans="1:23" ht="15" customHeight="1" x14ac:dyDescent="0.35">
      <c r="B77" s="10" t="s">
        <v>2</v>
      </c>
      <c r="C77" s="315"/>
      <c r="D77" s="194"/>
      <c r="E77" s="196"/>
      <c r="F77" s="428"/>
      <c r="O77" s="176"/>
      <c r="P77" s="176"/>
      <c r="Q77" s="176"/>
      <c r="R77" s="176"/>
      <c r="S77" s="176"/>
    </row>
    <row r="78" spans="1:23" ht="15" customHeight="1" x14ac:dyDescent="0.35">
      <c r="B78" s="10" t="s">
        <v>228</v>
      </c>
      <c r="C78" s="315"/>
      <c r="D78" s="194"/>
      <c r="E78" s="196">
        <v>24800</v>
      </c>
      <c r="F78" s="428"/>
      <c r="O78" s="176"/>
      <c r="P78" s="176"/>
      <c r="Q78" s="176"/>
      <c r="R78" s="176"/>
      <c r="S78" s="176"/>
    </row>
    <row r="79" spans="1:23" ht="15" customHeight="1" x14ac:dyDescent="0.35">
      <c r="B79" s="10" t="s">
        <v>213</v>
      </c>
      <c r="C79" s="315"/>
      <c r="D79" s="194">
        <f>-D76</f>
        <v>-216</v>
      </c>
      <c r="E79" s="196"/>
      <c r="F79" s="428"/>
      <c r="O79" s="176"/>
      <c r="P79" s="176"/>
      <c r="Q79" s="176"/>
      <c r="R79" s="176"/>
      <c r="S79" s="176"/>
    </row>
    <row r="80" spans="1:23" ht="15" customHeight="1" x14ac:dyDescent="0.35">
      <c r="B80" s="10" t="s">
        <v>196</v>
      </c>
      <c r="C80" s="315"/>
      <c r="D80" s="194"/>
      <c r="E80" s="196"/>
      <c r="F80" s="428"/>
      <c r="O80" s="176"/>
      <c r="P80" s="176"/>
      <c r="Q80" s="176"/>
      <c r="R80" s="176"/>
      <c r="S80" s="176"/>
    </row>
    <row r="81" spans="2:23" ht="15" customHeight="1" x14ac:dyDescent="0.35">
      <c r="B81" s="10" t="s">
        <v>214</v>
      </c>
      <c r="C81" s="315">
        <v>99</v>
      </c>
      <c r="D81" s="194">
        <f>+D75</f>
        <v>216</v>
      </c>
      <c r="E81" s="196">
        <f>+C81*D81</f>
        <v>21384</v>
      </c>
      <c r="F81" s="428"/>
      <c r="O81" s="176"/>
      <c r="P81" s="176"/>
      <c r="Q81" s="176"/>
      <c r="R81" s="176"/>
      <c r="S81" s="176"/>
    </row>
    <row r="82" spans="2:23" ht="15" customHeight="1" x14ac:dyDescent="0.35">
      <c r="B82" s="10" t="s">
        <v>190</v>
      </c>
      <c r="C82" s="315"/>
      <c r="D82" s="194">
        <f>+D75*2</f>
        <v>432</v>
      </c>
      <c r="E82" s="196">
        <f>+C82*D82</f>
        <v>0</v>
      </c>
      <c r="F82" s="428"/>
      <c r="O82" s="176"/>
      <c r="P82" s="176"/>
      <c r="Q82" s="176"/>
      <c r="R82" s="176"/>
      <c r="S82" s="176"/>
    </row>
    <row r="83" spans="2:23" ht="15" customHeight="1" x14ac:dyDescent="0.35">
      <c r="B83" s="10" t="s">
        <v>195</v>
      </c>
      <c r="C83" s="315"/>
      <c r="D83" s="194">
        <f>+D75*1.5</f>
        <v>324</v>
      </c>
      <c r="E83" s="196">
        <f>+D83*C83</f>
        <v>0</v>
      </c>
      <c r="F83" s="428"/>
      <c r="O83" s="176"/>
      <c r="P83" s="176"/>
      <c r="Q83" s="176"/>
      <c r="R83" s="176"/>
      <c r="S83" s="176"/>
    </row>
    <row r="84" spans="2:23" ht="15" customHeight="1" thickBot="1" x14ac:dyDescent="0.4">
      <c r="B84" s="10" t="s">
        <v>6</v>
      </c>
      <c r="C84" s="315">
        <v>16000</v>
      </c>
      <c r="D84" s="194"/>
      <c r="E84" s="196">
        <f>+C84</f>
        <v>16000</v>
      </c>
      <c r="F84" s="430"/>
      <c r="O84" s="176"/>
      <c r="P84" s="176"/>
      <c r="Q84" s="176"/>
      <c r="R84" s="176"/>
      <c r="S84" s="176"/>
    </row>
    <row r="85" spans="2:23" ht="15" customHeight="1" thickBot="1" x14ac:dyDescent="0.4">
      <c r="B85" s="1323" t="s">
        <v>99</v>
      </c>
      <c r="C85" s="1324"/>
      <c r="D85" s="1324"/>
      <c r="E85" s="497">
        <f>SUM(E75:E84)</f>
        <v>79896</v>
      </c>
      <c r="F85" s="429"/>
      <c r="W85" s="477"/>
    </row>
    <row r="86" spans="2:23" ht="15" customHeight="1" thickBot="1" x14ac:dyDescent="0.4">
      <c r="B86" s="1339" t="s">
        <v>18</v>
      </c>
      <c r="C86" s="1340"/>
      <c r="D86" s="1340"/>
      <c r="E86" s="498">
        <v>24028.31</v>
      </c>
      <c r="F86" s="429"/>
    </row>
    <row r="87" spans="2:23" ht="15" customHeight="1" thickBot="1" x14ac:dyDescent="0.4">
      <c r="B87" s="1339" t="s">
        <v>224</v>
      </c>
      <c r="C87" s="1340"/>
      <c r="D87" s="1340"/>
      <c r="E87" s="499">
        <v>28400</v>
      </c>
      <c r="F87" s="431"/>
      <c r="W87" s="477"/>
    </row>
    <row r="88" spans="2:23" ht="15" customHeight="1" thickBot="1" x14ac:dyDescent="0.4">
      <c r="B88" s="1296" t="s">
        <v>11</v>
      </c>
      <c r="C88" s="1297"/>
      <c r="D88" s="1297"/>
      <c r="E88" s="201">
        <f>+E85-E86-E87</f>
        <v>27467.690000000002</v>
      </c>
      <c r="F88" s="428"/>
      <c r="W88" s="477"/>
    </row>
    <row r="89" spans="2:23" ht="15" customHeight="1" thickBot="1" x14ac:dyDescent="0.4">
      <c r="F89" s="428"/>
      <c r="W89" s="477"/>
    </row>
    <row r="90" spans="2:23" ht="15" customHeight="1" x14ac:dyDescent="0.35">
      <c r="B90" s="1276" t="s">
        <v>39</v>
      </c>
      <c r="C90" s="1277"/>
      <c r="D90" s="1277"/>
      <c r="E90" s="1278"/>
      <c r="W90" s="477"/>
    </row>
    <row r="91" spans="2:23" ht="15" customHeight="1" x14ac:dyDescent="0.35">
      <c r="B91" s="8" t="s">
        <v>7</v>
      </c>
      <c r="C91" s="270" t="s">
        <v>8</v>
      </c>
      <c r="D91" s="217" t="s">
        <v>4</v>
      </c>
      <c r="E91" s="218" t="s">
        <v>9</v>
      </c>
    </row>
    <row r="92" spans="2:23" ht="15" customHeight="1" x14ac:dyDescent="0.35">
      <c r="B92" s="10" t="s">
        <v>3</v>
      </c>
      <c r="C92" s="258">
        <v>110</v>
      </c>
      <c r="D92" s="194">
        <f>+E92/C92</f>
        <v>272.72727272727275</v>
      </c>
      <c r="E92" s="196">
        <v>30000</v>
      </c>
    </row>
    <row r="93" spans="2:23" ht="15" customHeight="1" x14ac:dyDescent="0.35">
      <c r="B93" s="10" t="s">
        <v>218</v>
      </c>
      <c r="C93" s="258">
        <v>3600</v>
      </c>
      <c r="D93" s="194">
        <v>0</v>
      </c>
      <c r="E93" s="196">
        <v>3600</v>
      </c>
      <c r="F93" s="114"/>
    </row>
    <row r="94" spans="2:23" ht="15" customHeight="1" x14ac:dyDescent="0.35">
      <c r="B94" s="457" t="s">
        <v>185</v>
      </c>
      <c r="C94" s="458">
        <v>31.5</v>
      </c>
      <c r="D94" s="459">
        <f>+D92</f>
        <v>272.72727272727275</v>
      </c>
      <c r="E94" s="479">
        <f>C94*D94</f>
        <v>8590.9090909090919</v>
      </c>
    </row>
    <row r="95" spans="2:23" ht="15" customHeight="1" x14ac:dyDescent="0.35">
      <c r="B95" s="486" t="s">
        <v>236</v>
      </c>
      <c r="C95" s="258"/>
      <c r="D95" s="194"/>
      <c r="E95" s="222"/>
    </row>
    <row r="96" spans="2:23" ht="15" customHeight="1" thickBot="1" x14ac:dyDescent="0.4">
      <c r="B96" s="481" t="s">
        <v>225</v>
      </c>
      <c r="C96" s="482"/>
      <c r="D96" s="483"/>
      <c r="E96" s="484">
        <v>21000</v>
      </c>
    </row>
    <row r="97" spans="2:5" ht="15" customHeight="1" thickBot="1" x14ac:dyDescent="0.4">
      <c r="B97" s="12" t="s">
        <v>11</v>
      </c>
      <c r="C97" s="272"/>
      <c r="D97" s="223"/>
      <c r="E97" s="201">
        <f>+E92+E93+E94</f>
        <v>42190.909090909088</v>
      </c>
    </row>
    <row r="98" spans="2:5" ht="15" customHeight="1" thickBot="1" x14ac:dyDescent="0.4"/>
    <row r="99" spans="2:5" ht="15" customHeight="1" thickBot="1" x14ac:dyDescent="0.4">
      <c r="B99" s="1273" t="s">
        <v>174</v>
      </c>
      <c r="C99" s="1274"/>
      <c r="D99" s="1274"/>
      <c r="E99" s="1275"/>
    </row>
    <row r="100" spans="2:5" ht="15" customHeight="1" x14ac:dyDescent="0.35">
      <c r="B100" s="16" t="s">
        <v>7</v>
      </c>
      <c r="C100" s="257" t="s">
        <v>8</v>
      </c>
      <c r="D100" s="192" t="s">
        <v>4</v>
      </c>
      <c r="E100" s="193" t="s">
        <v>9</v>
      </c>
    </row>
    <row r="101" spans="2:5" ht="15" customHeight="1" x14ac:dyDescent="0.35">
      <c r="B101" s="10" t="s">
        <v>3</v>
      </c>
      <c r="C101" s="258">
        <v>181</v>
      </c>
      <c r="D101" s="227">
        <v>182</v>
      </c>
      <c r="E101" s="196">
        <f>C101*D101</f>
        <v>32942</v>
      </c>
    </row>
    <row r="102" spans="2:5" ht="15" customHeight="1" x14ac:dyDescent="0.35">
      <c r="B102" s="10" t="s">
        <v>111</v>
      </c>
      <c r="C102" s="258">
        <v>12</v>
      </c>
      <c r="D102" s="227">
        <f>+D101</f>
        <v>182</v>
      </c>
      <c r="E102" s="196">
        <f>C102*D102</f>
        <v>2184</v>
      </c>
    </row>
    <row r="103" spans="2:5" ht="15" customHeight="1" x14ac:dyDescent="0.35">
      <c r="B103" s="10" t="s">
        <v>2</v>
      </c>
      <c r="C103" s="258"/>
      <c r="D103" s="227"/>
      <c r="E103" s="196"/>
    </row>
    <row r="104" spans="2:5" ht="15" customHeight="1" x14ac:dyDescent="0.35">
      <c r="B104" s="10" t="s">
        <v>230</v>
      </c>
      <c r="C104" s="258"/>
      <c r="D104" s="227"/>
      <c r="E104" s="196">
        <v>18300</v>
      </c>
    </row>
    <row r="105" spans="2:5" ht="15" customHeight="1" x14ac:dyDescent="0.35">
      <c r="B105" s="10" t="s">
        <v>213</v>
      </c>
      <c r="C105" s="258"/>
      <c r="D105" s="227"/>
      <c r="E105" s="196"/>
    </row>
    <row r="106" spans="2:5" ht="15" customHeight="1" x14ac:dyDescent="0.35">
      <c r="B106" s="10" t="s">
        <v>196</v>
      </c>
      <c r="C106" s="258">
        <v>5000</v>
      </c>
      <c r="D106" s="227"/>
      <c r="E106" s="196">
        <f>+C106</f>
        <v>5000</v>
      </c>
    </row>
    <row r="107" spans="2:5" ht="15" customHeight="1" x14ac:dyDescent="0.35">
      <c r="B107" s="10" t="s">
        <v>214</v>
      </c>
      <c r="C107" s="258"/>
      <c r="D107" s="227"/>
      <c r="E107" s="196"/>
    </row>
    <row r="108" spans="2:5" ht="15" customHeight="1" x14ac:dyDescent="0.35">
      <c r="B108" s="10" t="s">
        <v>190</v>
      </c>
      <c r="C108" s="258"/>
      <c r="D108" s="227">
        <f>+D101*2</f>
        <v>364</v>
      </c>
      <c r="E108" s="196">
        <f>+C108*D108</f>
        <v>0</v>
      </c>
    </row>
    <row r="109" spans="2:5" ht="15" customHeight="1" x14ac:dyDescent="0.35">
      <c r="B109" s="10" t="s">
        <v>195</v>
      </c>
      <c r="C109" s="258">
        <v>8</v>
      </c>
      <c r="D109" s="227">
        <f>+D101*1.5</f>
        <v>273</v>
      </c>
      <c r="E109" s="196">
        <f>+C109*D109</f>
        <v>2184</v>
      </c>
    </row>
    <row r="110" spans="2:5" ht="15" customHeight="1" thickBot="1" x14ac:dyDescent="0.4">
      <c r="B110" s="10" t="s">
        <v>6</v>
      </c>
      <c r="C110" s="258">
        <v>11000</v>
      </c>
      <c r="D110" s="227"/>
      <c r="E110" s="196">
        <f>+C110</f>
        <v>11000</v>
      </c>
    </row>
    <row r="111" spans="2:5" ht="15" customHeight="1" x14ac:dyDescent="0.35">
      <c r="B111" s="1376" t="s">
        <v>99</v>
      </c>
      <c r="C111" s="1377"/>
      <c r="D111" s="1377"/>
      <c r="E111" s="485">
        <f>SUM(E101:E110)</f>
        <v>71610</v>
      </c>
    </row>
    <row r="112" spans="2:5" ht="15" customHeight="1" x14ac:dyDescent="0.35">
      <c r="B112" s="1369" t="s">
        <v>224</v>
      </c>
      <c r="C112" s="1370"/>
      <c r="D112" s="1370"/>
      <c r="E112" s="198">
        <v>18300</v>
      </c>
    </row>
    <row r="113" spans="2:5" ht="15" customHeight="1" x14ac:dyDescent="0.35">
      <c r="B113" s="1369" t="s">
        <v>237</v>
      </c>
      <c r="C113" s="1370"/>
      <c r="D113" s="1370"/>
      <c r="E113" s="198"/>
    </row>
    <row r="114" spans="2:5" ht="15" customHeight="1" x14ac:dyDescent="0.35">
      <c r="B114" s="1369" t="s">
        <v>234</v>
      </c>
      <c r="C114" s="1370"/>
      <c r="D114" s="1370"/>
      <c r="E114" s="198"/>
    </row>
    <row r="115" spans="2:5" ht="15" customHeight="1" thickBot="1" x14ac:dyDescent="0.4">
      <c r="B115" s="1296" t="s">
        <v>11</v>
      </c>
      <c r="C115" s="1297"/>
      <c r="D115" s="1335"/>
      <c r="E115" s="303">
        <f>+E111-E112</f>
        <v>53310</v>
      </c>
    </row>
    <row r="116" spans="2:5" ht="16.5" customHeight="1" thickBot="1" x14ac:dyDescent="0.4"/>
    <row r="117" spans="2:5" ht="15" customHeight="1" thickBot="1" x14ac:dyDescent="0.4">
      <c r="B117" s="1273" t="s">
        <v>221</v>
      </c>
      <c r="C117" s="1274"/>
      <c r="D117" s="1274"/>
      <c r="E117" s="1275"/>
    </row>
    <row r="118" spans="2:5" ht="15" customHeight="1" x14ac:dyDescent="0.35">
      <c r="B118" s="16" t="s">
        <v>7</v>
      </c>
      <c r="C118" s="257" t="s">
        <v>8</v>
      </c>
      <c r="D118" s="192" t="s">
        <v>4</v>
      </c>
      <c r="E118" s="193" t="s">
        <v>9</v>
      </c>
    </row>
    <row r="119" spans="2:5" ht="15" customHeight="1" x14ac:dyDescent="0.35">
      <c r="B119" s="10" t="s">
        <v>3</v>
      </c>
      <c r="C119" s="258">
        <v>181</v>
      </c>
      <c r="D119" s="227">
        <v>165</v>
      </c>
      <c r="E119" s="196">
        <f>C119*D119</f>
        <v>29865</v>
      </c>
    </row>
    <row r="120" spans="2:5" ht="15" customHeight="1" x14ac:dyDescent="0.35">
      <c r="B120" s="10" t="s">
        <v>111</v>
      </c>
      <c r="C120" s="258">
        <v>12</v>
      </c>
      <c r="D120" s="227">
        <v>165</v>
      </c>
      <c r="E120" s="196">
        <f>C120*D120</f>
        <v>1980</v>
      </c>
    </row>
    <row r="121" spans="2:5" ht="15" customHeight="1" x14ac:dyDescent="0.35">
      <c r="B121" s="10" t="s">
        <v>2</v>
      </c>
      <c r="C121" s="258"/>
      <c r="D121" s="227"/>
      <c r="E121" s="196"/>
    </row>
    <row r="122" spans="2:5" ht="15" customHeight="1" x14ac:dyDescent="0.35">
      <c r="B122" s="10" t="s">
        <v>232</v>
      </c>
      <c r="C122" s="258"/>
      <c r="D122" s="227"/>
      <c r="E122" s="196">
        <v>6000</v>
      </c>
    </row>
    <row r="123" spans="2:5" ht="15" customHeight="1" x14ac:dyDescent="0.35">
      <c r="B123" s="10" t="s">
        <v>213</v>
      </c>
      <c r="C123" s="258">
        <v>5</v>
      </c>
      <c r="D123" s="227">
        <f>-D119</f>
        <v>-165</v>
      </c>
      <c r="E123" s="196">
        <f>+C123*D123</f>
        <v>-825</v>
      </c>
    </row>
    <row r="124" spans="2:5" ht="15" customHeight="1" x14ac:dyDescent="0.35">
      <c r="B124" s="10" t="s">
        <v>238</v>
      </c>
      <c r="C124" s="258">
        <v>5</v>
      </c>
      <c r="D124" s="227">
        <v>165</v>
      </c>
      <c r="E124" s="196">
        <f>+C124*D124</f>
        <v>825</v>
      </c>
    </row>
    <row r="125" spans="2:5" ht="15" customHeight="1" x14ac:dyDescent="0.35">
      <c r="B125" s="10" t="s">
        <v>196</v>
      </c>
      <c r="C125" s="258"/>
      <c r="D125" s="227"/>
      <c r="E125" s="196"/>
    </row>
    <row r="126" spans="2:5" ht="15" customHeight="1" x14ac:dyDescent="0.35">
      <c r="B126" s="10" t="s">
        <v>214</v>
      </c>
      <c r="C126" s="258"/>
      <c r="D126" s="227">
        <v>165</v>
      </c>
      <c r="E126" s="196">
        <f>C126*D126</f>
        <v>0</v>
      </c>
    </row>
    <row r="127" spans="2:5" ht="15" customHeight="1" x14ac:dyDescent="0.35">
      <c r="B127" s="10" t="s">
        <v>190</v>
      </c>
      <c r="C127" s="258"/>
      <c r="D127" s="194">
        <f>+D119*2</f>
        <v>330</v>
      </c>
      <c r="E127" s="196">
        <f>C127*D127</f>
        <v>0</v>
      </c>
    </row>
    <row r="128" spans="2:5" ht="15" customHeight="1" x14ac:dyDescent="0.35">
      <c r="B128" s="10" t="s">
        <v>195</v>
      </c>
      <c r="C128" s="258">
        <v>3.5</v>
      </c>
      <c r="D128" s="194">
        <f>+D119*1.5</f>
        <v>247.5</v>
      </c>
      <c r="E128" s="196">
        <f>+C128*D128</f>
        <v>866.25</v>
      </c>
    </row>
    <row r="129" spans="2:6" ht="15" customHeight="1" thickBot="1" x14ac:dyDescent="0.4">
      <c r="B129" s="10" t="s">
        <v>6</v>
      </c>
      <c r="C129" s="258">
        <v>8000</v>
      </c>
      <c r="D129" s="194"/>
      <c r="E129" s="196">
        <v>8000</v>
      </c>
    </row>
    <row r="130" spans="2:6" ht="15" customHeight="1" thickBot="1" x14ac:dyDescent="0.4">
      <c r="B130" s="1323" t="s">
        <v>99</v>
      </c>
      <c r="C130" s="1324"/>
      <c r="D130" s="1324"/>
      <c r="E130" s="304">
        <f>SUM(E119:E129)</f>
        <v>46711.25</v>
      </c>
    </row>
    <row r="131" spans="2:6" ht="15" customHeight="1" x14ac:dyDescent="0.35">
      <c r="B131" s="1371" t="s">
        <v>224</v>
      </c>
      <c r="C131" s="1372"/>
      <c r="D131" s="1373"/>
      <c r="E131" s="302">
        <v>6000</v>
      </c>
    </row>
    <row r="132" spans="2:6" ht="15" customHeight="1" x14ac:dyDescent="0.35">
      <c r="B132" s="1369"/>
      <c r="C132" s="1370"/>
      <c r="D132" s="1370"/>
      <c r="E132" s="198"/>
    </row>
    <row r="133" spans="2:6" ht="15" customHeight="1" x14ac:dyDescent="0.35">
      <c r="B133" s="1369" t="s">
        <v>237</v>
      </c>
      <c r="C133" s="1370"/>
      <c r="D133" s="1370"/>
      <c r="E133" s="198"/>
    </row>
    <row r="134" spans="2:6" ht="15" customHeight="1" x14ac:dyDescent="0.35">
      <c r="B134" s="1369" t="s">
        <v>234</v>
      </c>
      <c r="C134" s="1370"/>
      <c r="D134" s="1370"/>
      <c r="E134" s="198"/>
    </row>
    <row r="135" spans="2:6" ht="15" customHeight="1" x14ac:dyDescent="0.35">
      <c r="B135" s="1374"/>
      <c r="C135" s="1375"/>
      <c r="D135" s="1375"/>
      <c r="E135" s="198"/>
    </row>
    <row r="136" spans="2:6" ht="15" customHeight="1" thickBot="1" x14ac:dyDescent="0.4">
      <c r="B136" s="1296" t="s">
        <v>11</v>
      </c>
      <c r="C136" s="1297"/>
      <c r="D136" s="1335"/>
      <c r="E136" s="303">
        <f>+E130-E131</f>
        <v>40711.25</v>
      </c>
    </row>
    <row r="137" spans="2:6" ht="15" thickBot="1" x14ac:dyDescent="0.4"/>
    <row r="138" spans="2:6" ht="24" thickBot="1" x14ac:dyDescent="0.4">
      <c r="B138" s="1273" t="s">
        <v>239</v>
      </c>
      <c r="C138" s="1274"/>
      <c r="D138" s="1274"/>
      <c r="E138" s="1275"/>
    </row>
    <row r="139" spans="2:6" x14ac:dyDescent="0.35">
      <c r="B139" s="16" t="s">
        <v>7</v>
      </c>
      <c r="C139" s="257" t="s">
        <v>8</v>
      </c>
      <c r="D139" s="192" t="s">
        <v>4</v>
      </c>
      <c r="E139" s="193" t="s">
        <v>9</v>
      </c>
    </row>
    <row r="140" spans="2:6" x14ac:dyDescent="0.35">
      <c r="B140" s="10" t="s">
        <v>3</v>
      </c>
      <c r="C140" s="258">
        <v>155</v>
      </c>
      <c r="D140" s="227">
        <f>+D119</f>
        <v>165</v>
      </c>
      <c r="E140" s="196">
        <f>C140*D140</f>
        <v>25575</v>
      </c>
      <c r="F140" t="s">
        <v>220</v>
      </c>
    </row>
    <row r="141" spans="2:6" x14ac:dyDescent="0.35">
      <c r="B141" s="10" t="s">
        <v>111</v>
      </c>
      <c r="C141" s="258">
        <v>12</v>
      </c>
      <c r="D141" s="227">
        <v>165</v>
      </c>
      <c r="E141" s="196">
        <f>C141*D141</f>
        <v>1980</v>
      </c>
      <c r="F141">
        <f>181-26</f>
        <v>155</v>
      </c>
    </row>
    <row r="142" spans="2:6" x14ac:dyDescent="0.35">
      <c r="B142" s="10" t="s">
        <v>2</v>
      </c>
      <c r="C142" s="258"/>
      <c r="D142" s="227"/>
      <c r="E142" s="196"/>
    </row>
    <row r="143" spans="2:6" x14ac:dyDescent="0.35">
      <c r="B143" s="10" t="s">
        <v>231</v>
      </c>
      <c r="C143" s="258"/>
      <c r="D143" s="227"/>
      <c r="E143" s="196">
        <v>4000</v>
      </c>
    </row>
    <row r="144" spans="2:6" x14ac:dyDescent="0.35">
      <c r="B144" s="10" t="s">
        <v>213</v>
      </c>
      <c r="C144" s="258"/>
      <c r="D144" s="227"/>
      <c r="E144" s="196"/>
    </row>
    <row r="145" spans="2:5" x14ac:dyDescent="0.35">
      <c r="B145" s="10" t="s">
        <v>196</v>
      </c>
      <c r="C145" s="258">
        <v>5000</v>
      </c>
      <c r="D145" s="227"/>
      <c r="E145" s="196">
        <f>+C145</f>
        <v>5000</v>
      </c>
    </row>
    <row r="146" spans="2:5" x14ac:dyDescent="0.35">
      <c r="B146" s="10" t="s">
        <v>214</v>
      </c>
      <c r="C146" s="258"/>
      <c r="D146" s="227"/>
      <c r="E146" s="196"/>
    </row>
    <row r="147" spans="2:5" x14ac:dyDescent="0.35">
      <c r="B147" s="10" t="s">
        <v>190</v>
      </c>
      <c r="C147" s="258"/>
      <c r="D147" s="227">
        <f>+D140*2</f>
        <v>330</v>
      </c>
      <c r="E147" s="196">
        <f>+C147*D147</f>
        <v>0</v>
      </c>
    </row>
    <row r="148" spans="2:5" x14ac:dyDescent="0.35">
      <c r="B148" s="10" t="s">
        <v>195</v>
      </c>
      <c r="C148" s="258">
        <v>6</v>
      </c>
      <c r="D148" s="227">
        <f>+D140*1.5</f>
        <v>247.5</v>
      </c>
      <c r="E148" s="196">
        <f>+D148*C148</f>
        <v>1485</v>
      </c>
    </row>
    <row r="149" spans="2:5" ht="15" thickBot="1" x14ac:dyDescent="0.4">
      <c r="B149" s="10" t="s">
        <v>6</v>
      </c>
      <c r="C149" s="258">
        <v>8000</v>
      </c>
      <c r="D149" s="227"/>
      <c r="E149" s="196">
        <f>+C149</f>
        <v>8000</v>
      </c>
    </row>
    <row r="150" spans="2:5" ht="15" thickBot="1" x14ac:dyDescent="0.4">
      <c r="B150" s="1323" t="s">
        <v>99</v>
      </c>
      <c r="C150" s="1324"/>
      <c r="D150" s="1324"/>
      <c r="E150" s="304">
        <f>SUM(E140:E149)</f>
        <v>46040</v>
      </c>
    </row>
    <row r="151" spans="2:5" x14ac:dyDescent="0.35">
      <c r="B151" s="1339" t="s">
        <v>224</v>
      </c>
      <c r="C151" s="1340"/>
      <c r="D151" s="1341"/>
      <c r="E151" s="302">
        <v>4000</v>
      </c>
    </row>
    <row r="152" spans="2:5" ht="16" thickBot="1" x14ac:dyDescent="0.4">
      <c r="B152" s="1296" t="s">
        <v>11</v>
      </c>
      <c r="C152" s="1297"/>
      <c r="D152" s="1335"/>
      <c r="E152" s="303">
        <f>+E150-E151</f>
        <v>42040</v>
      </c>
    </row>
  </sheetData>
  <mergeCells count="50">
    <mergeCell ref="B32:D32"/>
    <mergeCell ref="H2:T2"/>
    <mergeCell ref="B2:E2"/>
    <mergeCell ref="G9:G11"/>
    <mergeCell ref="B14:D14"/>
    <mergeCell ref="B15:D15"/>
    <mergeCell ref="H13:Q13"/>
    <mergeCell ref="B16:D16"/>
    <mergeCell ref="R14:T14"/>
    <mergeCell ref="B17:D17"/>
    <mergeCell ref="B19:E19"/>
    <mergeCell ref="I23:J23"/>
    <mergeCell ref="B53:D53"/>
    <mergeCell ref="B73:E73"/>
    <mergeCell ref="B33:D33"/>
    <mergeCell ref="B36:D36"/>
    <mergeCell ref="B37:D37"/>
    <mergeCell ref="B39:E39"/>
    <mergeCell ref="B51:D51"/>
    <mergeCell ref="B52:D52"/>
    <mergeCell ref="B54:D54"/>
    <mergeCell ref="B56:E56"/>
    <mergeCell ref="B68:D68"/>
    <mergeCell ref="B70:D70"/>
    <mergeCell ref="B71:D71"/>
    <mergeCell ref="B34:D34"/>
    <mergeCell ref="B35:D35"/>
    <mergeCell ref="B90:E90"/>
    <mergeCell ref="B99:E99"/>
    <mergeCell ref="B111:D111"/>
    <mergeCell ref="B112:D112"/>
    <mergeCell ref="B85:D85"/>
    <mergeCell ref="B86:D86"/>
    <mergeCell ref="B87:D87"/>
    <mergeCell ref="B88:D88"/>
    <mergeCell ref="B113:D113"/>
    <mergeCell ref="B114:D114"/>
    <mergeCell ref="B152:D152"/>
    <mergeCell ref="B138:E138"/>
    <mergeCell ref="B150:D150"/>
    <mergeCell ref="B151:D151"/>
    <mergeCell ref="B115:D115"/>
    <mergeCell ref="B117:E117"/>
    <mergeCell ref="B130:D130"/>
    <mergeCell ref="B131:D131"/>
    <mergeCell ref="B136:D136"/>
    <mergeCell ref="B132:D132"/>
    <mergeCell ref="B133:D133"/>
    <mergeCell ref="B134:D134"/>
    <mergeCell ref="B135:D135"/>
  </mergeCells>
  <pageMargins left="0" right="0" top="0" bottom="0" header="0.31496062992125984" footer="0.31496062992125984"/>
  <pageSetup paperSize="9" scale="8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89"/>
  <sheetViews>
    <sheetView topLeftCell="K1" workbookViewId="0">
      <pane ySplit="14" topLeftCell="A27" activePane="bottomLeft" state="frozen"/>
      <selection activeCell="A6" sqref="A6"/>
      <selection pane="bottomLeft" activeCell="N12" sqref="N12"/>
    </sheetView>
  </sheetViews>
  <sheetFormatPr baseColWidth="10" defaultRowHeight="14.5" x14ac:dyDescent="0.35"/>
  <cols>
    <col min="2" max="2" width="23.453125" customWidth="1"/>
    <col min="3" max="3" width="18.90625" style="261" customWidth="1"/>
    <col min="4" max="4" width="19.90625" style="202" customWidth="1"/>
    <col min="5" max="5" width="18.54296875" style="203" customWidth="1"/>
    <col min="6" max="6" width="20" bestFit="1" customWidth="1"/>
    <col min="7" max="7" width="10.08984375" customWidth="1"/>
    <col min="8" max="8" width="12.6328125" customWidth="1"/>
    <col min="9" max="9" width="14.6328125" customWidth="1"/>
    <col min="10" max="11" width="12.54296875" customWidth="1"/>
    <col min="12" max="12" width="13.54296875" bestFit="1" customWidth="1"/>
    <col min="13" max="13" width="13.54296875" customWidth="1"/>
    <col min="14" max="14" width="14.6328125" customWidth="1"/>
    <col min="15" max="15" width="14.54296875" bestFit="1" customWidth="1"/>
    <col min="16" max="16" width="14.54296875" customWidth="1"/>
    <col min="17" max="17" width="13" customWidth="1"/>
    <col min="18" max="19" width="14.453125" bestFit="1" customWidth="1"/>
    <col min="20" max="20" width="14.08984375" customWidth="1"/>
  </cols>
  <sheetData>
    <row r="1" spans="1:23" ht="18" customHeight="1" thickBot="1" x14ac:dyDescent="0.4"/>
    <row r="2" spans="1:23" ht="25.5" customHeight="1" thickBot="1" x14ac:dyDescent="0.75">
      <c r="B2" s="1273" t="s">
        <v>10</v>
      </c>
      <c r="C2" s="1274"/>
      <c r="D2" s="1274"/>
      <c r="E2" s="1275"/>
      <c r="F2" s="414"/>
      <c r="H2" s="1388" t="s">
        <v>243</v>
      </c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90"/>
    </row>
    <row r="3" spans="1:23" s="503" customFormat="1" ht="18" customHeight="1" thickBot="1" x14ac:dyDescent="0.4">
      <c r="B3" s="16" t="s">
        <v>7</v>
      </c>
      <c r="C3" s="257" t="s">
        <v>8</v>
      </c>
      <c r="D3" s="192" t="s">
        <v>4</v>
      </c>
      <c r="E3" s="193" t="s">
        <v>9</v>
      </c>
      <c r="F3" s="415"/>
      <c r="G3"/>
      <c r="H3" s="80" t="s">
        <v>20</v>
      </c>
      <c r="I3" s="74" t="s">
        <v>8</v>
      </c>
      <c r="J3" s="74" t="s">
        <v>112</v>
      </c>
      <c r="K3" s="74" t="s">
        <v>199</v>
      </c>
      <c r="L3" s="74" t="s">
        <v>200</v>
      </c>
      <c r="M3" s="74" t="s">
        <v>241</v>
      </c>
      <c r="N3" s="74" t="s">
        <v>44</v>
      </c>
      <c r="O3" s="81" t="s">
        <v>43</v>
      </c>
      <c r="P3" s="81" t="s">
        <v>242</v>
      </c>
      <c r="Q3" s="74" t="s">
        <v>24</v>
      </c>
      <c r="R3" s="74" t="s">
        <v>19</v>
      </c>
      <c r="S3" s="74" t="s">
        <v>18</v>
      </c>
      <c r="T3" s="68" t="s">
        <v>23</v>
      </c>
      <c r="U3"/>
      <c r="V3"/>
    </row>
    <row r="4" spans="1:23" ht="18" customHeight="1" thickBot="1" x14ac:dyDescent="0.4">
      <c r="B4" s="10" t="s">
        <v>3</v>
      </c>
      <c r="C4" s="258">
        <v>97</v>
      </c>
      <c r="D4" s="227">
        <v>203.04</v>
      </c>
      <c r="E4" s="196">
        <f>C4*D4</f>
        <v>19694.88</v>
      </c>
      <c r="F4" s="416"/>
      <c r="G4" s="503"/>
      <c r="H4" s="230" t="s">
        <v>10</v>
      </c>
      <c r="I4" s="352">
        <f>+E4</f>
        <v>19694.88</v>
      </c>
      <c r="J4" s="352">
        <f>+E5</f>
        <v>812.16</v>
      </c>
      <c r="K4" s="352">
        <f>+E6</f>
        <v>0</v>
      </c>
      <c r="L4" s="352">
        <f>+E9</f>
        <v>5000</v>
      </c>
      <c r="M4" s="492">
        <f>+E7</f>
        <v>0</v>
      </c>
      <c r="N4" s="335">
        <f>+E12+E11</f>
        <v>0</v>
      </c>
      <c r="O4" s="335">
        <f>+E13</f>
        <v>11000</v>
      </c>
      <c r="P4" s="491"/>
      <c r="Q4" s="536">
        <f t="shared" ref="Q4:Q9" si="0">SUM(I4:O4)</f>
        <v>36507.040000000001</v>
      </c>
      <c r="R4" s="339">
        <f>+E16</f>
        <v>0</v>
      </c>
      <c r="S4" s="437">
        <f>+E17</f>
        <v>18139.830000000002</v>
      </c>
      <c r="T4" s="538">
        <f>+Q4-R4-S4</f>
        <v>18367.21</v>
      </c>
      <c r="U4" s="503"/>
    </row>
    <row r="5" spans="1:23" ht="18" customHeight="1" thickBot="1" x14ac:dyDescent="0.4">
      <c r="B5" s="10" t="s">
        <v>111</v>
      </c>
      <c r="C5" s="258">
        <f>+K22</f>
        <v>4</v>
      </c>
      <c r="D5" s="227">
        <f>+D4</f>
        <v>203.04</v>
      </c>
      <c r="E5" s="196">
        <f>+C5*D5</f>
        <v>812.16</v>
      </c>
      <c r="F5" s="416"/>
      <c r="H5" s="505" t="s">
        <v>15</v>
      </c>
      <c r="I5" s="356">
        <f>+E22</f>
        <v>10243.200000000001</v>
      </c>
      <c r="J5" s="356">
        <f>+E23</f>
        <v>931.2</v>
      </c>
      <c r="K5" s="356">
        <f>+E24+E28</f>
        <v>35385.600000000006</v>
      </c>
      <c r="L5" s="356">
        <f>+E27</f>
        <v>2500</v>
      </c>
      <c r="M5" s="396">
        <f>+E25</f>
        <v>0</v>
      </c>
      <c r="N5" s="336">
        <f>+E30+E29</f>
        <v>0</v>
      </c>
      <c r="O5" s="336">
        <f>+E31</f>
        <v>16500</v>
      </c>
      <c r="P5" s="491">
        <f>+E34</f>
        <v>990</v>
      </c>
      <c r="Q5" s="537">
        <f t="shared" si="0"/>
        <v>65560</v>
      </c>
      <c r="R5" s="340">
        <f>+E35</f>
        <v>0</v>
      </c>
      <c r="S5" s="249"/>
      <c r="T5" s="545">
        <f>+Q5-P5</f>
        <v>64570</v>
      </c>
      <c r="U5" s="202"/>
    </row>
    <row r="6" spans="1:23" ht="18" customHeight="1" thickBot="1" x14ac:dyDescent="0.4">
      <c r="B6" s="10" t="s">
        <v>255</v>
      </c>
      <c r="C6" s="258">
        <v>112</v>
      </c>
      <c r="D6" s="227">
        <f>+D5</f>
        <v>203.04</v>
      </c>
      <c r="E6" s="196"/>
      <c r="F6" s="416"/>
      <c r="H6" s="236" t="s">
        <v>16</v>
      </c>
      <c r="I6" s="356">
        <f>+E42</f>
        <v>18158.399999999998</v>
      </c>
      <c r="J6" s="356">
        <f>+E43</f>
        <v>748.8</v>
      </c>
      <c r="K6" s="356">
        <f>+E48</f>
        <v>0</v>
      </c>
      <c r="L6" s="356">
        <f>+E47</f>
        <v>5000</v>
      </c>
      <c r="M6" s="396">
        <f>+E45</f>
        <v>0</v>
      </c>
      <c r="N6" s="336">
        <f>+E49+E50</f>
        <v>0</v>
      </c>
      <c r="O6" s="336">
        <f>+E51</f>
        <v>11000</v>
      </c>
      <c r="P6" s="491"/>
      <c r="Q6" s="536">
        <f t="shared" si="0"/>
        <v>34907.199999999997</v>
      </c>
      <c r="R6" s="340">
        <f>+E54</f>
        <v>10000</v>
      </c>
      <c r="S6" s="249">
        <f>+E57</f>
        <v>0</v>
      </c>
      <c r="T6" s="538">
        <f t="shared" ref="T6:T11" si="1">+Q6-R6-S6</f>
        <v>24907.199999999997</v>
      </c>
    </row>
    <row r="7" spans="1:23" ht="18" customHeight="1" thickBot="1" x14ac:dyDescent="0.4">
      <c r="B7" s="10" t="s">
        <v>1</v>
      </c>
      <c r="C7" s="506"/>
      <c r="D7" s="507"/>
      <c r="E7" s="508"/>
      <c r="F7" s="416"/>
      <c r="H7" s="236" t="s">
        <v>0</v>
      </c>
      <c r="I7" s="356">
        <f>+E62</f>
        <v>36782.400000000001</v>
      </c>
      <c r="J7" s="356">
        <f>+E63</f>
        <v>931.2</v>
      </c>
      <c r="K7" s="356">
        <f>+E68</f>
        <v>5587.2000000000007</v>
      </c>
      <c r="L7" s="356">
        <f>+E67</f>
        <v>2500</v>
      </c>
      <c r="M7" s="396">
        <f>+E65</f>
        <v>0</v>
      </c>
      <c r="N7" s="336">
        <f>+E70+E69</f>
        <v>1047.6000000000001</v>
      </c>
      <c r="O7" s="336">
        <f>+E71</f>
        <v>16500</v>
      </c>
      <c r="P7" s="491"/>
      <c r="Q7" s="536">
        <f t="shared" si="0"/>
        <v>63348.4</v>
      </c>
      <c r="R7" s="340">
        <f>+E73</f>
        <v>0</v>
      </c>
      <c r="S7" s="249">
        <f>+E74</f>
        <v>30064.45</v>
      </c>
      <c r="T7" s="538">
        <f t="shared" si="1"/>
        <v>33283.949999999997</v>
      </c>
    </row>
    <row r="8" spans="1:23" ht="18" customHeight="1" thickBot="1" x14ac:dyDescent="0.4">
      <c r="B8" s="10" t="s">
        <v>213</v>
      </c>
      <c r="C8" s="258"/>
      <c r="D8" s="227">
        <f>-D4</f>
        <v>-203.04</v>
      </c>
      <c r="E8" s="196">
        <f>+C8*D8</f>
        <v>0</v>
      </c>
      <c r="F8" s="416"/>
      <c r="H8" s="236" t="s">
        <v>28</v>
      </c>
      <c r="I8" s="356">
        <f>+E79</f>
        <v>30456</v>
      </c>
      <c r="J8" s="356">
        <f>+E80</f>
        <v>864</v>
      </c>
      <c r="K8" s="356">
        <f>+E85</f>
        <v>9504</v>
      </c>
      <c r="L8" s="356">
        <f>+E84</f>
        <v>2500</v>
      </c>
      <c r="M8" s="396">
        <f>+E82</f>
        <v>0</v>
      </c>
      <c r="N8" s="336">
        <f>+E87+E86</f>
        <v>486</v>
      </c>
      <c r="O8" s="336">
        <f>+E88</f>
        <v>16000</v>
      </c>
      <c r="P8" s="491"/>
      <c r="Q8" s="536">
        <f t="shared" si="0"/>
        <v>59810</v>
      </c>
      <c r="R8" s="340">
        <f>+E91</f>
        <v>10000</v>
      </c>
      <c r="S8" s="249">
        <f>+E90</f>
        <v>24028.31</v>
      </c>
      <c r="T8" s="538">
        <f t="shared" si="1"/>
        <v>25781.69</v>
      </c>
    </row>
    <row r="9" spans="1:23" ht="18" customHeight="1" thickBot="1" x14ac:dyDescent="0.4">
      <c r="B9" s="10" t="s">
        <v>196</v>
      </c>
      <c r="C9" s="258"/>
      <c r="D9" s="227">
        <v>5000</v>
      </c>
      <c r="E9" s="196">
        <f>+D9</f>
        <v>5000</v>
      </c>
      <c r="F9" s="416"/>
      <c r="G9" s="1310"/>
      <c r="H9" s="444" t="s">
        <v>174</v>
      </c>
      <c r="I9" s="445">
        <f>+E107</f>
        <v>33670</v>
      </c>
      <c r="J9" s="445">
        <f>+E108</f>
        <v>728</v>
      </c>
      <c r="K9" s="445">
        <f>+E111</f>
        <v>0</v>
      </c>
      <c r="L9" s="445">
        <f>+E112</f>
        <v>5000</v>
      </c>
      <c r="M9" s="493">
        <f>+E110</f>
        <v>0</v>
      </c>
      <c r="N9" s="446">
        <f>+E115+E114</f>
        <v>0</v>
      </c>
      <c r="O9" s="336">
        <f>+E116</f>
        <v>11000</v>
      </c>
      <c r="P9" s="491"/>
      <c r="Q9" s="536">
        <f t="shared" si="0"/>
        <v>50398</v>
      </c>
      <c r="R9" s="342">
        <f>+E119</f>
        <v>8000</v>
      </c>
      <c r="S9" s="249"/>
      <c r="T9" s="538">
        <f t="shared" si="1"/>
        <v>42398</v>
      </c>
    </row>
    <row r="10" spans="1:23" ht="18" customHeight="1" thickBot="1" x14ac:dyDescent="0.4">
      <c r="B10" s="10" t="s">
        <v>214</v>
      </c>
      <c r="C10" s="258"/>
      <c r="D10" s="227">
        <f>+D4</f>
        <v>203.04</v>
      </c>
      <c r="E10" s="196">
        <f>C10*D10</f>
        <v>0</v>
      </c>
      <c r="F10" s="416"/>
      <c r="G10" s="1310"/>
      <c r="H10" s="444" t="s">
        <v>42</v>
      </c>
      <c r="I10" s="540">
        <f>+E96</f>
        <v>30000</v>
      </c>
      <c r="J10" s="445"/>
      <c r="K10" s="445"/>
      <c r="L10" s="445">
        <f>+E97</f>
        <v>3600</v>
      </c>
      <c r="M10" s="493">
        <f>+E101</f>
        <v>0</v>
      </c>
      <c r="N10" s="446">
        <f>+E100</f>
        <v>0</v>
      </c>
      <c r="O10" s="362">
        <v>0</v>
      </c>
      <c r="P10" s="491">
        <f>+E98</f>
        <v>8000</v>
      </c>
      <c r="Q10" s="536">
        <f>SUM(I10:P10)</f>
        <v>41600</v>
      </c>
      <c r="R10" s="342">
        <f>+E101</f>
        <v>0</v>
      </c>
      <c r="S10" s="251"/>
      <c r="T10" s="538">
        <f t="shared" si="1"/>
        <v>41600</v>
      </c>
    </row>
    <row r="11" spans="1:23" ht="18" customHeight="1" thickBot="1" x14ac:dyDescent="0.4">
      <c r="B11" s="10" t="s">
        <v>215</v>
      </c>
      <c r="C11" s="258"/>
      <c r="D11" s="194">
        <f>+D4*1.5</f>
        <v>304.56</v>
      </c>
      <c r="E11" s="196">
        <f>C11*D11</f>
        <v>0</v>
      </c>
      <c r="F11" s="416"/>
      <c r="G11" s="1310"/>
      <c r="H11" s="236" t="s">
        <v>245</v>
      </c>
      <c r="I11" s="356">
        <f>+E146</f>
        <v>16005</v>
      </c>
      <c r="J11" s="336">
        <f>+E147</f>
        <v>0</v>
      </c>
      <c r="K11" s="336">
        <f>+E152</f>
        <v>0</v>
      </c>
      <c r="L11" s="336">
        <f>+E151</f>
        <v>2500</v>
      </c>
      <c r="M11" s="398">
        <f>+E149</f>
        <v>0</v>
      </c>
      <c r="N11" s="336">
        <f>+E115+E114</f>
        <v>0</v>
      </c>
      <c r="O11" s="338">
        <f>+E155</f>
        <v>8000</v>
      </c>
      <c r="P11" s="491"/>
      <c r="Q11" s="536">
        <f>SUM(I11:O11)</f>
        <v>26505</v>
      </c>
      <c r="R11" s="342">
        <f>+E157</f>
        <v>4000</v>
      </c>
      <c r="S11" s="251"/>
      <c r="T11" s="538">
        <f t="shared" si="1"/>
        <v>22505</v>
      </c>
    </row>
    <row r="12" spans="1:23" ht="18" customHeight="1" thickBot="1" x14ac:dyDescent="0.4">
      <c r="B12" s="10" t="s">
        <v>216</v>
      </c>
      <c r="C12" s="258"/>
      <c r="D12" s="194">
        <f>+D4*2</f>
        <v>406.08</v>
      </c>
      <c r="E12" s="196">
        <f>+C12*D12</f>
        <v>0</v>
      </c>
      <c r="F12" s="421"/>
      <c r="G12" s="176"/>
      <c r="H12" s="541" t="s">
        <v>184</v>
      </c>
      <c r="I12" s="542">
        <f>+E126</f>
        <v>23265</v>
      </c>
      <c r="J12" s="542">
        <f>+E127</f>
        <v>660</v>
      </c>
      <c r="K12" s="542">
        <f>+E132</f>
        <v>6600</v>
      </c>
      <c r="L12" s="542">
        <f>+E131</f>
        <v>2500</v>
      </c>
      <c r="M12" s="543">
        <f>+E129</f>
        <v>0</v>
      </c>
      <c r="N12" s="544">
        <f>+E134+E133</f>
        <v>247.5</v>
      </c>
      <c r="O12" s="338">
        <f>+E135</f>
        <v>8000</v>
      </c>
      <c r="P12" s="491"/>
      <c r="Q12" s="537">
        <f>SUM(I12:O12)</f>
        <v>41272.5</v>
      </c>
      <c r="R12" s="342">
        <f>+E141</f>
        <v>0</v>
      </c>
      <c r="S12" s="251"/>
      <c r="T12" s="546">
        <f>+Q12-R12-S12</f>
        <v>41272.5</v>
      </c>
    </row>
    <row r="13" spans="1:23" ht="18" customHeight="1" thickBot="1" x14ac:dyDescent="0.4">
      <c r="B13" s="10" t="s">
        <v>6</v>
      </c>
      <c r="C13" s="258">
        <v>11000</v>
      </c>
      <c r="D13" s="194"/>
      <c r="E13" s="196">
        <f>+C13</f>
        <v>11000</v>
      </c>
      <c r="F13" s="422"/>
      <c r="H13" s="1332" t="s">
        <v>24</v>
      </c>
      <c r="I13" s="1333"/>
      <c r="J13" s="1333"/>
      <c r="K13" s="1333"/>
      <c r="L13" s="1333"/>
      <c r="M13" s="1333"/>
      <c r="N13" s="1333"/>
      <c r="O13" s="1333"/>
      <c r="P13" s="1333"/>
      <c r="Q13" s="1334"/>
      <c r="R13" s="496">
        <f>SUM(R4:R12)</f>
        <v>32000</v>
      </c>
      <c r="S13" s="496">
        <f>SUM(S4:S12)</f>
        <v>72232.59</v>
      </c>
      <c r="T13" s="256">
        <f>SUM(T4:T12)</f>
        <v>314685.55</v>
      </c>
      <c r="V13" s="503"/>
    </row>
    <row r="14" spans="1:23" s="503" customFormat="1" ht="18" customHeight="1" thickBot="1" x14ac:dyDescent="0.5">
      <c r="A14" s="4"/>
      <c r="B14" s="10" t="s">
        <v>235</v>
      </c>
      <c r="C14" s="258"/>
      <c r="D14" s="194"/>
      <c r="E14" s="196">
        <f>+C14</f>
        <v>0</v>
      </c>
      <c r="F14" s="412"/>
      <c r="G14"/>
      <c r="H14"/>
      <c r="I14" s="181"/>
      <c r="J14" s="181"/>
      <c r="K14" s="181"/>
      <c r="L14" s="181"/>
      <c r="M14" s="181"/>
      <c r="N14" s="184"/>
      <c r="O14" s="180"/>
      <c r="P14" s="180"/>
      <c r="Q14" s="181"/>
      <c r="R14" s="181"/>
      <c r="S14" s="181"/>
      <c r="T14"/>
      <c r="W14"/>
    </row>
    <row r="15" spans="1:23" ht="18" customHeight="1" thickBot="1" x14ac:dyDescent="0.4">
      <c r="B15" s="1323" t="s">
        <v>99</v>
      </c>
      <c r="C15" s="1324"/>
      <c r="D15" s="1324"/>
      <c r="E15" s="304">
        <f>SUM(E4:E14)</f>
        <v>36507.040000000001</v>
      </c>
      <c r="F15" s="422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S15" s="503"/>
    </row>
    <row r="16" spans="1:23" ht="18" customHeight="1" x14ac:dyDescent="0.35">
      <c r="B16" s="519" t="s">
        <v>19</v>
      </c>
      <c r="C16" s="504"/>
      <c r="D16" s="504"/>
      <c r="E16" s="520"/>
      <c r="F16" s="422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S16" s="503"/>
    </row>
    <row r="17" spans="1:23" ht="18" customHeight="1" thickBot="1" x14ac:dyDescent="0.4">
      <c r="B17" s="1404" t="s">
        <v>217</v>
      </c>
      <c r="C17" s="1405"/>
      <c r="D17" s="1406"/>
      <c r="E17" s="517">
        <v>18139.830000000002</v>
      </c>
      <c r="F17" s="420"/>
      <c r="N17" s="51"/>
      <c r="O17" s="66"/>
      <c r="P17" s="66"/>
      <c r="Q17" s="49"/>
      <c r="R17" s="503"/>
    </row>
    <row r="18" spans="1:23" ht="18" customHeight="1" thickBot="1" x14ac:dyDescent="0.4">
      <c r="A18" s="503"/>
      <c r="B18" s="1394" t="s">
        <v>11</v>
      </c>
      <c r="C18" s="1395"/>
      <c r="D18" s="1407"/>
      <c r="E18" s="518">
        <f>+E15-E16-E17</f>
        <v>18367.21</v>
      </c>
      <c r="F18" s="414"/>
      <c r="I18" s="321"/>
      <c r="J18" s="321"/>
      <c r="K18" s="321"/>
      <c r="L18" s="473"/>
      <c r="M18" s="321"/>
      <c r="N18" s="321"/>
      <c r="U18" s="503"/>
    </row>
    <row r="19" spans="1:23" ht="18" customHeight="1" thickBot="1" x14ac:dyDescent="0.4">
      <c r="F19" s="415"/>
      <c r="G19" s="106"/>
      <c r="H19" s="4"/>
      <c r="O19" s="4"/>
      <c r="U19" s="503"/>
    </row>
    <row r="20" spans="1:23" ht="18" customHeight="1" thickBot="1" x14ac:dyDescent="0.4">
      <c r="B20" s="1273" t="s">
        <v>15</v>
      </c>
      <c r="C20" s="1274"/>
      <c r="D20" s="1274"/>
      <c r="E20" s="1275"/>
      <c r="F20" s="416"/>
      <c r="G20" s="406"/>
      <c r="H20" s="363"/>
      <c r="I20" s="322" t="s">
        <v>106</v>
      </c>
      <c r="J20" s="323" t="s">
        <v>107</v>
      </c>
      <c r="K20" s="323" t="s">
        <v>244</v>
      </c>
      <c r="L20" s="465"/>
      <c r="M20" s="465"/>
      <c r="N20" s="465"/>
    </row>
    <row r="21" spans="1:23" ht="18" customHeight="1" thickBot="1" x14ac:dyDescent="0.4">
      <c r="B21" s="16" t="s">
        <v>7</v>
      </c>
      <c r="C21" s="257" t="s">
        <v>8</v>
      </c>
      <c r="D21" s="192" t="s">
        <v>4</v>
      </c>
      <c r="E21" s="193" t="s">
        <v>9</v>
      </c>
      <c r="F21" s="416">
        <f>14*8</f>
        <v>112</v>
      </c>
      <c r="G21" s="503"/>
      <c r="H21" s="363" t="s">
        <v>116</v>
      </c>
      <c r="I21" s="326">
        <v>17</v>
      </c>
      <c r="J21" s="327">
        <v>9</v>
      </c>
      <c r="K21" s="502">
        <f>+I21*J21</f>
        <v>153</v>
      </c>
      <c r="L21" s="101"/>
      <c r="M21" s="101"/>
      <c r="N21" s="101"/>
    </row>
    <row r="22" spans="1:23" ht="18" customHeight="1" thickBot="1" x14ac:dyDescent="0.4">
      <c r="B22" s="10" t="s">
        <v>3</v>
      </c>
      <c r="C22" s="315">
        <v>44</v>
      </c>
      <c r="D22" s="194">
        <v>232.8</v>
      </c>
      <c r="E22" s="196">
        <f t="shared" ref="E22:E30" si="2">C22*D22</f>
        <v>10243.200000000001</v>
      </c>
      <c r="F22" s="443">
        <f>7*9</f>
        <v>63</v>
      </c>
      <c r="H22" s="364" t="s">
        <v>111</v>
      </c>
      <c r="I22" s="344">
        <v>0.5</v>
      </c>
      <c r="J22" s="345">
        <v>8</v>
      </c>
      <c r="K22" s="502">
        <f>+I22*J22</f>
        <v>4</v>
      </c>
      <c r="L22" s="101"/>
      <c r="M22" s="101"/>
      <c r="N22" s="101"/>
    </row>
    <row r="23" spans="1:23" ht="18" customHeight="1" thickBot="1" x14ac:dyDescent="0.4">
      <c r="B23" s="10" t="s">
        <v>111</v>
      </c>
      <c r="C23" s="258">
        <f>+K22</f>
        <v>4</v>
      </c>
      <c r="D23" s="194">
        <f>+D22</f>
        <v>232.8</v>
      </c>
      <c r="E23" s="196">
        <f>+C23*D23</f>
        <v>931.2</v>
      </c>
      <c r="F23" s="416"/>
      <c r="H23" s="364" t="s">
        <v>117</v>
      </c>
      <c r="I23" s="328">
        <v>4</v>
      </c>
      <c r="J23" s="329">
        <v>8</v>
      </c>
      <c r="K23" s="502">
        <f>+I23*J23</f>
        <v>32</v>
      </c>
      <c r="L23" s="101"/>
      <c r="M23" s="101"/>
      <c r="N23" s="101"/>
    </row>
    <row r="24" spans="1:23" ht="18" customHeight="1" thickBot="1" x14ac:dyDescent="0.4">
      <c r="B24" s="10" t="s">
        <v>2</v>
      </c>
      <c r="C24" s="258">
        <v>112</v>
      </c>
      <c r="D24" s="194">
        <f>+D22</f>
        <v>232.8</v>
      </c>
      <c r="E24" s="196">
        <f>+C24*D24</f>
        <v>26073.600000000002</v>
      </c>
      <c r="F24" s="416">
        <f>4*9</f>
        <v>36</v>
      </c>
      <c r="H24" s="156"/>
      <c r="I24" s="1311" t="s">
        <v>108</v>
      </c>
      <c r="J24" s="1312"/>
      <c r="K24" s="330">
        <f>SUM(K21:K23)</f>
        <v>189</v>
      </c>
      <c r="L24" s="101"/>
      <c r="M24" s="101"/>
      <c r="N24" s="101"/>
    </row>
    <row r="25" spans="1:23" ht="18" customHeight="1" x14ac:dyDescent="0.35">
      <c r="B25" s="10" t="s">
        <v>248</v>
      </c>
      <c r="C25" s="506"/>
      <c r="D25" s="506"/>
      <c r="E25" s="521"/>
      <c r="F25" s="421">
        <v>8</v>
      </c>
      <c r="I25" s="248"/>
      <c r="J25" s="432"/>
      <c r="K25" s="501"/>
      <c r="L25" s="501"/>
      <c r="M25" s="501"/>
      <c r="N25" s="501"/>
    </row>
    <row r="26" spans="1:23" ht="18" customHeight="1" x14ac:dyDescent="0.35">
      <c r="B26" s="10" t="s">
        <v>213</v>
      </c>
      <c r="C26" s="258"/>
      <c r="D26" s="194">
        <f>-D22</f>
        <v>-232.8</v>
      </c>
      <c r="E26" s="196">
        <f t="shared" si="2"/>
        <v>0</v>
      </c>
      <c r="F26" s="421"/>
      <c r="G26" s="503"/>
      <c r="I26" s="248"/>
      <c r="J26" s="432"/>
      <c r="K26" s="501"/>
      <c r="L26" s="501"/>
      <c r="M26" s="501"/>
      <c r="N26" s="501"/>
    </row>
    <row r="27" spans="1:23" ht="18" customHeight="1" x14ac:dyDescent="0.35">
      <c r="B27" s="10" t="s">
        <v>257</v>
      </c>
      <c r="C27" s="258"/>
      <c r="D27" s="194"/>
      <c r="E27" s="196">
        <v>2500</v>
      </c>
      <c r="F27" s="422"/>
      <c r="G27" s="503"/>
      <c r="I27" s="489"/>
      <c r="O27" s="51"/>
      <c r="P27" s="51"/>
      <c r="Q27" s="66"/>
      <c r="R27" s="49"/>
      <c r="S27" s="49"/>
    </row>
    <row r="28" spans="1:23" s="4" customFormat="1" ht="18" customHeight="1" thickBot="1" x14ac:dyDescent="0.4">
      <c r="A28"/>
      <c r="B28" s="10" t="s">
        <v>214</v>
      </c>
      <c r="C28" s="258">
        <v>40</v>
      </c>
      <c r="D28" s="194">
        <v>232.8</v>
      </c>
      <c r="E28" s="196">
        <f>+C28*D28</f>
        <v>9312</v>
      </c>
      <c r="F28" s="419"/>
      <c r="G28" s="503"/>
      <c r="H28" s="181"/>
      <c r="I28" s="455"/>
      <c r="J28" s="180"/>
      <c r="K28"/>
      <c r="L28" s="180"/>
      <c r="M28" s="180"/>
      <c r="N28"/>
      <c r="O28"/>
      <c r="P28"/>
      <c r="Q28"/>
      <c r="R28"/>
      <c r="S28"/>
      <c r="T28"/>
      <c r="V28"/>
      <c r="W28"/>
    </row>
    <row r="29" spans="1:23" ht="18" customHeight="1" thickBot="1" x14ac:dyDescent="0.4">
      <c r="B29" s="10" t="s">
        <v>190</v>
      </c>
      <c r="C29" s="258"/>
      <c r="D29" s="194">
        <f>+D22*2</f>
        <v>465.6</v>
      </c>
      <c r="E29" s="196">
        <f t="shared" si="2"/>
        <v>0</v>
      </c>
      <c r="F29" s="420"/>
      <c r="I29" s="57"/>
      <c r="J29" s="61" t="s">
        <v>29</v>
      </c>
      <c r="K29" s="61" t="s">
        <v>30</v>
      </c>
      <c r="L29" s="62" t="s">
        <v>32</v>
      </c>
      <c r="M29" s="180"/>
      <c r="V29" s="503"/>
    </row>
    <row r="30" spans="1:23" ht="18" customHeight="1" x14ac:dyDescent="0.35">
      <c r="B30" s="10" t="s">
        <v>195</v>
      </c>
      <c r="C30" s="315"/>
      <c r="D30" s="194">
        <f>+D22*1.5</f>
        <v>349.20000000000005</v>
      </c>
      <c r="E30" s="196">
        <f t="shared" si="2"/>
        <v>0</v>
      </c>
      <c r="F30" s="420"/>
      <c r="H30" s="4"/>
      <c r="I30" s="172" t="s">
        <v>0</v>
      </c>
      <c r="J30" s="63">
        <f>194*1.2</f>
        <v>232.79999999999998</v>
      </c>
      <c r="K30" s="173">
        <f>+J30*1.5</f>
        <v>349.2</v>
      </c>
      <c r="L30" s="175">
        <v>13500</v>
      </c>
      <c r="M30" s="180"/>
      <c r="N30" s="184"/>
    </row>
    <row r="31" spans="1:23" s="503" customFormat="1" ht="18" customHeight="1" x14ac:dyDescent="0.45">
      <c r="A31" s="4"/>
      <c r="B31" s="10" t="s">
        <v>6</v>
      </c>
      <c r="C31" s="258">
        <v>16500</v>
      </c>
      <c r="D31" s="194"/>
      <c r="E31" s="196">
        <f>+C31</f>
        <v>16500</v>
      </c>
      <c r="F31" s="412"/>
      <c r="G31"/>
      <c r="H31"/>
      <c r="I31" s="58" t="s">
        <v>28</v>
      </c>
      <c r="J31" s="64">
        <f>180*1.2</f>
        <v>216</v>
      </c>
      <c r="K31" s="50">
        <f t="shared" ref="K31:K37" si="3">+J31*1.5</f>
        <v>324</v>
      </c>
      <c r="L31" s="53">
        <v>13000</v>
      </c>
      <c r="M31" s="184"/>
      <c r="N31" s="184"/>
      <c r="O31"/>
      <c r="P31"/>
      <c r="Q31"/>
      <c r="R31"/>
      <c r="S31"/>
      <c r="T31"/>
      <c r="W31"/>
    </row>
    <row r="32" spans="1:23" s="503" customFormat="1" ht="18" customHeight="1" thickBot="1" x14ac:dyDescent="0.5">
      <c r="A32" s="4"/>
      <c r="B32" s="10" t="s">
        <v>235</v>
      </c>
      <c r="C32" s="258"/>
      <c r="D32" s="194"/>
      <c r="E32" s="196">
        <f>+C32</f>
        <v>0</v>
      </c>
      <c r="F32" s="412"/>
      <c r="G32"/>
      <c r="H32"/>
      <c r="I32" s="58" t="s">
        <v>15</v>
      </c>
      <c r="J32" s="64">
        <f>180*1.2</f>
        <v>216</v>
      </c>
      <c r="K32" s="50">
        <f t="shared" si="3"/>
        <v>324</v>
      </c>
      <c r="L32" s="53">
        <v>13500</v>
      </c>
      <c r="M32" s="181"/>
      <c r="N32" s="184"/>
      <c r="O32" s="180"/>
      <c r="P32" s="180"/>
      <c r="Q32" s="181"/>
      <c r="R32" s="181"/>
      <c r="S32" s="181"/>
      <c r="T32"/>
      <c r="W32"/>
    </row>
    <row r="33" spans="1:23" s="503" customFormat="1" ht="18" customHeight="1" thickBot="1" x14ac:dyDescent="0.4">
      <c r="A33"/>
      <c r="B33" s="1323" t="s">
        <v>99</v>
      </c>
      <c r="C33" s="1324"/>
      <c r="D33" s="1324"/>
      <c r="E33" s="304">
        <f>SUM(E22:E31)</f>
        <v>65560</v>
      </c>
      <c r="F33" s="423"/>
      <c r="G33"/>
      <c r="H33"/>
      <c r="I33" s="58" t="s">
        <v>10</v>
      </c>
      <c r="J33" s="64">
        <f>169.2*1.2</f>
        <v>203.04</v>
      </c>
      <c r="K33" s="50">
        <f t="shared" si="3"/>
        <v>304.56</v>
      </c>
      <c r="L33" s="53">
        <v>11000</v>
      </c>
      <c r="M33" s="181"/>
      <c r="N33" s="184"/>
      <c r="O33" s="180"/>
      <c r="P33" s="180"/>
      <c r="Q33" s="181"/>
      <c r="R33" s="181"/>
      <c r="S33" s="181"/>
      <c r="T33"/>
      <c r="W33"/>
    </row>
    <row r="34" spans="1:23" ht="18" customHeight="1" x14ac:dyDescent="0.35">
      <c r="A34" s="503"/>
      <c r="B34" s="1401" t="s">
        <v>79</v>
      </c>
      <c r="C34" s="1402"/>
      <c r="D34" s="1403"/>
      <c r="E34" s="470">
        <v>990</v>
      </c>
      <c r="F34" s="413"/>
      <c r="G34" s="181"/>
      <c r="I34" s="59" t="s">
        <v>16</v>
      </c>
      <c r="J34" s="64">
        <f>156*1.2</f>
        <v>187.2</v>
      </c>
      <c r="K34" s="50">
        <f t="shared" si="3"/>
        <v>280.79999999999995</v>
      </c>
      <c r="L34" s="53">
        <v>11000</v>
      </c>
      <c r="M34" s="181"/>
      <c r="N34" s="185"/>
      <c r="O34" s="180"/>
      <c r="P34" s="180"/>
      <c r="Q34" s="181"/>
      <c r="R34" s="181"/>
      <c r="S34" s="181"/>
      <c r="T34" s="503"/>
      <c r="V34" s="503"/>
    </row>
    <row r="35" spans="1:23" ht="18" customHeight="1" x14ac:dyDescent="0.35">
      <c r="A35" s="503"/>
      <c r="B35" s="1386" t="s">
        <v>19</v>
      </c>
      <c r="C35" s="1387"/>
      <c r="D35" s="1387"/>
      <c r="E35" s="207"/>
      <c r="F35" s="413"/>
      <c r="G35" s="181"/>
      <c r="I35" s="59" t="s">
        <v>174</v>
      </c>
      <c r="J35" s="64">
        <v>165</v>
      </c>
      <c r="K35" s="50">
        <f t="shared" si="3"/>
        <v>247.5</v>
      </c>
      <c r="L35" s="53">
        <v>8000</v>
      </c>
      <c r="M35" s="181"/>
      <c r="N35" s="185"/>
      <c r="O35" s="180"/>
      <c r="P35" s="180"/>
      <c r="Q35" s="181"/>
      <c r="R35" s="181"/>
      <c r="S35" s="181"/>
      <c r="T35" s="503"/>
      <c r="V35" s="503"/>
    </row>
    <row r="36" spans="1:23" ht="18" customHeight="1" thickBot="1" x14ac:dyDescent="0.4">
      <c r="A36" s="503"/>
      <c r="B36" s="1386" t="s">
        <v>237</v>
      </c>
      <c r="C36" s="1387"/>
      <c r="D36" s="1387"/>
      <c r="E36" s="207"/>
      <c r="F36" s="413"/>
      <c r="G36" s="409"/>
      <c r="I36" s="60" t="s">
        <v>184</v>
      </c>
      <c r="J36" s="65">
        <f>132*1.2</f>
        <v>158.4</v>
      </c>
      <c r="K36" s="56">
        <f t="shared" si="3"/>
        <v>237.60000000000002</v>
      </c>
      <c r="L36" s="55">
        <v>8000</v>
      </c>
      <c r="M36" s="181"/>
      <c r="N36" s="189"/>
      <c r="O36" s="180"/>
      <c r="P36" s="180"/>
      <c r="Q36" s="181"/>
      <c r="R36" s="181"/>
      <c r="S36" s="181"/>
    </row>
    <row r="37" spans="1:23" ht="18" customHeight="1" thickBot="1" x14ac:dyDescent="0.4">
      <c r="A37" s="503"/>
      <c r="B37" s="1386" t="s">
        <v>234</v>
      </c>
      <c r="C37" s="1387"/>
      <c r="D37" s="1387"/>
      <c r="E37" s="207"/>
      <c r="F37" s="413"/>
      <c r="G37" s="409"/>
      <c r="I37" s="60" t="s">
        <v>245</v>
      </c>
      <c r="J37" s="65">
        <f>+J36</f>
        <v>158.4</v>
      </c>
      <c r="K37" s="56">
        <f t="shared" si="3"/>
        <v>237.60000000000002</v>
      </c>
      <c r="L37" s="55">
        <v>8000</v>
      </c>
      <c r="M37" s="181"/>
      <c r="N37" s="189"/>
      <c r="O37" s="180"/>
      <c r="P37" s="180"/>
      <c r="Q37" s="181"/>
      <c r="R37" s="181"/>
      <c r="S37" s="181"/>
    </row>
    <row r="38" spans="1:23" ht="18" customHeight="1" thickBot="1" x14ac:dyDescent="0.4">
      <c r="B38" s="1296" t="s">
        <v>11</v>
      </c>
      <c r="C38" s="1297"/>
      <c r="D38" s="1298"/>
      <c r="E38" s="201">
        <f>+E33-E34-E35-E36-E37</f>
        <v>64570</v>
      </c>
      <c r="F38" s="155"/>
      <c r="G38" s="409"/>
      <c r="H38" s="115"/>
      <c r="N38" s="189"/>
      <c r="O38" s="180"/>
      <c r="P38" s="180"/>
      <c r="Q38" s="181"/>
      <c r="R38" s="181"/>
      <c r="S38" s="181"/>
    </row>
    <row r="39" spans="1:23" ht="19.5" customHeight="1" thickBot="1" x14ac:dyDescent="0.4">
      <c r="F39" s="155"/>
      <c r="G39" s="409"/>
      <c r="H39" s="115"/>
      <c r="N39" s="185"/>
      <c r="O39" s="181"/>
      <c r="P39" s="181"/>
      <c r="Q39" s="181"/>
      <c r="R39" s="181"/>
    </row>
    <row r="40" spans="1:23" ht="18" customHeight="1" thickBot="1" x14ac:dyDescent="0.5">
      <c r="B40" s="1315" t="s">
        <v>16</v>
      </c>
      <c r="C40" s="1316"/>
      <c r="D40" s="1316"/>
      <c r="E40" s="1317"/>
      <c r="F40" s="155"/>
      <c r="G40" s="409"/>
      <c r="H40" s="115"/>
      <c r="N40" s="185"/>
      <c r="O40" s="181"/>
      <c r="P40" s="181"/>
      <c r="Q40" s="181"/>
      <c r="R40" s="181"/>
    </row>
    <row r="41" spans="1:23" ht="18" customHeight="1" x14ac:dyDescent="0.35">
      <c r="B41" s="169" t="s">
        <v>7</v>
      </c>
      <c r="C41" s="266" t="s">
        <v>8</v>
      </c>
      <c r="D41" s="209" t="s">
        <v>4</v>
      </c>
      <c r="E41" s="210" t="s">
        <v>9</v>
      </c>
      <c r="F41" s="155"/>
      <c r="N41" s="185"/>
      <c r="O41" s="181"/>
      <c r="P41" s="181"/>
      <c r="Q41" s="184"/>
    </row>
    <row r="42" spans="1:23" ht="18" customHeight="1" thickBot="1" x14ac:dyDescent="0.4">
      <c r="B42" s="165" t="s">
        <v>3</v>
      </c>
      <c r="C42" s="267">
        <v>97</v>
      </c>
      <c r="D42" s="211">
        <v>187.2</v>
      </c>
      <c r="E42" s="212">
        <f>C42*D42</f>
        <v>18158.399999999998</v>
      </c>
      <c r="F42" s="155"/>
      <c r="N42" s="182"/>
    </row>
    <row r="43" spans="1:23" ht="18" customHeight="1" thickBot="1" x14ac:dyDescent="0.4">
      <c r="B43" s="10" t="s">
        <v>111</v>
      </c>
      <c r="C43" s="267">
        <f>+K22</f>
        <v>4</v>
      </c>
      <c r="D43" s="211">
        <v>187.2</v>
      </c>
      <c r="E43" s="212">
        <f>+C43*D43</f>
        <v>748.8</v>
      </c>
      <c r="F43" s="155"/>
      <c r="H43" s="1273" t="s">
        <v>15</v>
      </c>
      <c r="I43" s="1274"/>
      <c r="J43" s="1274"/>
      <c r="K43" s="1275"/>
      <c r="L43" s="503"/>
      <c r="M43" s="503"/>
      <c r="N43" s="176"/>
      <c r="Q43" s="503"/>
      <c r="R43" s="503"/>
      <c r="S43" s="503"/>
    </row>
    <row r="44" spans="1:23" ht="18" customHeight="1" x14ac:dyDescent="0.35">
      <c r="B44" s="10" t="s">
        <v>256</v>
      </c>
      <c r="C44" s="267">
        <v>112</v>
      </c>
      <c r="D44" s="211">
        <f>+D42</f>
        <v>187.2</v>
      </c>
      <c r="E44" s="212"/>
      <c r="F44" s="155"/>
      <c r="H44" s="16" t="s">
        <v>7</v>
      </c>
      <c r="I44" s="257" t="s">
        <v>8</v>
      </c>
      <c r="J44" s="192" t="s">
        <v>4</v>
      </c>
      <c r="K44" s="193" t="s">
        <v>9</v>
      </c>
      <c r="L44" s="503"/>
      <c r="M44" s="503"/>
      <c r="N44" s="176"/>
      <c r="Q44" s="503"/>
      <c r="R44" s="503"/>
      <c r="S44" s="503"/>
    </row>
    <row r="45" spans="1:23" ht="18" customHeight="1" x14ac:dyDescent="0.35">
      <c r="B45" s="10" t="s">
        <v>248</v>
      </c>
      <c r="C45" s="506"/>
      <c r="D45" s="506"/>
      <c r="E45" s="506"/>
      <c r="H45" s="10" t="s">
        <v>3</v>
      </c>
      <c r="I45" s="315">
        <v>71</v>
      </c>
      <c r="J45" s="194">
        <v>232.8</v>
      </c>
      <c r="K45" s="196">
        <f>I45*J45</f>
        <v>16528.8</v>
      </c>
      <c r="L45" s="503">
        <f>7*9</f>
        <v>63</v>
      </c>
      <c r="M45" s="503"/>
      <c r="N45" s="176"/>
      <c r="Q45" s="503"/>
      <c r="R45" s="503"/>
      <c r="S45" s="503"/>
    </row>
    <row r="46" spans="1:23" ht="18" customHeight="1" x14ac:dyDescent="0.35">
      <c r="B46" s="10" t="s">
        <v>213</v>
      </c>
      <c r="C46" s="267"/>
      <c r="D46" s="211">
        <f>-D42</f>
        <v>-187.2</v>
      </c>
      <c r="E46" s="212">
        <f>+C46*D46</f>
        <v>0</v>
      </c>
      <c r="H46" s="10" t="s">
        <v>111</v>
      </c>
      <c r="I46" s="258">
        <f>+Q45</f>
        <v>0</v>
      </c>
      <c r="J46" s="194">
        <f>+J45</f>
        <v>232.8</v>
      </c>
      <c r="K46" s="196">
        <f>+I46*J46</f>
        <v>0</v>
      </c>
      <c r="L46" s="503">
        <v>8</v>
      </c>
      <c r="M46" s="503"/>
      <c r="N46" s="176"/>
      <c r="Q46" s="503"/>
      <c r="R46" s="503"/>
      <c r="S46" s="503"/>
      <c r="W46" s="4"/>
    </row>
    <row r="47" spans="1:23" ht="18" customHeight="1" x14ac:dyDescent="0.35">
      <c r="B47" s="10" t="s">
        <v>196</v>
      </c>
      <c r="C47" s="267"/>
      <c r="D47" s="211">
        <v>5000</v>
      </c>
      <c r="E47" s="212">
        <v>5000</v>
      </c>
      <c r="H47" s="10" t="s">
        <v>2</v>
      </c>
      <c r="I47" s="258">
        <v>112</v>
      </c>
      <c r="J47" s="194">
        <f>+J45</f>
        <v>232.8</v>
      </c>
      <c r="K47" s="196">
        <f>+I47*J47</f>
        <v>26073.600000000002</v>
      </c>
      <c r="L47" s="503"/>
      <c r="M47" s="503"/>
      <c r="N47" s="176"/>
      <c r="T47" s="503"/>
    </row>
    <row r="48" spans="1:23" ht="18" customHeight="1" x14ac:dyDescent="0.35">
      <c r="B48" s="10" t="s">
        <v>214</v>
      </c>
      <c r="C48" s="267"/>
      <c r="D48" s="211">
        <f>+D42</f>
        <v>187.2</v>
      </c>
      <c r="E48" s="212">
        <f>C48*D48</f>
        <v>0</v>
      </c>
      <c r="H48" s="10" t="s">
        <v>248</v>
      </c>
      <c r="I48" s="506"/>
      <c r="J48" s="506"/>
      <c r="K48" s="521"/>
      <c r="L48" s="503"/>
      <c r="M48" s="503"/>
      <c r="N48" s="176"/>
      <c r="T48" s="503"/>
    </row>
    <row r="49" spans="1:23" ht="18" customHeight="1" x14ac:dyDescent="0.35">
      <c r="A49" s="106"/>
      <c r="B49" s="10" t="s">
        <v>190</v>
      </c>
      <c r="C49" s="267"/>
      <c r="D49" s="211">
        <f>+D42*2</f>
        <v>374.4</v>
      </c>
      <c r="E49" s="212">
        <f>C49*D49</f>
        <v>0</v>
      </c>
      <c r="G49" s="503"/>
      <c r="H49" s="10" t="s">
        <v>213</v>
      </c>
      <c r="I49" s="258"/>
      <c r="J49" s="194">
        <f>-J45</f>
        <v>-232.8</v>
      </c>
      <c r="K49" s="196">
        <f>I49*J49</f>
        <v>0</v>
      </c>
      <c r="N49" s="176"/>
      <c r="O49" s="503"/>
      <c r="P49" s="503"/>
      <c r="Q49" s="503"/>
      <c r="R49" s="503"/>
      <c r="S49" s="503"/>
      <c r="W49" s="503"/>
    </row>
    <row r="50" spans="1:23" ht="18" customHeight="1" x14ac:dyDescent="0.35">
      <c r="A50" s="155"/>
      <c r="B50" s="10" t="s">
        <v>195</v>
      </c>
      <c r="C50" s="267"/>
      <c r="D50" s="211">
        <f>+D42*1.5</f>
        <v>280.79999999999995</v>
      </c>
      <c r="E50" s="212">
        <f>C50*D50</f>
        <v>0</v>
      </c>
      <c r="G50" s="503"/>
      <c r="H50" s="10" t="s">
        <v>257</v>
      </c>
      <c r="I50" s="258"/>
      <c r="J50" s="194"/>
      <c r="K50" s="196">
        <v>2500</v>
      </c>
      <c r="N50" s="500"/>
      <c r="O50" s="180"/>
      <c r="P50" s="180"/>
      <c r="Q50" s="181"/>
      <c r="R50" s="187"/>
      <c r="S50" s="188"/>
      <c r="T50" s="503"/>
      <c r="W50" s="503"/>
    </row>
    <row r="51" spans="1:23" ht="18" customHeight="1" x14ac:dyDescent="0.35">
      <c r="A51" s="155"/>
      <c r="B51" s="10" t="s">
        <v>6</v>
      </c>
      <c r="C51" s="267">
        <v>11000</v>
      </c>
      <c r="D51" s="211"/>
      <c r="E51" s="212">
        <f>+C51</f>
        <v>11000</v>
      </c>
      <c r="F51" s="180"/>
      <c r="H51" s="10" t="s">
        <v>214</v>
      </c>
      <c r="I51" s="258">
        <v>44</v>
      </c>
      <c r="J51" s="194">
        <v>232.8</v>
      </c>
      <c r="K51" s="196">
        <f>+I51*J51</f>
        <v>10243.200000000001</v>
      </c>
      <c r="N51" s="176"/>
      <c r="O51" s="180"/>
      <c r="P51" s="180"/>
      <c r="Q51" s="181"/>
      <c r="R51" s="181"/>
      <c r="S51" s="184"/>
      <c r="W51" s="503"/>
    </row>
    <row r="52" spans="1:23" s="503" customFormat="1" ht="18" customHeight="1" thickBot="1" x14ac:dyDescent="0.5">
      <c r="A52" s="4"/>
      <c r="B52" s="10" t="s">
        <v>235</v>
      </c>
      <c r="C52" s="258"/>
      <c r="D52" s="194"/>
      <c r="E52" s="196">
        <f>+C52</f>
        <v>0</v>
      </c>
      <c r="F52" s="412"/>
      <c r="G52"/>
      <c r="H52" s="10" t="s">
        <v>190</v>
      </c>
      <c r="I52" s="258"/>
      <c r="J52" s="194">
        <f>+J45*2</f>
        <v>465.6</v>
      </c>
      <c r="K52" s="196">
        <f>I52*J52</f>
        <v>0</v>
      </c>
      <c r="L52" s="181"/>
      <c r="M52" s="181"/>
      <c r="N52" s="184"/>
      <c r="O52" s="180"/>
      <c r="P52" s="180"/>
      <c r="Q52" s="181"/>
      <c r="R52" s="181"/>
      <c r="S52" s="181"/>
      <c r="T52"/>
      <c r="W52"/>
    </row>
    <row r="53" spans="1:23" s="503" customFormat="1" ht="18" customHeight="1" thickBot="1" x14ac:dyDescent="0.4">
      <c r="A53" s="155"/>
      <c r="B53" s="1323" t="s">
        <v>99</v>
      </c>
      <c r="C53" s="1324"/>
      <c r="D53" s="1324"/>
      <c r="E53" s="304">
        <f>SUM(E42:E52)</f>
        <v>34907.199999999997</v>
      </c>
      <c r="F53" s="155"/>
      <c r="G53"/>
      <c r="H53" s="10" t="s">
        <v>195</v>
      </c>
      <c r="I53" s="315"/>
      <c r="J53" s="194">
        <f>+J45*1.5</f>
        <v>349.20000000000005</v>
      </c>
      <c r="K53" s="196">
        <f>I53*J53</f>
        <v>0</v>
      </c>
      <c r="L53"/>
      <c r="M53"/>
      <c r="N53" s="176"/>
      <c r="O53" s="180"/>
      <c r="P53" s="180"/>
      <c r="Q53" s="181"/>
      <c r="R53" s="181"/>
      <c r="S53" s="184"/>
      <c r="T53"/>
      <c r="V53"/>
      <c r="W53"/>
    </row>
    <row r="54" spans="1:23" s="503" customFormat="1" ht="18" customHeight="1" x14ac:dyDescent="0.35">
      <c r="A54" s="155"/>
      <c r="B54" s="1396" t="s">
        <v>19</v>
      </c>
      <c r="C54" s="1397"/>
      <c r="D54" s="1398"/>
      <c r="E54" s="214">
        <v>10000</v>
      </c>
      <c r="F54" s="155"/>
      <c r="G54"/>
      <c r="H54" s="10" t="s">
        <v>6</v>
      </c>
      <c r="I54" s="258">
        <v>16500</v>
      </c>
      <c r="J54" s="194"/>
      <c r="K54" s="196">
        <f>+I54</f>
        <v>16500</v>
      </c>
      <c r="L54"/>
      <c r="M54"/>
      <c r="N54" s="176"/>
      <c r="O54" s="180"/>
      <c r="P54" s="180"/>
      <c r="Q54" s="181"/>
      <c r="R54" s="181"/>
      <c r="S54" s="184"/>
      <c r="T54"/>
      <c r="V54"/>
      <c r="W54"/>
    </row>
    <row r="55" spans="1:23" s="503" customFormat="1" ht="18" customHeight="1" thickBot="1" x14ac:dyDescent="0.4">
      <c r="A55" s="155"/>
      <c r="B55" s="512" t="s">
        <v>18</v>
      </c>
      <c r="C55" s="513"/>
      <c r="D55" s="513"/>
      <c r="E55" s="214"/>
      <c r="F55" s="155"/>
      <c r="G55"/>
      <c r="H55" s="10" t="s">
        <v>235</v>
      </c>
      <c r="I55" s="258"/>
      <c r="J55" s="194"/>
      <c r="K55" s="196">
        <f>+I55</f>
        <v>0</v>
      </c>
      <c r="L55"/>
      <c r="M55"/>
      <c r="N55" s="176"/>
      <c r="O55" s="180"/>
      <c r="P55" s="180"/>
      <c r="Q55" s="181"/>
      <c r="R55" s="181"/>
      <c r="S55" s="184"/>
      <c r="T55"/>
      <c r="V55"/>
      <c r="W55"/>
    </row>
    <row r="56" spans="1:23" s="503" customFormat="1" ht="18" customHeight="1" thickBot="1" x14ac:dyDescent="0.4">
      <c r="A56" s="155"/>
      <c r="B56" s="512" t="s">
        <v>233</v>
      </c>
      <c r="C56" s="513"/>
      <c r="D56" s="513"/>
      <c r="E56" s="214" t="s">
        <v>247</v>
      </c>
      <c r="F56" s="155"/>
      <c r="G56"/>
      <c r="H56" s="1323" t="s">
        <v>99</v>
      </c>
      <c r="I56" s="1324"/>
      <c r="J56" s="1324"/>
      <c r="K56" s="304">
        <f>SUM(K45:K54)</f>
        <v>71845.600000000006</v>
      </c>
      <c r="L56"/>
      <c r="M56"/>
      <c r="N56" s="176"/>
      <c r="O56" s="180"/>
      <c r="P56" s="180"/>
      <c r="Q56" s="181"/>
      <c r="R56" s="181"/>
      <c r="S56" s="184"/>
      <c r="T56"/>
      <c r="V56"/>
      <c r="W56"/>
    </row>
    <row r="57" spans="1:23" s="503" customFormat="1" ht="18" customHeight="1" thickBot="1" x14ac:dyDescent="0.4">
      <c r="A57" s="155"/>
      <c r="B57" s="1399" t="s">
        <v>234</v>
      </c>
      <c r="C57" s="1400"/>
      <c r="D57" s="1400"/>
      <c r="E57" s="495"/>
      <c r="F57" s="155"/>
      <c r="G57"/>
      <c r="H57" s="1401" t="s">
        <v>79</v>
      </c>
      <c r="I57" s="1402"/>
      <c r="J57" s="1403"/>
      <c r="K57" s="470">
        <v>990</v>
      </c>
      <c r="L57"/>
      <c r="M57"/>
      <c r="N57" s="176"/>
      <c r="O57" s="180"/>
      <c r="P57" s="180"/>
      <c r="Q57" s="181"/>
      <c r="R57" s="181"/>
      <c r="S57" s="184"/>
      <c r="T57"/>
      <c r="U57"/>
      <c r="V57"/>
      <c r="W57"/>
    </row>
    <row r="58" spans="1:23" ht="18" customHeight="1" thickBot="1" x14ac:dyDescent="0.4">
      <c r="A58" s="156"/>
      <c r="B58" s="1355" t="s">
        <v>11</v>
      </c>
      <c r="C58" s="1356"/>
      <c r="D58" s="1357"/>
      <c r="E58" s="216">
        <f>+E53-E54-E57</f>
        <v>24907.199999999997</v>
      </c>
      <c r="F58" s="106"/>
      <c r="H58" s="1386" t="s">
        <v>19</v>
      </c>
      <c r="I58" s="1387"/>
      <c r="J58" s="1387"/>
      <c r="K58" s="207"/>
      <c r="N58" s="183"/>
      <c r="O58" s="180"/>
      <c r="P58" s="180"/>
      <c r="Q58" s="181"/>
      <c r="R58" s="181"/>
      <c r="S58" s="184"/>
    </row>
    <row r="59" spans="1:23" ht="7.5" customHeight="1" thickBot="1" x14ac:dyDescent="0.4">
      <c r="A59" s="155"/>
      <c r="F59" s="106"/>
      <c r="H59" s="1386" t="s">
        <v>237</v>
      </c>
      <c r="I59" s="1387"/>
      <c r="J59" s="1387"/>
      <c r="K59" s="207"/>
      <c r="N59" s="176"/>
      <c r="O59" s="191"/>
      <c r="P59" s="191"/>
      <c r="Q59" s="181"/>
      <c r="R59" s="181"/>
      <c r="S59" s="184"/>
      <c r="T59" s="503"/>
    </row>
    <row r="60" spans="1:23" ht="15" customHeight="1" thickBot="1" x14ac:dyDescent="0.4">
      <c r="A60" s="155"/>
      <c r="B60" s="1276" t="s">
        <v>0</v>
      </c>
      <c r="C60" s="1277"/>
      <c r="D60" s="1277"/>
      <c r="E60" s="1278"/>
      <c r="F60" s="106"/>
      <c r="H60" s="1386" t="s">
        <v>234</v>
      </c>
      <c r="I60" s="1387"/>
      <c r="J60" s="1387"/>
      <c r="K60" s="207"/>
      <c r="N60" s="176"/>
      <c r="O60" s="180"/>
      <c r="P60" s="180"/>
      <c r="Q60" s="181"/>
      <c r="R60" s="181"/>
      <c r="S60" s="184"/>
      <c r="T60" s="503"/>
    </row>
    <row r="61" spans="1:23" ht="15" customHeight="1" thickBot="1" x14ac:dyDescent="0.4">
      <c r="A61" s="155"/>
      <c r="B61" s="8" t="s">
        <v>7</v>
      </c>
      <c r="C61" s="270" t="s">
        <v>8</v>
      </c>
      <c r="D61" s="217" t="s">
        <v>4</v>
      </c>
      <c r="E61" s="218" t="s">
        <v>9</v>
      </c>
      <c r="F61" s="106"/>
      <c r="H61" s="1296" t="s">
        <v>11</v>
      </c>
      <c r="I61" s="1297"/>
      <c r="J61" s="1298"/>
      <c r="K61" s="201">
        <f>+K56-K57-K58-K59-K60</f>
        <v>70855.600000000006</v>
      </c>
      <c r="L61" s="503"/>
      <c r="M61" s="503"/>
      <c r="N61" s="176"/>
      <c r="O61" s="180"/>
      <c r="P61" s="180"/>
      <c r="Q61" s="181"/>
      <c r="R61" s="181"/>
      <c r="S61" s="184"/>
      <c r="T61" s="503"/>
    </row>
    <row r="62" spans="1:23" ht="15" customHeight="1" x14ac:dyDescent="0.35">
      <c r="A62" s="155"/>
      <c r="B62" s="10" t="s">
        <v>253</v>
      </c>
      <c r="C62" s="258">
        <v>158</v>
      </c>
      <c r="D62" s="194">
        <v>232.8</v>
      </c>
      <c r="E62" s="196">
        <f>C62*D62</f>
        <v>36782.400000000001</v>
      </c>
      <c r="F62" s="106"/>
      <c r="N62" s="176"/>
      <c r="O62" s="180"/>
      <c r="P62" s="180"/>
      <c r="Q62" s="181"/>
      <c r="R62" s="181"/>
      <c r="S62" s="184"/>
    </row>
    <row r="63" spans="1:23" ht="15" customHeight="1" x14ac:dyDescent="0.35">
      <c r="A63" s="155"/>
      <c r="B63" s="10" t="s">
        <v>111</v>
      </c>
      <c r="C63" s="258">
        <f>+K22</f>
        <v>4</v>
      </c>
      <c r="D63" s="194">
        <f>+D62</f>
        <v>232.8</v>
      </c>
      <c r="E63" s="196">
        <f>C63*D63</f>
        <v>931.2</v>
      </c>
      <c r="F63" s="106"/>
      <c r="K63">
        <v>-64570</v>
      </c>
      <c r="N63" s="176"/>
      <c r="O63" s="180"/>
      <c r="P63" s="180"/>
      <c r="Q63" s="181"/>
      <c r="R63" s="181"/>
      <c r="S63" s="184"/>
    </row>
    <row r="64" spans="1:23" ht="15" customHeight="1" x14ac:dyDescent="0.35">
      <c r="A64" s="155"/>
      <c r="B64" s="10" t="s">
        <v>254</v>
      </c>
      <c r="C64" s="258"/>
      <c r="D64" s="194">
        <v>232.8</v>
      </c>
      <c r="E64" s="196">
        <f>C64*D64</f>
        <v>0</v>
      </c>
      <c r="F64" s="106"/>
      <c r="N64" s="176"/>
      <c r="O64" s="180"/>
      <c r="P64" s="180"/>
      <c r="Q64" s="181"/>
      <c r="R64" s="181"/>
      <c r="S64" s="184"/>
    </row>
    <row r="65" spans="1:23" ht="15" customHeight="1" x14ac:dyDescent="0.35">
      <c r="A65" s="155"/>
      <c r="B65" s="10" t="s">
        <v>1</v>
      </c>
      <c r="C65" s="506"/>
      <c r="D65" s="506"/>
      <c r="E65" s="521"/>
      <c r="F65" s="106"/>
      <c r="G65" s="503"/>
      <c r="N65" s="176"/>
      <c r="O65" s="180"/>
      <c r="P65" s="180"/>
      <c r="Q65" s="181"/>
      <c r="R65" s="181"/>
      <c r="S65" s="184"/>
    </row>
    <row r="66" spans="1:23" ht="15" customHeight="1" x14ac:dyDescent="0.35">
      <c r="A66" s="155"/>
      <c r="B66" s="10" t="s">
        <v>213</v>
      </c>
      <c r="C66" s="258">
        <v>0</v>
      </c>
      <c r="D66" s="194"/>
      <c r="E66" s="196">
        <v>0</v>
      </c>
      <c r="F66" s="106"/>
      <c r="G66" s="503"/>
      <c r="N66" s="176"/>
      <c r="O66" s="180"/>
      <c r="P66" s="180"/>
      <c r="Q66" s="181"/>
      <c r="R66" s="181"/>
      <c r="S66" s="184"/>
    </row>
    <row r="67" spans="1:23" ht="15" customHeight="1" x14ac:dyDescent="0.35">
      <c r="A67" s="155"/>
      <c r="B67" s="10" t="s">
        <v>257</v>
      </c>
      <c r="C67" s="258"/>
      <c r="D67" s="194"/>
      <c r="E67" s="196">
        <v>2500</v>
      </c>
      <c r="F67" s="106"/>
      <c r="G67" s="503"/>
      <c r="N67" s="176"/>
      <c r="O67" s="180"/>
      <c r="P67" s="180"/>
      <c r="Q67" s="181"/>
      <c r="R67" s="181"/>
      <c r="S67" s="184"/>
    </row>
    <row r="68" spans="1:23" ht="15" customHeight="1" x14ac:dyDescent="0.35">
      <c r="A68" s="155"/>
      <c r="B68" s="10" t="s">
        <v>214</v>
      </c>
      <c r="C68" s="258">
        <v>24</v>
      </c>
      <c r="D68" s="194">
        <f>+D62</f>
        <v>232.8</v>
      </c>
      <c r="E68" s="196">
        <f>+C68*D68</f>
        <v>5587.2000000000007</v>
      </c>
      <c r="F68" s="106" t="s">
        <v>252</v>
      </c>
      <c r="N68" s="176"/>
      <c r="O68" s="180"/>
      <c r="P68" s="180"/>
      <c r="Q68" s="181"/>
      <c r="R68" s="181"/>
      <c r="S68" s="184"/>
    </row>
    <row r="69" spans="1:23" ht="15" customHeight="1" x14ac:dyDescent="0.35">
      <c r="B69" s="10" t="s">
        <v>190</v>
      </c>
      <c r="C69" s="258"/>
      <c r="D69" s="194">
        <f>+D62*2</f>
        <v>465.6</v>
      </c>
      <c r="E69" s="196">
        <f>C69*D69</f>
        <v>0</v>
      </c>
      <c r="F69" s="106"/>
      <c r="N69" s="176"/>
      <c r="O69" s="500"/>
      <c r="P69" s="500"/>
      <c r="Q69" s="181"/>
      <c r="R69" s="181"/>
      <c r="S69" s="184"/>
    </row>
    <row r="70" spans="1:23" ht="15" customHeight="1" x14ac:dyDescent="0.35">
      <c r="B70" s="10" t="s">
        <v>195</v>
      </c>
      <c r="C70" s="315">
        <v>3</v>
      </c>
      <c r="D70" s="194">
        <f>+D62*1.5</f>
        <v>349.20000000000005</v>
      </c>
      <c r="E70" s="196">
        <f>C70*D70</f>
        <v>1047.6000000000001</v>
      </c>
      <c r="F70" s="106"/>
      <c r="N70" s="176"/>
      <c r="O70" s="176"/>
      <c r="P70" s="176"/>
      <c r="Q70" s="181"/>
      <c r="R70" s="181"/>
      <c r="S70" s="184"/>
      <c r="U70" s="503"/>
    </row>
    <row r="71" spans="1:23" s="503" customFormat="1" ht="15" customHeight="1" thickBot="1" x14ac:dyDescent="0.4">
      <c r="A71"/>
      <c r="B71" s="532" t="s">
        <v>6</v>
      </c>
      <c r="C71" s="272">
        <v>16500</v>
      </c>
      <c r="D71" s="220"/>
      <c r="E71" s="533">
        <f>+C71</f>
        <v>16500</v>
      </c>
      <c r="F71" s="317"/>
      <c r="G71"/>
      <c r="H71"/>
      <c r="I71"/>
      <c r="J71"/>
      <c r="K71"/>
      <c r="L71"/>
      <c r="M71"/>
      <c r="N71" s="176"/>
      <c r="O71" s="176"/>
      <c r="P71" s="176"/>
      <c r="Q71" s="176"/>
      <c r="R71" s="176"/>
      <c r="S71" s="176"/>
      <c r="T71"/>
      <c r="U71"/>
      <c r="V71"/>
      <c r="W71"/>
    </row>
    <row r="72" spans="1:23" ht="15" customHeight="1" thickBot="1" x14ac:dyDescent="0.4">
      <c r="B72" s="1323" t="s">
        <v>99</v>
      </c>
      <c r="C72" s="1324"/>
      <c r="D72" s="1324"/>
      <c r="E72" s="304">
        <f>+E62+E63+E64+E66+E67+E68+E69+E70+E71</f>
        <v>63348.4</v>
      </c>
      <c r="F72" s="539"/>
      <c r="O72" s="183"/>
      <c r="P72" s="183"/>
      <c r="Q72" s="176"/>
      <c r="R72" s="176"/>
      <c r="S72" s="176"/>
      <c r="U72" s="503"/>
    </row>
    <row r="73" spans="1:23" s="503" customFormat="1" ht="15" customHeight="1" x14ac:dyDescent="0.35">
      <c r="B73" s="511" t="s">
        <v>19</v>
      </c>
      <c r="C73" s="510"/>
      <c r="D73" s="510"/>
      <c r="E73" s="470"/>
      <c r="F73" s="389"/>
      <c r="G73"/>
      <c r="H73"/>
      <c r="I73"/>
      <c r="J73"/>
      <c r="K73"/>
      <c r="L73"/>
      <c r="M73"/>
      <c r="N73"/>
      <c r="O73" s="183"/>
      <c r="P73" s="183"/>
      <c r="Q73" s="176"/>
      <c r="R73" s="176"/>
      <c r="S73" s="176"/>
      <c r="T73"/>
      <c r="V73"/>
      <c r="W73"/>
    </row>
    <row r="74" spans="1:23" s="503" customFormat="1" ht="15" customHeight="1" thickBot="1" x14ac:dyDescent="0.4">
      <c r="A74"/>
      <c r="B74" s="1391" t="s">
        <v>18</v>
      </c>
      <c r="C74" s="1392"/>
      <c r="D74" s="1393"/>
      <c r="E74" s="207">
        <v>30064.45</v>
      </c>
      <c r="F74" s="394"/>
      <c r="G74"/>
      <c r="H74"/>
      <c r="I74"/>
      <c r="J74"/>
      <c r="K74"/>
      <c r="L74"/>
      <c r="M74"/>
      <c r="N74"/>
      <c r="O74" s="176"/>
      <c r="P74" s="176"/>
      <c r="Q74" s="183"/>
      <c r="R74" s="183"/>
      <c r="S74" s="183"/>
      <c r="T74"/>
      <c r="V74"/>
    </row>
    <row r="75" spans="1:23" s="503" customFormat="1" ht="15" customHeight="1" thickBot="1" x14ac:dyDescent="0.4">
      <c r="B75" s="1296" t="s">
        <v>11</v>
      </c>
      <c r="C75" s="1297"/>
      <c r="D75" s="1298"/>
      <c r="E75" s="201">
        <f>+E72-E74</f>
        <v>33283.949999999997</v>
      </c>
      <c r="F75" s="114"/>
      <c r="G75"/>
      <c r="H75"/>
      <c r="I75"/>
      <c r="J75"/>
      <c r="K75"/>
      <c r="L75"/>
      <c r="M75"/>
      <c r="N75"/>
      <c r="O75" s="176"/>
      <c r="P75" s="176"/>
      <c r="Q75" s="176"/>
      <c r="R75" s="176"/>
      <c r="S75" s="176"/>
      <c r="T75"/>
      <c r="V75"/>
    </row>
    <row r="76" spans="1:23" s="503" customFormat="1" ht="8.25" customHeight="1" thickBot="1" x14ac:dyDescent="0.4">
      <c r="A76"/>
      <c r="B76"/>
      <c r="C76" s="261"/>
      <c r="D76" s="202"/>
      <c r="E76" s="203"/>
      <c r="F76" s="49"/>
      <c r="G76"/>
      <c r="H76"/>
      <c r="I76"/>
      <c r="J76"/>
      <c r="K76"/>
      <c r="L76"/>
      <c r="M76"/>
      <c r="N76"/>
      <c r="O76" s="176"/>
      <c r="P76" s="176"/>
      <c r="Q76" s="176"/>
      <c r="R76" s="176"/>
      <c r="S76" s="176"/>
      <c r="U76"/>
      <c r="V76"/>
      <c r="W76"/>
    </row>
    <row r="77" spans="1:23" ht="15" customHeight="1" x14ac:dyDescent="0.35">
      <c r="B77" s="1276" t="s">
        <v>28</v>
      </c>
      <c r="C77" s="1277"/>
      <c r="D77" s="1277"/>
      <c r="E77" s="1278"/>
      <c r="F77" s="49"/>
      <c r="O77" s="176"/>
      <c r="P77" s="176"/>
      <c r="Q77" s="176"/>
      <c r="R77" s="176"/>
      <c r="S77" s="176"/>
    </row>
    <row r="78" spans="1:23" ht="15" customHeight="1" x14ac:dyDescent="0.35">
      <c r="B78" s="8" t="s">
        <v>7</v>
      </c>
      <c r="C78" s="270" t="s">
        <v>8</v>
      </c>
      <c r="D78" s="217" t="s">
        <v>4</v>
      </c>
      <c r="E78" s="218" t="s">
        <v>9</v>
      </c>
      <c r="F78" s="49"/>
      <c r="O78" s="176"/>
      <c r="P78" s="176"/>
      <c r="Q78" s="176"/>
      <c r="R78" s="176"/>
      <c r="S78" s="176"/>
    </row>
    <row r="79" spans="1:23" ht="15" customHeight="1" x14ac:dyDescent="0.35">
      <c r="B79" s="10" t="s">
        <v>3</v>
      </c>
      <c r="C79" s="315">
        <v>141</v>
      </c>
      <c r="D79" s="194">
        <v>216</v>
      </c>
      <c r="E79" s="196">
        <f>+C79*D79</f>
        <v>30456</v>
      </c>
      <c r="F79" s="49"/>
      <c r="O79" s="176"/>
      <c r="P79" s="176"/>
      <c r="Q79" s="176"/>
      <c r="R79" s="176"/>
      <c r="S79" s="176"/>
    </row>
    <row r="80" spans="1:23" ht="15" customHeight="1" x14ac:dyDescent="0.35">
      <c r="B80" s="10" t="s">
        <v>111</v>
      </c>
      <c r="C80" s="315">
        <f>+K22</f>
        <v>4</v>
      </c>
      <c r="D80" s="194">
        <f>+D79</f>
        <v>216</v>
      </c>
      <c r="E80" s="196">
        <f>+C80*D80</f>
        <v>864</v>
      </c>
      <c r="F80" s="428"/>
      <c r="O80" s="176"/>
      <c r="P80" s="176"/>
      <c r="Q80" s="176"/>
      <c r="R80" s="176"/>
      <c r="S80" s="176"/>
    </row>
    <row r="81" spans="2:23" ht="15" customHeight="1" x14ac:dyDescent="0.35">
      <c r="B81" s="10" t="s">
        <v>2</v>
      </c>
      <c r="C81" s="315"/>
      <c r="D81" s="194"/>
      <c r="E81" s="196"/>
      <c r="F81" s="428"/>
      <c r="O81" s="176"/>
      <c r="P81" s="176"/>
      <c r="Q81" s="176"/>
      <c r="R81" s="176"/>
      <c r="S81" s="176"/>
    </row>
    <row r="82" spans="2:23" ht="15" customHeight="1" x14ac:dyDescent="0.35">
      <c r="B82" s="10" t="s">
        <v>1</v>
      </c>
      <c r="C82" s="506"/>
      <c r="D82" s="506"/>
      <c r="E82" s="521"/>
      <c r="F82" s="428"/>
      <c r="O82" s="176"/>
      <c r="P82" s="176"/>
      <c r="Q82" s="176"/>
      <c r="R82" s="176"/>
      <c r="S82" s="176"/>
    </row>
    <row r="83" spans="2:23" ht="15" customHeight="1" x14ac:dyDescent="0.35">
      <c r="B83" s="10" t="s">
        <v>213</v>
      </c>
      <c r="C83" s="315"/>
      <c r="D83" s="194">
        <f>-D80</f>
        <v>-216</v>
      </c>
      <c r="E83" s="196"/>
      <c r="F83" s="428"/>
      <c r="O83" s="176"/>
      <c r="P83" s="176"/>
      <c r="Q83" s="176"/>
      <c r="R83" s="176"/>
      <c r="S83" s="176"/>
    </row>
    <row r="84" spans="2:23" ht="15" customHeight="1" x14ac:dyDescent="0.35">
      <c r="B84" s="10" t="s">
        <v>257</v>
      </c>
      <c r="C84" s="315"/>
      <c r="D84" s="194"/>
      <c r="E84" s="196">
        <v>2500</v>
      </c>
      <c r="F84" s="428"/>
      <c r="O84" s="176"/>
      <c r="P84" s="176"/>
      <c r="Q84" s="176"/>
      <c r="R84" s="176"/>
      <c r="S84" s="176"/>
    </row>
    <row r="85" spans="2:23" ht="15" customHeight="1" x14ac:dyDescent="0.35">
      <c r="B85" s="10" t="s">
        <v>214</v>
      </c>
      <c r="C85" s="315">
        <v>44</v>
      </c>
      <c r="D85" s="194">
        <f>+D79</f>
        <v>216</v>
      </c>
      <c r="E85" s="196">
        <f>+C85*D85</f>
        <v>9504</v>
      </c>
      <c r="F85" s="428" t="s">
        <v>249</v>
      </c>
      <c r="O85" s="176"/>
      <c r="P85" s="176"/>
      <c r="Q85" s="176"/>
      <c r="R85" s="176"/>
      <c r="S85" s="176"/>
    </row>
    <row r="86" spans="2:23" ht="15" customHeight="1" x14ac:dyDescent="0.35">
      <c r="B86" s="10" t="s">
        <v>190</v>
      </c>
      <c r="C86" s="315"/>
      <c r="D86" s="194">
        <f>+D79*2</f>
        <v>432</v>
      </c>
      <c r="E86" s="196">
        <f>+C86*D86</f>
        <v>0</v>
      </c>
      <c r="F86" s="428"/>
      <c r="O86" s="176"/>
      <c r="P86" s="176"/>
      <c r="Q86" s="176"/>
      <c r="R86" s="176"/>
      <c r="S86" s="176"/>
    </row>
    <row r="87" spans="2:23" ht="15" customHeight="1" x14ac:dyDescent="0.35">
      <c r="B87" s="10" t="s">
        <v>195</v>
      </c>
      <c r="C87" s="315">
        <v>1.5</v>
      </c>
      <c r="D87" s="194">
        <f>+D79*1.5</f>
        <v>324</v>
      </c>
      <c r="E87" s="196">
        <f>+D87*C87</f>
        <v>486</v>
      </c>
      <c r="F87" s="428"/>
      <c r="O87" s="176"/>
      <c r="P87" s="176"/>
      <c r="Q87" s="176"/>
      <c r="R87" s="176"/>
      <c r="S87" s="176"/>
    </row>
    <row r="88" spans="2:23" ht="15" customHeight="1" thickBot="1" x14ac:dyDescent="0.4">
      <c r="B88" s="532" t="s">
        <v>6</v>
      </c>
      <c r="C88" s="534">
        <v>16000</v>
      </c>
      <c r="D88" s="220"/>
      <c r="E88" s="533">
        <f>+C88</f>
        <v>16000</v>
      </c>
      <c r="F88" s="430"/>
      <c r="O88" s="176"/>
      <c r="P88" s="176"/>
      <c r="Q88" s="176"/>
      <c r="R88" s="176"/>
      <c r="S88" s="176"/>
    </row>
    <row r="89" spans="2:23" ht="15" customHeight="1" thickBot="1" x14ac:dyDescent="0.4">
      <c r="B89" s="1376" t="s">
        <v>99</v>
      </c>
      <c r="C89" s="1377"/>
      <c r="D89" s="1377"/>
      <c r="E89" s="514">
        <f>SUM(E79:E88)</f>
        <v>59810</v>
      </c>
      <c r="F89" s="429"/>
      <c r="W89" s="503"/>
    </row>
    <row r="90" spans="2:23" ht="15" customHeight="1" x14ac:dyDescent="0.35">
      <c r="B90" s="1408" t="s">
        <v>18</v>
      </c>
      <c r="C90" s="1409"/>
      <c r="D90" s="1409"/>
      <c r="E90" s="516">
        <v>24028.31</v>
      </c>
      <c r="F90" s="429"/>
    </row>
    <row r="91" spans="2:23" ht="15" customHeight="1" thickBot="1" x14ac:dyDescent="0.4">
      <c r="B91" s="1410" t="s">
        <v>19</v>
      </c>
      <c r="C91" s="1411"/>
      <c r="D91" s="1411"/>
      <c r="E91" s="517">
        <v>10000</v>
      </c>
      <c r="F91" s="431"/>
      <c r="W91" s="503"/>
    </row>
    <row r="92" spans="2:23" ht="15" customHeight="1" thickBot="1" x14ac:dyDescent="0.4">
      <c r="B92" s="1394" t="s">
        <v>11</v>
      </c>
      <c r="C92" s="1395"/>
      <c r="D92" s="1395"/>
      <c r="E92" s="515">
        <f>+E89-E90-E91</f>
        <v>25781.690000000002</v>
      </c>
      <c r="F92" s="428"/>
      <c r="W92" s="503"/>
    </row>
    <row r="93" spans="2:23" ht="147.75" customHeight="1" thickBot="1" x14ac:dyDescent="0.4">
      <c r="F93" s="428"/>
      <c r="W93" s="503"/>
    </row>
    <row r="94" spans="2:23" ht="15" customHeight="1" thickBot="1" x14ac:dyDescent="0.4">
      <c r="B94" s="1273" t="s">
        <v>39</v>
      </c>
      <c r="C94" s="1274"/>
      <c r="D94" s="1274"/>
      <c r="E94" s="1275"/>
      <c r="W94" s="503"/>
    </row>
    <row r="95" spans="2:23" ht="15" customHeight="1" thickBot="1" x14ac:dyDescent="0.4">
      <c r="B95" s="522" t="s">
        <v>7</v>
      </c>
      <c r="C95" s="523" t="s">
        <v>8</v>
      </c>
      <c r="D95" s="524" t="s">
        <v>4</v>
      </c>
      <c r="E95" s="525" t="s">
        <v>9</v>
      </c>
    </row>
    <row r="96" spans="2:23" ht="15" customHeight="1" x14ac:dyDescent="0.35">
      <c r="B96" s="526" t="s">
        <v>3</v>
      </c>
      <c r="C96" s="527">
        <v>105</v>
      </c>
      <c r="D96" s="528">
        <f>+E96/C96</f>
        <v>285.71428571428572</v>
      </c>
      <c r="E96" s="529">
        <v>30000</v>
      </c>
    </row>
    <row r="97" spans="2:6" ht="15" customHeight="1" x14ac:dyDescent="0.35">
      <c r="B97" s="10" t="s">
        <v>218</v>
      </c>
      <c r="C97" s="258"/>
      <c r="D97" s="194">
        <v>3600</v>
      </c>
      <c r="E97" s="196">
        <v>3600</v>
      </c>
      <c r="F97" s="114"/>
    </row>
    <row r="98" spans="2:6" ht="15" customHeight="1" x14ac:dyDescent="0.35">
      <c r="B98" s="10" t="s">
        <v>185</v>
      </c>
      <c r="C98" s="258">
        <v>28</v>
      </c>
      <c r="D98" s="194">
        <f>+D96</f>
        <v>285.71428571428572</v>
      </c>
      <c r="E98" s="222">
        <f>C98*D98</f>
        <v>8000</v>
      </c>
    </row>
    <row r="99" spans="2:6" ht="15" customHeight="1" x14ac:dyDescent="0.35">
      <c r="B99" s="10" t="s">
        <v>2</v>
      </c>
      <c r="C99" s="258"/>
      <c r="D99" s="194"/>
      <c r="E99" s="222"/>
    </row>
    <row r="100" spans="2:6" ht="15" customHeight="1" x14ac:dyDescent="0.35">
      <c r="B100" s="486" t="s">
        <v>236</v>
      </c>
      <c r="C100" s="258"/>
      <c r="D100" s="194"/>
      <c r="E100" s="222"/>
    </row>
    <row r="101" spans="2:6" ht="15" customHeight="1" x14ac:dyDescent="0.35">
      <c r="B101" s="530" t="s">
        <v>1</v>
      </c>
      <c r="C101" s="506"/>
      <c r="D101" s="506"/>
      <c r="E101" s="521"/>
    </row>
    <row r="102" spans="2:6" ht="15" customHeight="1" x14ac:dyDescent="0.35">
      <c r="B102" s="530"/>
      <c r="C102" s="258"/>
      <c r="D102" s="258"/>
      <c r="E102" s="531"/>
    </row>
    <row r="103" spans="2:6" ht="16" thickBot="1" x14ac:dyDescent="0.4">
      <c r="B103" s="12" t="s">
        <v>11</v>
      </c>
      <c r="C103" s="272"/>
      <c r="D103" s="220"/>
      <c r="E103" s="303">
        <f>+E96+E97+E98</f>
        <v>41600</v>
      </c>
    </row>
    <row r="104" spans="2:6" ht="15" thickBot="1" x14ac:dyDescent="0.4"/>
    <row r="105" spans="2:6" ht="24" thickBot="1" x14ac:dyDescent="0.4">
      <c r="B105" s="1273" t="s">
        <v>174</v>
      </c>
      <c r="C105" s="1274"/>
      <c r="D105" s="1274"/>
      <c r="E105" s="1275"/>
    </row>
    <row r="106" spans="2:6" x14ac:dyDescent="0.35">
      <c r="B106" s="16" t="s">
        <v>7</v>
      </c>
      <c r="C106" s="257" t="s">
        <v>8</v>
      </c>
      <c r="D106" s="192" t="s">
        <v>4</v>
      </c>
      <c r="E106" s="193" t="s">
        <v>9</v>
      </c>
    </row>
    <row r="107" spans="2:6" x14ac:dyDescent="0.35">
      <c r="B107" s="10" t="s">
        <v>3</v>
      </c>
      <c r="C107" s="258">
        <f>+K21++K23</f>
        <v>185</v>
      </c>
      <c r="D107" s="227">
        <v>182</v>
      </c>
      <c r="E107" s="196">
        <f>C107*D107</f>
        <v>33670</v>
      </c>
    </row>
    <row r="108" spans="2:6" x14ac:dyDescent="0.35">
      <c r="B108" s="10" t="s">
        <v>111</v>
      </c>
      <c r="C108" s="258">
        <f>+K22</f>
        <v>4</v>
      </c>
      <c r="D108" s="227">
        <f>+D107</f>
        <v>182</v>
      </c>
      <c r="E108" s="196">
        <f>C108*D108</f>
        <v>728</v>
      </c>
    </row>
    <row r="109" spans="2:6" x14ac:dyDescent="0.35">
      <c r="B109" s="10" t="s">
        <v>2</v>
      </c>
      <c r="C109" s="258"/>
      <c r="D109" s="227"/>
      <c r="E109" s="196"/>
    </row>
    <row r="110" spans="2:6" x14ac:dyDescent="0.35">
      <c r="B110" s="10" t="s">
        <v>248</v>
      </c>
      <c r="C110" s="506"/>
      <c r="D110" s="506"/>
      <c r="E110" s="521"/>
    </row>
    <row r="111" spans="2:6" x14ac:dyDescent="0.35">
      <c r="B111" s="10" t="s">
        <v>213</v>
      </c>
      <c r="C111" s="258"/>
      <c r="D111" s="227"/>
      <c r="E111" s="196"/>
    </row>
    <row r="112" spans="2:6" x14ac:dyDescent="0.35">
      <c r="B112" s="10" t="s">
        <v>196</v>
      </c>
      <c r="C112" s="258"/>
      <c r="D112" s="227">
        <v>5000</v>
      </c>
      <c r="E112" s="196">
        <v>5000</v>
      </c>
    </row>
    <row r="113" spans="1:23" x14ac:dyDescent="0.35">
      <c r="B113" s="10" t="s">
        <v>214</v>
      </c>
      <c r="C113" s="258"/>
      <c r="D113" s="227"/>
      <c r="E113" s="196"/>
    </row>
    <row r="114" spans="1:23" x14ac:dyDescent="0.35">
      <c r="B114" s="10" t="s">
        <v>190</v>
      </c>
      <c r="C114" s="258"/>
      <c r="D114" s="227">
        <f>+D107*2</f>
        <v>364</v>
      </c>
      <c r="E114" s="196">
        <f>+C114*D114</f>
        <v>0</v>
      </c>
    </row>
    <row r="115" spans="1:23" x14ac:dyDescent="0.35">
      <c r="B115" s="10" t="s">
        <v>195</v>
      </c>
      <c r="C115" s="258"/>
      <c r="D115" s="227">
        <f>+D107*1.5</f>
        <v>273</v>
      </c>
      <c r="E115" s="196">
        <f>+C115*D115</f>
        <v>0</v>
      </c>
    </row>
    <row r="116" spans="1:23" x14ac:dyDescent="0.35">
      <c r="B116" s="10" t="s">
        <v>6</v>
      </c>
      <c r="C116" s="258">
        <v>11000</v>
      </c>
      <c r="D116" s="227"/>
      <c r="E116" s="196">
        <f>+C116</f>
        <v>11000</v>
      </c>
    </row>
    <row r="117" spans="1:23" s="503" customFormat="1" ht="20" thickBot="1" x14ac:dyDescent="0.5">
      <c r="A117" s="4"/>
      <c r="B117" s="532" t="s">
        <v>235</v>
      </c>
      <c r="C117" s="272"/>
      <c r="D117" s="220"/>
      <c r="E117" s="533">
        <f>+C117</f>
        <v>0</v>
      </c>
      <c r="F117" s="412"/>
      <c r="G117"/>
      <c r="H117"/>
      <c r="I117" s="181"/>
      <c r="J117" s="181"/>
      <c r="K117" s="181"/>
      <c r="L117" s="181"/>
      <c r="M117" s="181"/>
      <c r="N117" s="184"/>
      <c r="O117" s="180"/>
      <c r="P117" s="180"/>
      <c r="Q117" s="181"/>
      <c r="R117" s="181"/>
      <c r="S117" s="181"/>
      <c r="T117"/>
      <c r="W117"/>
    </row>
    <row r="118" spans="1:23" x14ac:dyDescent="0.35">
      <c r="B118" s="1376" t="s">
        <v>99</v>
      </c>
      <c r="C118" s="1377"/>
      <c r="D118" s="1377"/>
      <c r="E118" s="485">
        <f>SUM(E107:E117)</f>
        <v>50398</v>
      </c>
    </row>
    <row r="119" spans="1:23" x14ac:dyDescent="0.35">
      <c r="B119" s="1386" t="s">
        <v>19</v>
      </c>
      <c r="C119" s="1387"/>
      <c r="D119" s="1387"/>
      <c r="E119" s="207">
        <v>8000</v>
      </c>
    </row>
    <row r="120" spans="1:23" x14ac:dyDescent="0.35">
      <c r="B120" s="1386" t="s">
        <v>237</v>
      </c>
      <c r="C120" s="1387"/>
      <c r="D120" s="1387"/>
      <c r="E120" s="207"/>
    </row>
    <row r="121" spans="1:23" x14ac:dyDescent="0.35">
      <c r="B121" s="1386" t="s">
        <v>234</v>
      </c>
      <c r="C121" s="1387"/>
      <c r="D121" s="1387"/>
      <c r="E121" s="207"/>
    </row>
    <row r="122" spans="1:23" ht="16" thickBot="1" x14ac:dyDescent="0.4">
      <c r="B122" s="1296" t="s">
        <v>11</v>
      </c>
      <c r="C122" s="1297"/>
      <c r="D122" s="1335"/>
      <c r="E122" s="303">
        <f>+E118-E119</f>
        <v>42398</v>
      </c>
    </row>
    <row r="123" spans="1:23" ht="15" thickBot="1" x14ac:dyDescent="0.4"/>
    <row r="124" spans="1:23" ht="24" thickBot="1" x14ac:dyDescent="0.4">
      <c r="B124" s="1273" t="s">
        <v>221</v>
      </c>
      <c r="C124" s="1274"/>
      <c r="D124" s="1274"/>
      <c r="E124" s="1275"/>
    </row>
    <row r="125" spans="1:23" x14ac:dyDescent="0.35">
      <c r="B125" s="16" t="s">
        <v>7</v>
      </c>
      <c r="C125" s="257" t="s">
        <v>8</v>
      </c>
      <c r="D125" s="192" t="s">
        <v>4</v>
      </c>
      <c r="E125" s="193" t="s">
        <v>9</v>
      </c>
      <c r="F125" t="s">
        <v>251</v>
      </c>
    </row>
    <row r="126" spans="1:23" x14ac:dyDescent="0.35">
      <c r="B126" s="10" t="s">
        <v>3</v>
      </c>
      <c r="C126" s="258">
        <v>141</v>
      </c>
      <c r="D126" s="227">
        <v>165</v>
      </c>
      <c r="E126" s="196">
        <f>C126*D126</f>
        <v>23265</v>
      </c>
    </row>
    <row r="127" spans="1:23" x14ac:dyDescent="0.35">
      <c r="B127" s="10" t="s">
        <v>111</v>
      </c>
      <c r="C127" s="258">
        <v>4</v>
      </c>
      <c r="D127" s="227">
        <v>165</v>
      </c>
      <c r="E127" s="196">
        <f>C127*D127</f>
        <v>660</v>
      </c>
    </row>
    <row r="128" spans="1:23" x14ac:dyDescent="0.35">
      <c r="B128" s="10" t="s">
        <v>2</v>
      </c>
      <c r="C128" s="258"/>
      <c r="D128" s="227"/>
      <c r="E128" s="196"/>
    </row>
    <row r="129" spans="1:23" x14ac:dyDescent="0.35">
      <c r="B129" s="10" t="s">
        <v>1</v>
      </c>
      <c r="C129" s="506"/>
      <c r="D129" s="506"/>
      <c r="E129" s="521"/>
    </row>
    <row r="130" spans="1:23" x14ac:dyDescent="0.35">
      <c r="B130" s="10" t="s">
        <v>213</v>
      </c>
      <c r="C130" s="258"/>
      <c r="D130" s="227">
        <f>-D126</f>
        <v>-165</v>
      </c>
      <c r="E130" s="196">
        <f>+C130*D130</f>
        <v>0</v>
      </c>
    </row>
    <row r="131" spans="1:23" x14ac:dyDescent="0.35">
      <c r="B131" s="10" t="s">
        <v>257</v>
      </c>
      <c r="C131" s="258"/>
      <c r="D131" s="227"/>
      <c r="E131" s="196">
        <v>2500</v>
      </c>
    </row>
    <row r="132" spans="1:23" x14ac:dyDescent="0.35">
      <c r="B132" s="10" t="s">
        <v>214</v>
      </c>
      <c r="C132" s="258">
        <v>40</v>
      </c>
      <c r="D132" s="227">
        <v>165</v>
      </c>
      <c r="E132" s="196">
        <f>C132*D132</f>
        <v>6600</v>
      </c>
    </row>
    <row r="133" spans="1:23" x14ac:dyDescent="0.35">
      <c r="B133" s="10" t="s">
        <v>190</v>
      </c>
      <c r="C133" s="258"/>
      <c r="D133" s="194">
        <f>+D126*2</f>
        <v>330</v>
      </c>
      <c r="E133" s="196">
        <f>C133*D133</f>
        <v>0</v>
      </c>
    </row>
    <row r="134" spans="1:23" x14ac:dyDescent="0.35">
      <c r="B134" s="10" t="s">
        <v>195</v>
      </c>
      <c r="C134" s="258">
        <v>1</v>
      </c>
      <c r="D134" s="194">
        <f>+D126*1.5</f>
        <v>247.5</v>
      </c>
      <c r="E134" s="196">
        <f>+C134*D134</f>
        <v>247.5</v>
      </c>
    </row>
    <row r="135" spans="1:23" x14ac:dyDescent="0.35">
      <c r="B135" s="10" t="s">
        <v>6</v>
      </c>
      <c r="C135" s="258">
        <v>8000</v>
      </c>
      <c r="D135" s="194"/>
      <c r="E135" s="196">
        <v>8000</v>
      </c>
    </row>
    <row r="136" spans="1:23" s="503" customFormat="1" ht="20" thickBot="1" x14ac:dyDescent="0.5">
      <c r="A136" s="4"/>
      <c r="B136" s="532" t="s">
        <v>235</v>
      </c>
      <c r="C136" s="272"/>
      <c r="D136" s="220"/>
      <c r="E136" s="533">
        <f>+C136</f>
        <v>0</v>
      </c>
      <c r="F136" s="412"/>
      <c r="G136"/>
      <c r="H136"/>
      <c r="I136" s="181"/>
      <c r="J136" s="181"/>
      <c r="K136" s="181"/>
      <c r="L136" s="181"/>
      <c r="M136" s="181"/>
      <c r="N136" s="184"/>
      <c r="O136" s="180"/>
      <c r="P136" s="180"/>
      <c r="Q136" s="181"/>
      <c r="R136" s="181"/>
      <c r="S136" s="181"/>
      <c r="T136"/>
      <c r="W136"/>
    </row>
    <row r="137" spans="1:23" ht="15" thickBot="1" x14ac:dyDescent="0.4">
      <c r="B137" s="1323" t="s">
        <v>99</v>
      </c>
      <c r="C137" s="1324"/>
      <c r="D137" s="1324"/>
      <c r="E137" s="304">
        <f>SUM(E126:E135)</f>
        <v>41272.5</v>
      </c>
    </row>
    <row r="138" spans="1:23" x14ac:dyDescent="0.35">
      <c r="B138" s="511" t="s">
        <v>18</v>
      </c>
      <c r="C138" s="510"/>
      <c r="D138" s="510"/>
      <c r="E138" s="490"/>
    </row>
    <row r="139" spans="1:23" x14ac:dyDescent="0.35">
      <c r="B139" s="1386" t="s">
        <v>237</v>
      </c>
      <c r="C139" s="1387"/>
      <c r="D139" s="1387"/>
      <c r="E139" s="207"/>
    </row>
    <row r="140" spans="1:23" x14ac:dyDescent="0.35">
      <c r="B140" s="1386" t="s">
        <v>234</v>
      </c>
      <c r="C140" s="1387"/>
      <c r="D140" s="1387"/>
      <c r="E140" s="207"/>
    </row>
    <row r="141" spans="1:23" x14ac:dyDescent="0.35">
      <c r="B141" s="1391" t="s">
        <v>19</v>
      </c>
      <c r="C141" s="1392"/>
      <c r="D141" s="1393"/>
      <c r="E141" s="207"/>
    </row>
    <row r="142" spans="1:23" ht="16" thickBot="1" x14ac:dyDescent="0.4">
      <c r="B142" s="1296" t="s">
        <v>11</v>
      </c>
      <c r="C142" s="1297"/>
      <c r="D142" s="1335"/>
      <c r="E142" s="303">
        <f>+E137-E138-E141</f>
        <v>41272.5</v>
      </c>
    </row>
    <row r="143" spans="1:23" ht="53.25" customHeight="1" thickBot="1" x14ac:dyDescent="0.4"/>
    <row r="144" spans="1:23" ht="24" thickBot="1" x14ac:dyDescent="0.4">
      <c r="B144" s="1273" t="s">
        <v>246</v>
      </c>
      <c r="C144" s="1274"/>
      <c r="D144" s="1274"/>
      <c r="E144" s="1275"/>
    </row>
    <row r="145" spans="2:6" x14ac:dyDescent="0.35">
      <c r="B145" s="16" t="s">
        <v>7</v>
      </c>
      <c r="C145" s="257" t="s">
        <v>8</v>
      </c>
      <c r="D145" s="192" t="s">
        <v>4</v>
      </c>
      <c r="E145" s="193" t="s">
        <v>9</v>
      </c>
    </row>
    <row r="146" spans="2:6" x14ac:dyDescent="0.35">
      <c r="B146" s="10" t="s">
        <v>3</v>
      </c>
      <c r="C146" s="258">
        <v>97</v>
      </c>
      <c r="D146" s="227">
        <f>+D126</f>
        <v>165</v>
      </c>
      <c r="E146" s="196">
        <f>C146*D146</f>
        <v>16005</v>
      </c>
      <c r="F146" s="509" t="s">
        <v>250</v>
      </c>
    </row>
    <row r="147" spans="2:6" x14ac:dyDescent="0.35">
      <c r="B147" s="10" t="s">
        <v>111</v>
      </c>
      <c r="C147" s="258"/>
      <c r="D147" s="227">
        <v>165</v>
      </c>
      <c r="E147" s="196">
        <f>C147*D147</f>
        <v>0</v>
      </c>
    </row>
    <row r="148" spans="2:6" x14ac:dyDescent="0.35">
      <c r="B148" s="10" t="s">
        <v>2</v>
      </c>
      <c r="C148" s="258"/>
      <c r="D148" s="227"/>
      <c r="E148" s="196"/>
    </row>
    <row r="149" spans="2:6" x14ac:dyDescent="0.35">
      <c r="B149" s="10" t="s">
        <v>1</v>
      </c>
      <c r="C149" s="506"/>
      <c r="D149" s="506"/>
      <c r="E149" s="521"/>
    </row>
    <row r="150" spans="2:6" x14ac:dyDescent="0.35">
      <c r="B150" s="10" t="s">
        <v>213</v>
      </c>
      <c r="C150" s="258"/>
      <c r="D150" s="227"/>
      <c r="E150" s="196"/>
    </row>
    <row r="151" spans="2:6" x14ac:dyDescent="0.35">
      <c r="B151" s="10" t="s">
        <v>196</v>
      </c>
      <c r="C151" s="258"/>
      <c r="D151" s="227">
        <v>2500</v>
      </c>
      <c r="E151" s="196">
        <f>+D151</f>
        <v>2500</v>
      </c>
    </row>
    <row r="152" spans="2:6" x14ac:dyDescent="0.35">
      <c r="B152" s="10" t="s">
        <v>214</v>
      </c>
      <c r="C152" s="258"/>
      <c r="D152" s="227"/>
      <c r="E152" s="196"/>
    </row>
    <row r="153" spans="2:6" x14ac:dyDescent="0.35">
      <c r="B153" s="10" t="s">
        <v>190</v>
      </c>
      <c r="C153" s="258"/>
      <c r="D153" s="227">
        <f>+D146*2</f>
        <v>330</v>
      </c>
      <c r="E153" s="196">
        <f>+C153*D153</f>
        <v>0</v>
      </c>
    </row>
    <row r="154" spans="2:6" x14ac:dyDescent="0.35">
      <c r="B154" s="10" t="s">
        <v>195</v>
      </c>
      <c r="C154" s="258"/>
      <c r="D154" s="227">
        <f>+D146*1.5</f>
        <v>247.5</v>
      </c>
      <c r="E154" s="196">
        <f>+D154*C154</f>
        <v>0</v>
      </c>
    </row>
    <row r="155" spans="2:6" ht="15" thickBot="1" x14ac:dyDescent="0.4">
      <c r="B155" s="532" t="s">
        <v>6</v>
      </c>
      <c r="C155" s="272">
        <v>8000</v>
      </c>
      <c r="D155" s="535"/>
      <c r="E155" s="533">
        <f>+C155</f>
        <v>8000</v>
      </c>
    </row>
    <row r="156" spans="2:6" ht="15" thickBot="1" x14ac:dyDescent="0.4">
      <c r="B156" s="1323" t="s">
        <v>99</v>
      </c>
      <c r="C156" s="1324"/>
      <c r="D156" s="1324"/>
      <c r="E156" s="304">
        <f>SUM(E146:E155)</f>
        <v>26505</v>
      </c>
    </row>
    <row r="157" spans="2:6" x14ac:dyDescent="0.35">
      <c r="B157" s="1412" t="s">
        <v>19</v>
      </c>
      <c r="C157" s="1413"/>
      <c r="D157" s="1414"/>
      <c r="E157" s="516">
        <v>4000</v>
      </c>
    </row>
    <row r="158" spans="2:6" ht="16" thickBot="1" x14ac:dyDescent="0.4">
      <c r="B158" s="1296" t="s">
        <v>11</v>
      </c>
      <c r="C158" s="1297"/>
      <c r="D158" s="1335"/>
      <c r="E158" s="303">
        <f>+E156-E157</f>
        <v>22505</v>
      </c>
    </row>
    <row r="168" spans="2:6" ht="15" thickBot="1" x14ac:dyDescent="0.4"/>
    <row r="169" spans="2:6" ht="24" thickBot="1" x14ac:dyDescent="0.4">
      <c r="B169" s="1273" t="s">
        <v>15</v>
      </c>
      <c r="C169" s="1274"/>
      <c r="D169" s="1274"/>
      <c r="E169" s="1275"/>
      <c r="F169" s="115"/>
    </row>
    <row r="170" spans="2:6" x14ac:dyDescent="0.35">
      <c r="B170" s="16" t="s">
        <v>7</v>
      </c>
      <c r="C170" s="257" t="s">
        <v>8</v>
      </c>
      <c r="D170" s="192" t="s">
        <v>4</v>
      </c>
      <c r="E170" s="193" t="s">
        <v>9</v>
      </c>
      <c r="F170" s="115"/>
    </row>
    <row r="171" spans="2:6" x14ac:dyDescent="0.35">
      <c r="B171" s="10" t="s">
        <v>3</v>
      </c>
      <c r="C171" s="552">
        <v>71</v>
      </c>
      <c r="D171" s="194">
        <v>232.8</v>
      </c>
      <c r="E171" s="196">
        <f>C171*D171</f>
        <v>16528.8</v>
      </c>
      <c r="F171" s="115">
        <v>44</v>
      </c>
    </row>
    <row r="172" spans="2:6" x14ac:dyDescent="0.35">
      <c r="B172" s="10" t="s">
        <v>111</v>
      </c>
      <c r="C172" s="258">
        <f>+K171</f>
        <v>0</v>
      </c>
      <c r="D172" s="194">
        <f>+D171</f>
        <v>232.8</v>
      </c>
      <c r="E172" s="196">
        <f>+C172*D172</f>
        <v>0</v>
      </c>
      <c r="F172" s="115"/>
    </row>
    <row r="173" spans="2:6" x14ac:dyDescent="0.35">
      <c r="B173" s="10" t="s">
        <v>2</v>
      </c>
      <c r="C173" s="258">
        <v>112</v>
      </c>
      <c r="D173" s="194">
        <f>+D171</f>
        <v>232.8</v>
      </c>
      <c r="E173" s="196">
        <f>+C173*D173</f>
        <v>26073.600000000002</v>
      </c>
      <c r="F173" s="115"/>
    </row>
    <row r="174" spans="2:6" x14ac:dyDescent="0.35">
      <c r="B174" s="10" t="s">
        <v>248</v>
      </c>
      <c r="C174" s="506"/>
      <c r="D174" s="506"/>
      <c r="E174" s="521"/>
      <c r="F174" s="115"/>
    </row>
    <row r="175" spans="2:6" x14ac:dyDescent="0.35">
      <c r="B175" s="10" t="s">
        <v>213</v>
      </c>
      <c r="C175" s="258"/>
      <c r="D175" s="194">
        <f>-D171</f>
        <v>-232.8</v>
      </c>
      <c r="E175" s="196">
        <f>C175*D175</f>
        <v>0</v>
      </c>
      <c r="F175" s="115"/>
    </row>
    <row r="176" spans="2:6" x14ac:dyDescent="0.35">
      <c r="B176" s="10" t="s">
        <v>257</v>
      </c>
      <c r="C176" s="258"/>
      <c r="D176" s="194"/>
      <c r="E176" s="196">
        <v>2500</v>
      </c>
      <c r="F176" s="115"/>
    </row>
    <row r="177" spans="2:6" x14ac:dyDescent="0.35">
      <c r="B177" s="10" t="s">
        <v>214</v>
      </c>
      <c r="C177" s="552">
        <v>44</v>
      </c>
      <c r="D177" s="194">
        <v>232.8</v>
      </c>
      <c r="E177" s="196">
        <f>+C177*D177</f>
        <v>10243.200000000001</v>
      </c>
      <c r="F177" s="115">
        <v>40</v>
      </c>
    </row>
    <row r="178" spans="2:6" x14ac:dyDescent="0.35">
      <c r="B178" s="10" t="s">
        <v>190</v>
      </c>
      <c r="C178" s="258"/>
      <c r="D178" s="194">
        <f>+D171*2</f>
        <v>465.6</v>
      </c>
      <c r="E178" s="196">
        <f>C178*D178</f>
        <v>0</v>
      </c>
      <c r="F178" s="115"/>
    </row>
    <row r="179" spans="2:6" x14ac:dyDescent="0.35">
      <c r="B179" s="10" t="s">
        <v>195</v>
      </c>
      <c r="C179" s="315"/>
      <c r="D179" s="194">
        <f>+D171*1.5</f>
        <v>349.20000000000005</v>
      </c>
      <c r="E179" s="196">
        <f>C179*D179</f>
        <v>0</v>
      </c>
      <c r="F179" s="115"/>
    </row>
    <row r="180" spans="2:6" x14ac:dyDescent="0.35">
      <c r="B180" s="10" t="s">
        <v>6</v>
      </c>
      <c r="C180" s="258">
        <v>16500</v>
      </c>
      <c r="D180" s="194"/>
      <c r="E180" s="196">
        <f>+C180</f>
        <v>16500</v>
      </c>
      <c r="F180" s="115"/>
    </row>
    <row r="181" spans="2:6" ht="15" thickBot="1" x14ac:dyDescent="0.4">
      <c r="B181" s="10" t="s">
        <v>235</v>
      </c>
      <c r="C181" s="258"/>
      <c r="D181" s="194"/>
      <c r="E181" s="196">
        <f>+C181</f>
        <v>0</v>
      </c>
      <c r="F181" s="115"/>
    </row>
    <row r="182" spans="2:6" ht="15" thickBot="1" x14ac:dyDescent="0.4">
      <c r="B182" s="1323" t="s">
        <v>99</v>
      </c>
      <c r="C182" s="1324"/>
      <c r="D182" s="1324"/>
      <c r="E182" s="304">
        <f>SUM(E171:E180)</f>
        <v>71845.600000000006</v>
      </c>
      <c r="F182" s="115"/>
    </row>
    <row r="183" spans="2:6" x14ac:dyDescent="0.35">
      <c r="B183" s="1401" t="s">
        <v>79</v>
      </c>
      <c r="C183" s="1402"/>
      <c r="D183" s="1403"/>
      <c r="E183" s="470">
        <v>990</v>
      </c>
      <c r="F183" s="115"/>
    </row>
    <row r="184" spans="2:6" x14ac:dyDescent="0.35">
      <c r="B184" s="1386" t="s">
        <v>19</v>
      </c>
      <c r="C184" s="1387"/>
      <c r="D184" s="1387"/>
      <c r="E184" s="207"/>
    </row>
    <row r="185" spans="2:6" x14ac:dyDescent="0.35">
      <c r="B185" s="1386" t="s">
        <v>237</v>
      </c>
      <c r="C185" s="1387"/>
      <c r="D185" s="1387"/>
      <c r="E185" s="207"/>
    </row>
    <row r="186" spans="2:6" ht="15" thickBot="1" x14ac:dyDescent="0.4">
      <c r="B186" s="1386" t="s">
        <v>234</v>
      </c>
      <c r="C186" s="1387"/>
      <c r="D186" s="1387"/>
      <c r="E186" s="207"/>
    </row>
    <row r="187" spans="2:6" ht="16" thickBot="1" x14ac:dyDescent="0.4">
      <c r="B187" s="1296" t="s">
        <v>11</v>
      </c>
      <c r="C187" s="1297"/>
      <c r="D187" s="1298"/>
      <c r="E187" s="201">
        <f>+E182-E183-E184-E185-E186</f>
        <v>70855.600000000006</v>
      </c>
    </row>
    <row r="188" spans="2:6" x14ac:dyDescent="0.35">
      <c r="B188" s="1416" t="s">
        <v>243</v>
      </c>
      <c r="C188" s="1416"/>
      <c r="D188" s="1416"/>
      <c r="E188">
        <v>-64570</v>
      </c>
    </row>
    <row r="189" spans="2:6" x14ac:dyDescent="0.35">
      <c r="B189" s="1415" t="s">
        <v>258</v>
      </c>
      <c r="C189" s="1415"/>
      <c r="D189" s="1415"/>
      <c r="E189" s="553">
        <f>+E187+E188</f>
        <v>6285.6000000000058</v>
      </c>
    </row>
  </sheetData>
  <mergeCells count="62">
    <mergeCell ref="B189:D189"/>
    <mergeCell ref="B184:D184"/>
    <mergeCell ref="B185:D185"/>
    <mergeCell ref="B186:D186"/>
    <mergeCell ref="B187:D187"/>
    <mergeCell ref="B188:D188"/>
    <mergeCell ref="H60:J60"/>
    <mergeCell ref="H61:J61"/>
    <mergeCell ref="B169:E169"/>
    <mergeCell ref="B182:D182"/>
    <mergeCell ref="B183:D183"/>
    <mergeCell ref="B72:D72"/>
    <mergeCell ref="B118:D118"/>
    <mergeCell ref="B119:D119"/>
    <mergeCell ref="B120:D120"/>
    <mergeCell ref="B74:D74"/>
    <mergeCell ref="B75:D75"/>
    <mergeCell ref="B77:E77"/>
    <mergeCell ref="B89:D89"/>
    <mergeCell ref="B90:D90"/>
    <mergeCell ref="B91:D91"/>
    <mergeCell ref="B157:D157"/>
    <mergeCell ref="H43:K43"/>
    <mergeCell ref="H56:J56"/>
    <mergeCell ref="H57:J57"/>
    <mergeCell ref="H58:J58"/>
    <mergeCell ref="H59:J59"/>
    <mergeCell ref="B2:E2"/>
    <mergeCell ref="H2:T2"/>
    <mergeCell ref="G9:G11"/>
    <mergeCell ref="H13:Q13"/>
    <mergeCell ref="B15:D15"/>
    <mergeCell ref="B17:D17"/>
    <mergeCell ref="B18:D18"/>
    <mergeCell ref="B20:E20"/>
    <mergeCell ref="I24:J24"/>
    <mergeCell ref="B33:D33"/>
    <mergeCell ref="B54:D54"/>
    <mergeCell ref="B57:D57"/>
    <mergeCell ref="B58:D58"/>
    <mergeCell ref="B60:E60"/>
    <mergeCell ref="B34:D34"/>
    <mergeCell ref="B36:D36"/>
    <mergeCell ref="B37:D37"/>
    <mergeCell ref="B38:D38"/>
    <mergeCell ref="B40:E40"/>
    <mergeCell ref="B158:D158"/>
    <mergeCell ref="B35:D35"/>
    <mergeCell ref="B139:D139"/>
    <mergeCell ref="B140:D140"/>
    <mergeCell ref="B141:D141"/>
    <mergeCell ref="B142:D142"/>
    <mergeCell ref="B144:E144"/>
    <mergeCell ref="B156:D156"/>
    <mergeCell ref="B121:D121"/>
    <mergeCell ref="B122:D122"/>
    <mergeCell ref="B124:E124"/>
    <mergeCell ref="B137:D137"/>
    <mergeCell ref="B92:D92"/>
    <mergeCell ref="B94:E94"/>
    <mergeCell ref="B105:E105"/>
    <mergeCell ref="B53:D53"/>
  </mergeCells>
  <pageMargins left="0.31496062992125984" right="0.31496062992125984" top="0" bottom="0" header="0.31496062992125984" footer="0.31496062992125984"/>
  <pageSetup paperSize="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49"/>
  <sheetViews>
    <sheetView topLeftCell="A25" workbookViewId="0">
      <selection activeCell="B34" sqref="B34:E37"/>
    </sheetView>
  </sheetViews>
  <sheetFormatPr baseColWidth="10" defaultRowHeight="14.5" x14ac:dyDescent="0.35"/>
  <cols>
    <col min="2" max="2" width="23.453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1:22" ht="18" customHeight="1" thickBot="1" x14ac:dyDescent="0.4"/>
    <row r="2" spans="1:22" ht="25.5" customHeight="1" thickBot="1" x14ac:dyDescent="0.4">
      <c r="B2" s="1425" t="s">
        <v>10</v>
      </c>
      <c r="C2" s="1426"/>
      <c r="D2" s="1426"/>
      <c r="E2" s="1427"/>
    </row>
    <row r="3" spans="1:22" s="549" customFormat="1" ht="18" customHeight="1" x14ac:dyDescent="0.35">
      <c r="B3" s="16" t="s">
        <v>7</v>
      </c>
      <c r="C3" s="257" t="s">
        <v>8</v>
      </c>
      <c r="D3" s="192" t="s">
        <v>4</v>
      </c>
      <c r="E3" s="193" t="s">
        <v>9</v>
      </c>
      <c r="F3"/>
      <c r="T3"/>
      <c r="U3"/>
    </row>
    <row r="4" spans="1:22" ht="18" customHeight="1" x14ac:dyDescent="0.35">
      <c r="B4" s="10" t="s">
        <v>3</v>
      </c>
      <c r="C4" s="258">
        <v>186</v>
      </c>
      <c r="D4" s="227">
        <v>264</v>
      </c>
      <c r="E4" s="196">
        <f>+C4*D4</f>
        <v>49104</v>
      </c>
      <c r="T4" s="549"/>
    </row>
    <row r="5" spans="1:22" ht="18" customHeight="1" x14ac:dyDescent="0.35">
      <c r="B5" s="10" t="s">
        <v>111</v>
      </c>
      <c r="C5" s="258">
        <f>+E36</f>
        <v>16</v>
      </c>
      <c r="D5" s="227">
        <f>+D4</f>
        <v>264</v>
      </c>
      <c r="E5" s="196">
        <f>+C5*D5</f>
        <v>4224</v>
      </c>
      <c r="T5" s="202"/>
    </row>
    <row r="6" spans="1:22" ht="18" customHeight="1" x14ac:dyDescent="0.35">
      <c r="B6" s="10" t="s">
        <v>196</v>
      </c>
      <c r="C6" s="258"/>
      <c r="D6" s="227">
        <v>5000</v>
      </c>
      <c r="E6" s="196">
        <f>+D6</f>
        <v>5000</v>
      </c>
    </row>
    <row r="7" spans="1:22" ht="18" customHeight="1" x14ac:dyDescent="0.35">
      <c r="B7" s="10"/>
      <c r="C7" s="258"/>
      <c r="D7" s="227"/>
      <c r="E7" s="196">
        <f>C7*D7</f>
        <v>0</v>
      </c>
    </row>
    <row r="8" spans="1:22" ht="18" customHeight="1" x14ac:dyDescent="0.35">
      <c r="B8" s="10" t="s">
        <v>215</v>
      </c>
      <c r="C8" s="258">
        <v>6</v>
      </c>
      <c r="D8" s="194">
        <f>+D4*1.5</f>
        <v>396</v>
      </c>
      <c r="E8" s="196">
        <f>+C8*D8</f>
        <v>2376</v>
      </c>
    </row>
    <row r="9" spans="1:22" ht="18" customHeight="1" x14ac:dyDescent="0.35">
      <c r="B9" s="10" t="s">
        <v>216</v>
      </c>
      <c r="C9" s="258"/>
      <c r="D9" s="194" t="s">
        <v>63</v>
      </c>
      <c r="E9" s="196"/>
    </row>
    <row r="10" spans="1:22" ht="18" customHeight="1" x14ac:dyDescent="0.35">
      <c r="B10" s="10" t="s">
        <v>6</v>
      </c>
      <c r="C10" s="258">
        <v>11000</v>
      </c>
      <c r="D10" s="194"/>
      <c r="E10" s="196">
        <f>+C10</f>
        <v>11000</v>
      </c>
      <c r="U10" s="549"/>
    </row>
    <row r="11" spans="1:22" s="549" customFormat="1" ht="18" customHeight="1" thickBot="1" x14ac:dyDescent="0.4">
      <c r="A11" s="4"/>
      <c r="B11" s="10" t="s">
        <v>235</v>
      </c>
      <c r="C11" s="258"/>
      <c r="D11" s="194"/>
      <c r="E11" s="196">
        <f>+C11</f>
        <v>0</v>
      </c>
      <c r="F11"/>
      <c r="G11"/>
      <c r="H11" s="181"/>
      <c r="I11" s="181"/>
      <c r="J11" s="181"/>
      <c r="K11" s="181"/>
      <c r="L11" s="181"/>
      <c r="M11" s="184"/>
      <c r="N11" s="180"/>
      <c r="O11" s="180"/>
      <c r="P11" s="181"/>
      <c r="Q11" s="181"/>
      <c r="R11" s="181"/>
      <c r="S11"/>
      <c r="V11"/>
    </row>
    <row r="12" spans="1:22" ht="18" customHeight="1" thickBot="1" x14ac:dyDescent="0.4">
      <c r="B12" s="1323" t="s">
        <v>99</v>
      </c>
      <c r="C12" s="1324"/>
      <c r="D12" s="1324"/>
      <c r="E12" s="304">
        <f>SUM(E4:E11)</f>
        <v>71704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549"/>
    </row>
    <row r="13" spans="1:22" ht="18" customHeight="1" x14ac:dyDescent="0.35">
      <c r="B13" s="551" t="s">
        <v>19</v>
      </c>
      <c r="C13" s="550"/>
      <c r="D13" s="550"/>
      <c r="E13" s="520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549"/>
    </row>
    <row r="14" spans="1:22" ht="18" customHeight="1" thickBot="1" x14ac:dyDescent="0.4">
      <c r="B14" s="1404" t="s">
        <v>217</v>
      </c>
      <c r="C14" s="1405"/>
      <c r="D14" s="1406"/>
      <c r="E14" s="517">
        <v>-29725.51</v>
      </c>
      <c r="M14" s="51"/>
      <c r="N14" s="66"/>
      <c r="O14" s="66"/>
      <c r="P14" s="49"/>
      <c r="Q14" s="549"/>
    </row>
    <row r="15" spans="1:22" ht="18" customHeight="1" thickBot="1" x14ac:dyDescent="0.4">
      <c r="A15" s="549"/>
      <c r="B15" s="1394" t="s">
        <v>11</v>
      </c>
      <c r="C15" s="1395"/>
      <c r="D15" s="1407"/>
      <c r="E15" s="518">
        <f>+E12+E14</f>
        <v>41978.490000000005</v>
      </c>
      <c r="H15" s="321"/>
      <c r="I15" s="321"/>
      <c r="J15" s="321"/>
      <c r="K15" s="473"/>
      <c r="L15" s="321"/>
      <c r="M15" s="321"/>
      <c r="T15" s="549"/>
    </row>
    <row r="16" spans="1:22" ht="18" customHeight="1" thickBot="1" x14ac:dyDescent="0.4">
      <c r="F16" s="106"/>
      <c r="G16" s="4"/>
      <c r="N16" s="4"/>
      <c r="T16" s="549"/>
    </row>
    <row r="17" spans="1:22" ht="18" customHeight="1" thickBot="1" x14ac:dyDescent="0.4">
      <c r="B17" s="1273" t="s">
        <v>15</v>
      </c>
      <c r="C17" s="1274"/>
      <c r="D17" s="1274"/>
      <c r="E17" s="1275"/>
      <c r="F17" s="406"/>
      <c r="K17" s="465"/>
      <c r="L17" s="465"/>
      <c r="M17" s="465"/>
    </row>
    <row r="18" spans="1:22" ht="18" customHeight="1" x14ac:dyDescent="0.35">
      <c r="B18" s="16" t="s">
        <v>7</v>
      </c>
      <c r="C18" s="257" t="s">
        <v>8</v>
      </c>
      <c r="D18" s="192" t="s">
        <v>4</v>
      </c>
      <c r="E18" s="193" t="s">
        <v>9</v>
      </c>
      <c r="F18" s="549"/>
      <c r="K18" s="101"/>
      <c r="L18" s="101"/>
      <c r="M18" s="101"/>
    </row>
    <row r="19" spans="1:22" ht="18" customHeight="1" x14ac:dyDescent="0.35">
      <c r="B19" s="10" t="s">
        <v>3</v>
      </c>
      <c r="C19" s="315">
        <v>186</v>
      </c>
      <c r="D19" s="194">
        <v>302.64</v>
      </c>
      <c r="E19" s="196">
        <f>C19*D19</f>
        <v>56291.040000000001</v>
      </c>
      <c r="K19" s="101"/>
      <c r="L19" s="101"/>
      <c r="M19" s="101"/>
    </row>
    <row r="20" spans="1:22" ht="18" customHeight="1" x14ac:dyDescent="0.35">
      <c r="B20" s="10" t="s">
        <v>111</v>
      </c>
      <c r="C20" s="258">
        <f>+E36</f>
        <v>16</v>
      </c>
      <c r="D20" s="194">
        <f>+D19</f>
        <v>302.64</v>
      </c>
      <c r="E20" s="196">
        <f>+C20*D20</f>
        <v>4842.24</v>
      </c>
      <c r="K20" s="101"/>
      <c r="L20" s="101"/>
      <c r="M20" s="101"/>
    </row>
    <row r="21" spans="1:22" ht="18" customHeight="1" x14ac:dyDescent="0.35">
      <c r="B21" s="10" t="s">
        <v>257</v>
      </c>
      <c r="C21" s="258"/>
      <c r="D21" s="194"/>
      <c r="E21" s="196">
        <v>5000</v>
      </c>
      <c r="F21" s="549"/>
      <c r="H21" s="489"/>
      <c r="N21" s="51"/>
      <c r="O21" s="51"/>
      <c r="P21" s="66"/>
      <c r="Q21" s="49"/>
      <c r="R21" s="49"/>
    </row>
    <row r="22" spans="1:22" s="4" customFormat="1" ht="18" customHeight="1" x14ac:dyDescent="0.35">
      <c r="A22"/>
      <c r="B22" s="10"/>
      <c r="C22" s="258"/>
      <c r="D22" s="194"/>
      <c r="E22" s="196"/>
      <c r="F22" s="549"/>
      <c r="G22" s="181"/>
      <c r="H22" s="455"/>
      <c r="I22" s="180"/>
      <c r="J22"/>
      <c r="K22" s="180"/>
      <c r="L22" s="180"/>
      <c r="M22"/>
      <c r="N22"/>
      <c r="O22"/>
      <c r="P22"/>
      <c r="Q22"/>
      <c r="R22"/>
      <c r="S22"/>
      <c r="U22"/>
      <c r="V22"/>
    </row>
    <row r="23" spans="1:22" ht="18" customHeight="1" x14ac:dyDescent="0.35">
      <c r="B23" s="10" t="s">
        <v>190</v>
      </c>
      <c r="C23" s="258"/>
      <c r="D23" s="194"/>
      <c r="E23" s="196"/>
      <c r="L23" s="180"/>
      <c r="U23" s="549"/>
    </row>
    <row r="24" spans="1:22" ht="18" customHeight="1" x14ac:dyDescent="0.35">
      <c r="B24" s="10" t="s">
        <v>195</v>
      </c>
      <c r="C24" s="315">
        <v>9.5</v>
      </c>
      <c r="D24" s="194">
        <f>+D20*1.5</f>
        <v>453.96</v>
      </c>
      <c r="E24" s="196">
        <f>+C24*D24</f>
        <v>4312.62</v>
      </c>
      <c r="G24" s="4"/>
      <c r="L24" s="180"/>
      <c r="M24" s="184"/>
    </row>
    <row r="25" spans="1:22" s="549" customFormat="1" ht="18" customHeight="1" x14ac:dyDescent="0.35">
      <c r="A25" s="4"/>
      <c r="B25" s="10" t="s">
        <v>6</v>
      </c>
      <c r="C25" s="258">
        <v>16500</v>
      </c>
      <c r="D25" s="194"/>
      <c r="E25" s="196">
        <v>16500</v>
      </c>
      <c r="F25"/>
      <c r="G25"/>
      <c r="L25" s="184"/>
      <c r="M25" s="184"/>
      <c r="N25"/>
      <c r="O25"/>
      <c r="P25"/>
      <c r="Q25"/>
      <c r="R25"/>
      <c r="S25"/>
      <c r="V25"/>
    </row>
    <row r="26" spans="1:22" s="549" customFormat="1" ht="18" customHeight="1" thickBot="1" x14ac:dyDescent="0.4">
      <c r="A26" s="4"/>
      <c r="B26" s="10" t="s">
        <v>235</v>
      </c>
      <c r="C26" s="258"/>
      <c r="D26" s="194"/>
      <c r="E26" s="196"/>
      <c r="F26"/>
      <c r="G26"/>
      <c r="L26" s="181"/>
      <c r="M26" s="184"/>
      <c r="N26" s="180"/>
      <c r="O26" s="180"/>
      <c r="P26" s="181"/>
      <c r="Q26" s="181"/>
      <c r="R26" s="181"/>
      <c r="S26"/>
      <c r="V26"/>
    </row>
    <row r="27" spans="1:22" s="549" customFormat="1" ht="18" customHeight="1" thickBot="1" x14ac:dyDescent="0.4">
      <c r="A27"/>
      <c r="B27" s="1323" t="s">
        <v>99</v>
      </c>
      <c r="C27" s="1324"/>
      <c r="D27" s="1324"/>
      <c r="E27" s="304">
        <f>SUM(E19:E25)</f>
        <v>86945.9</v>
      </c>
      <c r="F27"/>
      <c r="G27"/>
      <c r="L27" s="181"/>
      <c r="M27" s="184"/>
      <c r="N27" s="180"/>
      <c r="O27" s="180"/>
      <c r="P27" s="181"/>
      <c r="Q27" s="181"/>
      <c r="R27" s="181"/>
      <c r="S27"/>
      <c r="V27"/>
    </row>
    <row r="28" spans="1:22" ht="18" customHeight="1" x14ac:dyDescent="0.35">
      <c r="A28" s="549"/>
      <c r="B28" s="1401" t="s">
        <v>79</v>
      </c>
      <c r="C28" s="1402"/>
      <c r="D28" s="1403"/>
      <c r="E28" s="470">
        <v>-1150</v>
      </c>
      <c r="F28" s="181"/>
      <c r="L28" s="181"/>
      <c r="M28" s="185"/>
      <c r="N28" s="180"/>
      <c r="O28" s="180"/>
      <c r="P28" s="181"/>
      <c r="Q28" s="181"/>
      <c r="R28" s="181"/>
      <c r="S28" s="549"/>
      <c r="U28" s="549"/>
    </row>
    <row r="29" spans="1:22" ht="18" customHeight="1" thickBot="1" x14ac:dyDescent="0.4">
      <c r="A29" s="549" t="s">
        <v>63</v>
      </c>
      <c r="B29" s="1391" t="s">
        <v>19</v>
      </c>
      <c r="C29" s="1392"/>
      <c r="D29" s="1393"/>
      <c r="E29" s="207"/>
      <c r="F29" s="181"/>
      <c r="L29" s="181"/>
      <c r="M29" s="185"/>
      <c r="N29" s="180"/>
      <c r="O29" s="180"/>
      <c r="P29" s="181"/>
      <c r="Q29" s="181"/>
      <c r="R29" s="181"/>
      <c r="S29" s="549"/>
      <c r="U29" s="549"/>
    </row>
    <row r="30" spans="1:22" ht="18" customHeight="1" thickBot="1" x14ac:dyDescent="0.4">
      <c r="B30" s="1296" t="s">
        <v>11</v>
      </c>
      <c r="C30" s="1297"/>
      <c r="D30" s="1298"/>
      <c r="E30" s="201">
        <f>+E27+E28</f>
        <v>85795.9</v>
      </c>
      <c r="F30" s="409"/>
      <c r="G30" s="115"/>
      <c r="M30" s="189"/>
      <c r="N30" s="180"/>
      <c r="O30" s="180"/>
      <c r="P30" s="181"/>
      <c r="Q30" s="181"/>
      <c r="R30" s="181"/>
    </row>
    <row r="31" spans="1:22" ht="18" customHeight="1" x14ac:dyDescent="0.35">
      <c r="B31" s="455"/>
      <c r="C31" s="455"/>
      <c r="D31" s="455"/>
      <c r="E31" s="456"/>
      <c r="F31" s="409"/>
      <c r="G31" s="115"/>
      <c r="M31" s="189"/>
      <c r="N31" s="180"/>
      <c r="O31" s="180"/>
      <c r="P31" s="181"/>
      <c r="Q31" s="181"/>
      <c r="R31" s="181"/>
    </row>
    <row r="32" spans="1:22" ht="18" customHeight="1" x14ac:dyDescent="0.35">
      <c r="B32" s="455"/>
      <c r="C32" s="455"/>
      <c r="D32" s="455"/>
      <c r="E32" s="456"/>
      <c r="F32" s="409"/>
      <c r="G32" s="115"/>
      <c r="M32" s="189"/>
      <c r="N32" s="180"/>
      <c r="O32" s="180"/>
      <c r="P32" s="181"/>
      <c r="Q32" s="181"/>
      <c r="R32" s="181"/>
    </row>
    <row r="33" spans="2:18" ht="18" customHeight="1" x14ac:dyDescent="0.35">
      <c r="G33" s="115"/>
      <c r="M33" s="189"/>
      <c r="N33" s="180"/>
      <c r="O33" s="180"/>
      <c r="P33" s="181"/>
      <c r="Q33" s="181"/>
      <c r="R33" s="181"/>
    </row>
    <row r="34" spans="2:18" ht="18" customHeight="1" thickBot="1" x14ac:dyDescent="0.4">
      <c r="B34" s="363"/>
      <c r="C34" s="322" t="s">
        <v>106</v>
      </c>
      <c r="D34" s="323" t="s">
        <v>107</v>
      </c>
      <c r="E34" s="323" t="s">
        <v>262</v>
      </c>
      <c r="G34" s="115"/>
      <c r="M34" s="189"/>
      <c r="N34" s="180"/>
      <c r="O34" s="180"/>
      <c r="P34" s="181"/>
      <c r="Q34" s="181"/>
      <c r="R34" s="181"/>
    </row>
    <row r="35" spans="2:18" ht="18" customHeight="1" thickBot="1" x14ac:dyDescent="0.4">
      <c r="B35" s="363" t="s">
        <v>116</v>
      </c>
      <c r="C35" s="326">
        <v>18</v>
      </c>
      <c r="D35" s="327">
        <v>9</v>
      </c>
      <c r="E35" s="548">
        <f>+C35*D35</f>
        <v>162</v>
      </c>
      <c r="G35" s="115"/>
      <c r="M35" s="189"/>
      <c r="N35" s="180"/>
      <c r="O35" s="180"/>
      <c r="P35" s="181"/>
      <c r="Q35" s="181"/>
      <c r="R35" s="181"/>
    </row>
    <row r="36" spans="2:18" ht="18" customHeight="1" thickBot="1" x14ac:dyDescent="0.4">
      <c r="B36" s="364" t="s">
        <v>111</v>
      </c>
      <c r="C36" s="344">
        <v>2</v>
      </c>
      <c r="D36" s="345">
        <v>8</v>
      </c>
      <c r="E36" s="548">
        <f>+C36*D36</f>
        <v>16</v>
      </c>
      <c r="G36" s="115"/>
      <c r="M36" s="189"/>
      <c r="N36" s="180"/>
      <c r="O36" s="180"/>
      <c r="P36" s="181"/>
      <c r="Q36" s="181"/>
      <c r="R36" s="181"/>
    </row>
    <row r="37" spans="2:18" ht="18" customHeight="1" thickBot="1" x14ac:dyDescent="0.4">
      <c r="B37" s="364" t="s">
        <v>117</v>
      </c>
      <c r="C37" s="328">
        <v>3</v>
      </c>
      <c r="D37" s="329">
        <v>8</v>
      </c>
      <c r="E37" s="548">
        <f>+C37*D37</f>
        <v>24</v>
      </c>
      <c r="G37" s="115"/>
      <c r="M37" s="189"/>
      <c r="N37" s="180"/>
      <c r="O37" s="180"/>
      <c r="P37" s="181"/>
      <c r="Q37" s="181"/>
      <c r="R37" s="181"/>
    </row>
    <row r="38" spans="2:18" ht="18" customHeight="1" x14ac:dyDescent="0.35">
      <c r="G38" s="115"/>
      <c r="M38" s="189"/>
      <c r="N38" s="180"/>
      <c r="O38" s="180"/>
      <c r="P38" s="181"/>
      <c r="Q38" s="181"/>
      <c r="R38" s="181"/>
    </row>
    <row r="39" spans="2:18" ht="18" customHeight="1" x14ac:dyDescent="0.35">
      <c r="G39" s="115"/>
      <c r="M39" s="189"/>
      <c r="N39" s="180"/>
      <c r="O39" s="180"/>
      <c r="P39" s="181"/>
      <c r="Q39" s="181"/>
      <c r="R39" s="181"/>
    </row>
    <row r="40" spans="2:18" ht="18" customHeight="1" x14ac:dyDescent="0.35">
      <c r="B40" s="455"/>
      <c r="C40" s="455"/>
      <c r="D40" s="455"/>
      <c r="E40" s="456"/>
      <c r="F40" s="409"/>
      <c r="G40" s="115"/>
      <c r="M40" s="189"/>
      <c r="N40" s="180"/>
      <c r="O40" s="180"/>
      <c r="P40" s="181"/>
      <c r="Q40" s="181"/>
      <c r="R40" s="181"/>
    </row>
    <row r="41" spans="2:18" ht="18" customHeight="1" x14ac:dyDescent="0.35">
      <c r="B41" s="455"/>
      <c r="C41" s="455"/>
      <c r="D41" s="455"/>
      <c r="E41" s="456"/>
      <c r="F41" s="409"/>
      <c r="G41" s="115"/>
      <c r="M41" s="189"/>
      <c r="N41" s="180"/>
      <c r="O41" s="180"/>
      <c r="P41" s="181"/>
      <c r="Q41" s="181"/>
      <c r="R41" s="181"/>
    </row>
    <row r="42" spans="2:18" ht="18" customHeight="1" x14ac:dyDescent="0.35">
      <c r="B42" s="455"/>
      <c r="C42" s="455"/>
      <c r="D42" s="455"/>
      <c r="E42" s="456"/>
      <c r="F42" s="409"/>
      <c r="G42" s="115"/>
      <c r="M42" s="189"/>
      <c r="N42" s="180"/>
      <c r="O42" s="180"/>
      <c r="P42" s="181"/>
      <c r="Q42" s="181"/>
      <c r="R42" s="181"/>
    </row>
    <row r="43" spans="2:18" ht="18" customHeight="1" x14ac:dyDescent="0.35">
      <c r="B43" s="455"/>
      <c r="C43" s="455"/>
      <c r="D43" s="455"/>
      <c r="E43" s="456"/>
      <c r="F43" s="409"/>
      <c r="G43" s="115"/>
      <c r="M43" s="189"/>
      <c r="N43" s="180"/>
      <c r="O43" s="180"/>
      <c r="P43" s="181"/>
      <c r="Q43" s="181"/>
      <c r="R43" s="181"/>
    </row>
    <row r="44" spans="2:18" ht="18" customHeight="1" x14ac:dyDescent="0.35">
      <c r="B44" s="455"/>
      <c r="C44" s="455"/>
      <c r="D44" s="455"/>
      <c r="E44" s="456"/>
      <c r="F44" s="409"/>
      <c r="G44" s="115"/>
      <c r="M44" s="189"/>
      <c r="N44" s="180"/>
      <c r="O44" s="180"/>
      <c r="P44" s="181"/>
      <c r="Q44" s="181"/>
      <c r="R44" s="181"/>
    </row>
    <row r="45" spans="2:18" ht="18" customHeight="1" x14ac:dyDescent="0.35">
      <c r="B45" s="455"/>
      <c r="C45" s="455"/>
      <c r="D45" s="455"/>
      <c r="E45" s="456"/>
      <c r="F45" s="409"/>
      <c r="G45" s="115"/>
      <c r="M45" s="189"/>
      <c r="N45" s="180"/>
      <c r="O45" s="180"/>
      <c r="P45" s="181"/>
      <c r="Q45" s="181"/>
      <c r="R45" s="181"/>
    </row>
    <row r="46" spans="2:18" ht="19.5" customHeight="1" thickBot="1" x14ac:dyDescent="0.4">
      <c r="F46" s="409"/>
      <c r="G46" s="115"/>
      <c r="M46" s="185"/>
      <c r="N46" s="181"/>
      <c r="O46" s="181"/>
      <c r="P46" s="181"/>
      <c r="Q46" s="181"/>
    </row>
    <row r="47" spans="2:18" ht="18" customHeight="1" thickBot="1" x14ac:dyDescent="0.5">
      <c r="B47" s="1417" t="s">
        <v>265</v>
      </c>
      <c r="C47" s="1418"/>
      <c r="D47" s="1418"/>
      <c r="E47" s="1419"/>
      <c r="F47" s="409"/>
      <c r="G47" s="115"/>
      <c r="M47" s="185"/>
      <c r="N47" s="181"/>
      <c r="O47" s="181"/>
      <c r="P47" s="181"/>
      <c r="Q47" s="181"/>
    </row>
    <row r="48" spans="2:18" ht="18" customHeight="1" x14ac:dyDescent="0.35">
      <c r="B48" s="169" t="s">
        <v>7</v>
      </c>
      <c r="C48" s="266" t="s">
        <v>8</v>
      </c>
      <c r="D48" s="209" t="s">
        <v>4</v>
      </c>
      <c r="E48" s="210" t="s">
        <v>9</v>
      </c>
      <c r="M48" s="185"/>
      <c r="N48" s="181"/>
      <c r="O48" s="181"/>
      <c r="P48" s="184"/>
    </row>
    <row r="49" spans="1:15" ht="18" customHeight="1" x14ac:dyDescent="0.35">
      <c r="B49" s="165" t="s">
        <v>3</v>
      </c>
      <c r="C49" s="267">
        <v>186</v>
      </c>
      <c r="D49" s="211">
        <v>224.64</v>
      </c>
      <c r="E49" s="212">
        <f>C49*D49</f>
        <v>41783.040000000001</v>
      </c>
      <c r="M49" s="182"/>
    </row>
    <row r="50" spans="1:15" ht="18" customHeight="1" x14ac:dyDescent="0.35">
      <c r="B50" s="10" t="s">
        <v>111</v>
      </c>
      <c r="C50" s="267">
        <f>+E36</f>
        <v>16</v>
      </c>
      <c r="D50" s="211">
        <v>224.64</v>
      </c>
      <c r="E50" s="212">
        <f>+C50*D50</f>
        <v>3594.24</v>
      </c>
      <c r="I50" s="549"/>
      <c r="J50" s="549"/>
      <c r="K50" s="549"/>
    </row>
    <row r="51" spans="1:15" ht="18" customHeight="1" x14ac:dyDescent="0.35">
      <c r="B51" s="10"/>
      <c r="C51" s="267"/>
      <c r="D51" s="211"/>
      <c r="E51" s="212"/>
      <c r="I51" s="549"/>
      <c r="J51" s="549"/>
      <c r="K51" s="549"/>
      <c r="O51" s="4"/>
    </row>
    <row r="52" spans="1:15" ht="18" customHeight="1" x14ac:dyDescent="0.35">
      <c r="B52" s="10" t="s">
        <v>196</v>
      </c>
      <c r="C52" s="267"/>
      <c r="D52" s="211">
        <v>5000</v>
      </c>
      <c r="E52" s="212">
        <v>5000</v>
      </c>
      <c r="L52" s="549"/>
    </row>
    <row r="53" spans="1:15" ht="18" customHeight="1" x14ac:dyDescent="0.35">
      <c r="A53" s="106"/>
      <c r="B53" s="10" t="s">
        <v>190</v>
      </c>
      <c r="C53" s="267"/>
      <c r="D53" s="211"/>
      <c r="E53" s="212"/>
      <c r="F53" s="549"/>
      <c r="G53" s="549"/>
      <c r="H53" s="549"/>
      <c r="I53" s="549"/>
      <c r="J53" s="549"/>
      <c r="K53" s="549"/>
      <c r="O53" s="549"/>
    </row>
    <row r="54" spans="1:15" ht="18" customHeight="1" x14ac:dyDescent="0.35">
      <c r="A54" s="155"/>
      <c r="B54" s="10" t="s">
        <v>195</v>
      </c>
      <c r="C54" s="267">
        <v>10</v>
      </c>
      <c r="D54" s="211">
        <f>+D49*1.5</f>
        <v>336.96</v>
      </c>
      <c r="E54" s="212">
        <f>C54*D54</f>
        <v>3369.6</v>
      </c>
      <c r="F54" s="549"/>
      <c r="G54" s="180"/>
      <c r="H54" s="180"/>
      <c r="I54" s="181"/>
      <c r="J54" s="187"/>
      <c r="K54" s="188"/>
      <c r="L54" s="549"/>
      <c r="O54" s="549"/>
    </row>
    <row r="55" spans="1:15" ht="18" customHeight="1" x14ac:dyDescent="0.35">
      <c r="A55" s="155"/>
      <c r="B55" s="10" t="s">
        <v>6</v>
      </c>
      <c r="C55" s="267">
        <v>11000</v>
      </c>
      <c r="D55" s="211"/>
      <c r="E55" s="212">
        <f>+C55</f>
        <v>11000</v>
      </c>
      <c r="G55" s="180"/>
      <c r="H55" s="180"/>
      <c r="I55" s="181"/>
      <c r="J55" s="181"/>
      <c r="K55" s="184"/>
      <c r="O55" s="549"/>
    </row>
    <row r="56" spans="1:15" s="549" customFormat="1" ht="18" customHeight="1" thickBot="1" x14ac:dyDescent="0.4">
      <c r="A56" s="4"/>
      <c r="B56" s="10" t="s">
        <v>235</v>
      </c>
      <c r="C56" s="258"/>
      <c r="D56" s="194"/>
      <c r="E56" s="196">
        <f>+C56</f>
        <v>0</v>
      </c>
      <c r="F56"/>
      <c r="G56" s="180"/>
      <c r="H56" s="180"/>
      <c r="I56" s="181"/>
      <c r="J56" s="181"/>
      <c r="K56" s="181"/>
      <c r="L56"/>
      <c r="O56"/>
    </row>
    <row r="57" spans="1:15" s="549" customFormat="1" ht="18" customHeight="1" x14ac:dyDescent="0.35">
      <c r="A57" s="155"/>
      <c r="B57" s="1420" t="s">
        <v>99</v>
      </c>
      <c r="C57" s="1421"/>
      <c r="D57" s="1422"/>
      <c r="E57" s="485">
        <f>SUM(E49:E56)</f>
        <v>64746.879999999997</v>
      </c>
      <c r="F57"/>
      <c r="G57" s="180"/>
      <c r="H57" s="180"/>
      <c r="I57" s="181"/>
      <c r="J57" s="181"/>
      <c r="K57" s="184"/>
      <c r="L57"/>
      <c r="N57"/>
      <c r="O57"/>
    </row>
    <row r="58" spans="1:15" s="549" customFormat="1" ht="18" customHeight="1" x14ac:dyDescent="0.35">
      <c r="A58" s="155"/>
      <c r="B58" s="1423" t="s">
        <v>19</v>
      </c>
      <c r="C58" s="1400"/>
      <c r="D58" s="1424"/>
      <c r="E58" s="213">
        <v>15000</v>
      </c>
      <c r="F58"/>
      <c r="G58" s="180"/>
      <c r="H58" s="180"/>
      <c r="I58" s="181"/>
      <c r="J58" s="181"/>
      <c r="K58" s="184"/>
      <c r="L58"/>
      <c r="N58"/>
      <c r="O58"/>
    </row>
    <row r="59" spans="1:15" s="555" customFormat="1" ht="18" customHeight="1" x14ac:dyDescent="0.35">
      <c r="A59" s="155"/>
      <c r="B59" s="570"/>
      <c r="C59" s="570"/>
      <c r="D59" s="570"/>
      <c r="E59" s="213"/>
      <c r="F59"/>
      <c r="G59" s="180"/>
      <c r="H59" s="180"/>
      <c r="I59" s="181"/>
      <c r="J59" s="181"/>
      <c r="K59" s="184"/>
      <c r="L59"/>
      <c r="N59"/>
      <c r="O59"/>
    </row>
    <row r="60" spans="1:15" ht="18" customHeight="1" thickBot="1" x14ac:dyDescent="0.4">
      <c r="A60" s="156"/>
      <c r="B60" s="1355" t="s">
        <v>11</v>
      </c>
      <c r="C60" s="1356"/>
      <c r="D60" s="1357"/>
      <c r="E60" s="567">
        <f>+E57-E58</f>
        <v>49746.879999999997</v>
      </c>
      <c r="G60" s="180"/>
      <c r="H60" s="180"/>
      <c r="I60" s="181"/>
      <c r="J60" s="181"/>
      <c r="K60" s="184"/>
    </row>
    <row r="61" spans="1:15" ht="7.5" customHeight="1" thickBot="1" x14ac:dyDescent="0.4">
      <c r="A61" s="155"/>
      <c r="G61" s="191"/>
      <c r="H61" s="191"/>
      <c r="I61" s="181"/>
      <c r="J61" s="181"/>
      <c r="K61" s="184"/>
      <c r="L61" s="549"/>
    </row>
    <row r="62" spans="1:15" ht="15" customHeight="1" x14ac:dyDescent="0.35">
      <c r="A62" s="155"/>
      <c r="B62" s="1428" t="s">
        <v>0</v>
      </c>
      <c r="C62" s="1429"/>
      <c r="D62" s="1429"/>
      <c r="E62" s="1430"/>
      <c r="G62" s="180"/>
      <c r="H62" s="180"/>
      <c r="I62" s="181"/>
      <c r="J62" s="181"/>
      <c r="K62" s="184"/>
      <c r="L62" s="549"/>
    </row>
    <row r="63" spans="1:15" ht="15" customHeight="1" x14ac:dyDescent="0.35">
      <c r="A63" s="155"/>
      <c r="B63" s="8" t="s">
        <v>7</v>
      </c>
      <c r="C63" s="270" t="s">
        <v>8</v>
      </c>
      <c r="D63" s="217" t="s">
        <v>4</v>
      </c>
      <c r="E63" s="218" t="s">
        <v>9</v>
      </c>
      <c r="G63" s="180"/>
      <c r="H63" s="180"/>
      <c r="I63" s="181"/>
      <c r="J63" s="181"/>
      <c r="K63" s="184"/>
      <c r="L63" s="549"/>
    </row>
    <row r="64" spans="1:15" ht="15" customHeight="1" x14ac:dyDescent="0.35">
      <c r="A64" s="155"/>
      <c r="B64" s="10" t="s">
        <v>253</v>
      </c>
      <c r="C64" s="258">
        <v>186</v>
      </c>
      <c r="D64" s="194">
        <v>302.64</v>
      </c>
      <c r="E64" s="196">
        <f>C64*D64</f>
        <v>56291.040000000001</v>
      </c>
      <c r="G64" s="180"/>
      <c r="H64" s="180"/>
      <c r="I64" s="181"/>
      <c r="J64" s="181"/>
      <c r="K64" s="184"/>
    </row>
    <row r="65" spans="1:22" ht="15" customHeight="1" x14ac:dyDescent="0.35">
      <c r="A65" s="155"/>
      <c r="B65" s="10" t="s">
        <v>111</v>
      </c>
      <c r="C65" s="258">
        <f>+E36</f>
        <v>16</v>
      </c>
      <c r="D65" s="194">
        <f>+D64</f>
        <v>302.64</v>
      </c>
      <c r="E65" s="196">
        <f>C65*D65</f>
        <v>4842.24</v>
      </c>
      <c r="G65" s="180"/>
      <c r="H65" s="180"/>
      <c r="I65" s="181"/>
      <c r="J65" s="181"/>
      <c r="K65" s="184"/>
    </row>
    <row r="66" spans="1:22" ht="15" customHeight="1" x14ac:dyDescent="0.35">
      <c r="A66" s="155"/>
      <c r="B66" s="10" t="s">
        <v>257</v>
      </c>
      <c r="C66" s="258"/>
      <c r="D66" s="194"/>
      <c r="E66" s="196">
        <v>5000</v>
      </c>
      <c r="F66" s="549"/>
      <c r="M66" s="176"/>
      <c r="N66" s="180"/>
      <c r="O66" s="180"/>
      <c r="P66" s="181"/>
      <c r="Q66" s="181"/>
      <c r="R66" s="184"/>
    </row>
    <row r="67" spans="1:22" ht="15" customHeight="1" x14ac:dyDescent="0.35">
      <c r="B67" s="10" t="s">
        <v>190</v>
      </c>
      <c r="C67" s="258"/>
      <c r="D67" s="194"/>
      <c r="E67" s="196"/>
      <c r="M67" s="176"/>
      <c r="N67" s="547"/>
      <c r="O67" s="547"/>
      <c r="P67" s="181"/>
      <c r="Q67" s="181"/>
      <c r="R67" s="184"/>
    </row>
    <row r="68" spans="1:22" ht="15" customHeight="1" x14ac:dyDescent="0.35">
      <c r="B68" s="10" t="s">
        <v>195</v>
      </c>
      <c r="C68" s="315">
        <v>2.5</v>
      </c>
      <c r="D68" s="194">
        <f>+D64*1.5</f>
        <v>453.96</v>
      </c>
      <c r="E68" s="196">
        <f>C68*D68</f>
        <v>1134.8999999999999</v>
      </c>
      <c r="M68" s="176"/>
      <c r="N68" s="176"/>
      <c r="O68" s="176"/>
      <c r="P68" s="181"/>
      <c r="Q68" s="181"/>
      <c r="R68" s="184"/>
      <c r="T68" s="549"/>
    </row>
    <row r="69" spans="1:22" s="549" customFormat="1" ht="15" customHeight="1" thickBot="1" x14ac:dyDescent="0.4">
      <c r="A69"/>
      <c r="B69" s="532" t="s">
        <v>6</v>
      </c>
      <c r="C69" s="272">
        <v>16500</v>
      </c>
      <c r="D69" s="220"/>
      <c r="E69" s="533">
        <f>+C69</f>
        <v>16500</v>
      </c>
      <c r="F69"/>
      <c r="G69"/>
      <c r="H69"/>
      <c r="I69"/>
      <c r="J69"/>
      <c r="K69"/>
      <c r="L69"/>
      <c r="M69" s="176"/>
      <c r="N69" s="176"/>
      <c r="O69" s="176"/>
      <c r="P69" s="176"/>
      <c r="Q69" s="176"/>
      <c r="R69" s="176"/>
      <c r="S69"/>
      <c r="T69"/>
      <c r="U69"/>
      <c r="V69"/>
    </row>
    <row r="70" spans="1:22" ht="15" customHeight="1" thickBot="1" x14ac:dyDescent="0.4">
      <c r="B70" s="1323" t="s">
        <v>99</v>
      </c>
      <c r="C70" s="1324"/>
      <c r="D70" s="1324"/>
      <c r="E70" s="304">
        <f>+E64+E65+E66+E68+E69</f>
        <v>83768.179999999993</v>
      </c>
      <c r="N70" s="183"/>
      <c r="O70" s="183"/>
      <c r="P70" s="176"/>
      <c r="Q70" s="176"/>
      <c r="R70" s="176"/>
      <c r="T70" s="549"/>
    </row>
    <row r="71" spans="1:22" s="549" customFormat="1" ht="15" customHeight="1" x14ac:dyDescent="0.35">
      <c r="B71" s="511" t="s">
        <v>19</v>
      </c>
      <c r="C71" s="510"/>
      <c r="D71" s="510"/>
      <c r="E71" s="470"/>
      <c r="F71"/>
      <c r="G71"/>
      <c r="H71"/>
      <c r="I71"/>
      <c r="J71"/>
      <c r="K71"/>
      <c r="L71"/>
      <c r="M71"/>
      <c r="N71" s="183"/>
      <c r="O71" s="183"/>
      <c r="P71" s="176"/>
      <c r="Q71" s="176"/>
      <c r="R71" s="176"/>
      <c r="S71"/>
      <c r="U71"/>
      <c r="V71"/>
    </row>
    <row r="72" spans="1:22" s="549" customFormat="1" ht="15" customHeight="1" x14ac:dyDescent="0.35">
      <c r="A72"/>
      <c r="B72" s="1391" t="s">
        <v>18</v>
      </c>
      <c r="C72" s="1392"/>
      <c r="D72" s="1393"/>
      <c r="E72" s="207">
        <v>-30370.35</v>
      </c>
      <c r="F72"/>
      <c r="G72"/>
      <c r="H72"/>
      <c r="I72"/>
      <c r="J72"/>
      <c r="K72"/>
      <c r="L72"/>
      <c r="M72"/>
      <c r="N72" s="176"/>
      <c r="O72" s="176"/>
      <c r="P72" s="183"/>
      <c r="Q72" s="183"/>
      <c r="R72" s="183"/>
      <c r="S72"/>
      <c r="U72"/>
    </row>
    <row r="73" spans="1:22" s="554" customFormat="1" ht="15" customHeight="1" thickBot="1" x14ac:dyDescent="0.4">
      <c r="A73"/>
      <c r="B73" s="556"/>
      <c r="C73" s="557"/>
      <c r="D73" s="557"/>
      <c r="E73" s="558"/>
      <c r="F73"/>
      <c r="G73"/>
      <c r="H73"/>
      <c r="I73"/>
      <c r="J73"/>
      <c r="K73"/>
      <c r="L73"/>
      <c r="M73"/>
      <c r="N73" s="176"/>
      <c r="O73" s="176"/>
      <c r="P73" s="183"/>
      <c r="Q73" s="183"/>
      <c r="R73" s="183"/>
      <c r="S73"/>
      <c r="U73"/>
    </row>
    <row r="74" spans="1:22" s="549" customFormat="1" ht="15" customHeight="1" thickBot="1" x14ac:dyDescent="0.4">
      <c r="B74" s="1296" t="s">
        <v>11</v>
      </c>
      <c r="C74" s="1297"/>
      <c r="D74" s="1298"/>
      <c r="E74" s="201">
        <f>+E70+E72</f>
        <v>53397.829999999994</v>
      </c>
      <c r="F74"/>
      <c r="G74"/>
      <c r="H74"/>
      <c r="I74"/>
      <c r="J74"/>
      <c r="K74"/>
      <c r="L74"/>
      <c r="M74"/>
      <c r="N74" s="176"/>
      <c r="O74" s="176"/>
      <c r="P74" s="176"/>
      <c r="Q74" s="176"/>
      <c r="R74" s="176"/>
      <c r="S74"/>
      <c r="U74"/>
    </row>
    <row r="75" spans="1:22" s="549" customFormat="1" ht="8.25" customHeight="1" thickBot="1" x14ac:dyDescent="0.4">
      <c r="A75"/>
      <c r="B75"/>
      <c r="C75" s="261"/>
      <c r="D75" s="202"/>
      <c r="E75" s="203"/>
      <c r="F75"/>
      <c r="G75"/>
      <c r="H75"/>
      <c r="I75"/>
      <c r="J75"/>
      <c r="K75"/>
      <c r="L75"/>
      <c r="M75"/>
      <c r="N75" s="176"/>
      <c r="O75" s="176"/>
      <c r="P75" s="176"/>
      <c r="Q75" s="176"/>
      <c r="R75" s="176"/>
      <c r="T75"/>
      <c r="U75"/>
      <c r="V75"/>
    </row>
    <row r="76" spans="1:22" ht="15" customHeight="1" x14ac:dyDescent="0.35">
      <c r="B76" s="1276" t="s">
        <v>28</v>
      </c>
      <c r="C76" s="1277"/>
      <c r="D76" s="1277"/>
      <c r="E76" s="1278"/>
      <c r="N76" s="176"/>
      <c r="O76" s="176"/>
      <c r="P76" s="176"/>
      <c r="Q76" s="176"/>
      <c r="R76" s="176"/>
    </row>
    <row r="77" spans="1:22" ht="15" customHeight="1" x14ac:dyDescent="0.35">
      <c r="B77" s="8" t="s">
        <v>7</v>
      </c>
      <c r="C77" s="270" t="s">
        <v>8</v>
      </c>
      <c r="D77" s="217" t="s">
        <v>4</v>
      </c>
      <c r="E77" s="218" t="s">
        <v>9</v>
      </c>
      <c r="N77" s="176"/>
      <c r="O77" s="176"/>
      <c r="P77" s="176"/>
      <c r="Q77" s="176"/>
      <c r="R77" s="176"/>
    </row>
    <row r="78" spans="1:22" ht="15" customHeight="1" x14ac:dyDescent="0.35">
      <c r="B78" s="10" t="s">
        <v>3</v>
      </c>
      <c r="C78" s="315">
        <v>186</v>
      </c>
      <c r="D78" s="194">
        <v>280.8</v>
      </c>
      <c r="E78" s="196">
        <f>+C78*D78</f>
        <v>52228.800000000003</v>
      </c>
      <c r="N78" s="176"/>
      <c r="O78" s="176"/>
      <c r="P78" s="176"/>
      <c r="Q78" s="176"/>
      <c r="R78" s="176"/>
    </row>
    <row r="79" spans="1:22" ht="15" customHeight="1" x14ac:dyDescent="0.35">
      <c r="B79" s="10" t="s">
        <v>111</v>
      </c>
      <c r="C79" s="315">
        <f>+E36</f>
        <v>16</v>
      </c>
      <c r="D79" s="194">
        <f>+D78</f>
        <v>280.8</v>
      </c>
      <c r="E79" s="196">
        <f>+C79*D79</f>
        <v>4492.8</v>
      </c>
      <c r="N79" s="176"/>
      <c r="O79" s="176"/>
      <c r="P79" s="176"/>
      <c r="Q79" s="176"/>
      <c r="R79" s="176"/>
    </row>
    <row r="80" spans="1:22" ht="15" customHeight="1" x14ac:dyDescent="0.35">
      <c r="B80" s="10" t="s">
        <v>257</v>
      </c>
      <c r="C80" s="315"/>
      <c r="D80" s="194"/>
      <c r="E80" s="196">
        <v>5000</v>
      </c>
      <c r="N80" s="176"/>
      <c r="O80" s="176"/>
      <c r="P80" s="176"/>
      <c r="Q80" s="176"/>
      <c r="R80" s="176"/>
    </row>
    <row r="81" spans="2:22" ht="15" customHeight="1" x14ac:dyDescent="0.35">
      <c r="B81" s="10" t="s">
        <v>190</v>
      </c>
      <c r="C81" s="315"/>
      <c r="D81" s="194"/>
      <c r="E81" s="196"/>
      <c r="N81" s="176"/>
      <c r="O81" s="176"/>
      <c r="P81" s="176"/>
      <c r="Q81" s="176"/>
      <c r="R81" s="176"/>
    </row>
    <row r="82" spans="2:22" ht="15" customHeight="1" x14ac:dyDescent="0.35">
      <c r="B82" s="10" t="s">
        <v>195</v>
      </c>
      <c r="C82" s="315">
        <v>12</v>
      </c>
      <c r="D82" s="194">
        <f>+D78*1.5</f>
        <v>421.20000000000005</v>
      </c>
      <c r="E82" s="196">
        <f>+D82*C82</f>
        <v>5054.4000000000005</v>
      </c>
      <c r="N82" s="176"/>
      <c r="O82" s="176"/>
      <c r="P82" s="176"/>
      <c r="Q82" s="176"/>
      <c r="R82" s="176"/>
    </row>
    <row r="83" spans="2:22" ht="15" customHeight="1" thickBot="1" x14ac:dyDescent="0.4">
      <c r="B83" s="532" t="s">
        <v>6</v>
      </c>
      <c r="C83" s="534">
        <v>16000</v>
      </c>
      <c r="D83" s="220"/>
      <c r="E83" s="533">
        <f>+C83</f>
        <v>16000</v>
      </c>
      <c r="N83" s="176"/>
      <c r="O83" s="176"/>
      <c r="P83" s="176"/>
      <c r="Q83" s="176"/>
      <c r="R83" s="176"/>
    </row>
    <row r="84" spans="2:22" ht="15" customHeight="1" thickBot="1" x14ac:dyDescent="0.4">
      <c r="B84" s="1376" t="s">
        <v>99</v>
      </c>
      <c r="C84" s="1377"/>
      <c r="D84" s="1377"/>
      <c r="E84" s="514">
        <f>SUM(E78:E83)</f>
        <v>82776</v>
      </c>
      <c r="V84" s="549"/>
    </row>
    <row r="85" spans="2:22" ht="15" customHeight="1" x14ac:dyDescent="0.35">
      <c r="B85" s="1408" t="s">
        <v>18</v>
      </c>
      <c r="C85" s="1409"/>
      <c r="D85" s="1409"/>
      <c r="E85" s="516">
        <v>-24316.9</v>
      </c>
    </row>
    <row r="86" spans="2:22" ht="15" customHeight="1" thickBot="1" x14ac:dyDescent="0.4">
      <c r="B86" s="1410" t="s">
        <v>19</v>
      </c>
      <c r="C86" s="1411"/>
      <c r="D86" s="1411"/>
      <c r="E86" s="517">
        <v>-15000</v>
      </c>
      <c r="V86" s="549"/>
    </row>
    <row r="87" spans="2:22" ht="15" customHeight="1" thickBot="1" x14ac:dyDescent="0.4">
      <c r="B87" s="1394" t="s">
        <v>11</v>
      </c>
      <c r="C87" s="1395"/>
      <c r="D87" s="1395"/>
      <c r="E87" s="515">
        <f>+E84+E85+E86</f>
        <v>43459.1</v>
      </c>
      <c r="V87" s="549"/>
    </row>
    <row r="88" spans="2:22" ht="15" customHeight="1" x14ac:dyDescent="0.35">
      <c r="B88" s="455"/>
      <c r="C88" s="455"/>
      <c r="D88" s="455"/>
      <c r="E88" s="456"/>
      <c r="V88" s="554"/>
    </row>
    <row r="89" spans="2:22" ht="15" customHeight="1" x14ac:dyDescent="0.35">
      <c r="B89" s="455"/>
      <c r="C89" s="455"/>
      <c r="D89" s="455"/>
      <c r="E89" s="456"/>
      <c r="V89" s="554"/>
    </row>
    <row r="90" spans="2:22" ht="15" customHeight="1" x14ac:dyDescent="0.35">
      <c r="B90" s="455"/>
      <c r="C90" s="455"/>
      <c r="D90" s="455"/>
      <c r="E90" s="456"/>
      <c r="V90" s="554"/>
    </row>
    <row r="91" spans="2:22" ht="15" customHeight="1" x14ac:dyDescent="0.35">
      <c r="B91" s="455"/>
      <c r="C91" s="455"/>
      <c r="D91" s="455"/>
      <c r="E91" s="456"/>
      <c r="V91" s="554"/>
    </row>
    <row r="92" spans="2:22" ht="15" customHeight="1" x14ac:dyDescent="0.35">
      <c r="B92" s="455"/>
      <c r="C92" s="455"/>
      <c r="D92" s="455"/>
      <c r="E92" s="456"/>
      <c r="V92" s="554"/>
    </row>
    <row r="93" spans="2:22" ht="15" customHeight="1" x14ac:dyDescent="0.35">
      <c r="B93" s="455"/>
      <c r="C93" s="455"/>
      <c r="D93" s="455"/>
      <c r="E93" s="456"/>
      <c r="V93" s="555"/>
    </row>
    <row r="94" spans="2:22" ht="15" customHeight="1" x14ac:dyDescent="0.35">
      <c r="B94" s="455"/>
      <c r="C94" s="455"/>
      <c r="D94" s="455"/>
      <c r="E94" s="456"/>
      <c r="V94" s="554"/>
    </row>
    <row r="95" spans="2:22" ht="15" customHeight="1" x14ac:dyDescent="0.35">
      <c r="B95" s="455"/>
      <c r="C95" s="455"/>
      <c r="D95" s="455"/>
      <c r="E95" s="456"/>
      <c r="V95" s="555"/>
    </row>
    <row r="96" spans="2:22" ht="15" customHeight="1" x14ac:dyDescent="0.35">
      <c r="B96" s="455"/>
      <c r="C96" s="455"/>
      <c r="D96" s="455"/>
      <c r="E96" s="456"/>
      <c r="V96" s="555"/>
    </row>
    <row r="97" spans="2:22" x14ac:dyDescent="0.35">
      <c r="C97"/>
      <c r="D97"/>
      <c r="E97"/>
      <c r="V97" s="554"/>
    </row>
    <row r="98" spans="2:22" ht="15" customHeight="1" thickBot="1" x14ac:dyDescent="0.4">
      <c r="C98"/>
      <c r="D98"/>
      <c r="E98"/>
      <c r="V98" s="554"/>
    </row>
    <row r="99" spans="2:22" ht="15" customHeight="1" thickBot="1" x14ac:dyDescent="0.4">
      <c r="B99" s="1273" t="s">
        <v>260</v>
      </c>
      <c r="C99" s="1274"/>
      <c r="D99" s="1274"/>
      <c r="E99" s="1275"/>
      <c r="R99" s="549"/>
    </row>
    <row r="100" spans="2:22" ht="15" customHeight="1" thickBot="1" x14ac:dyDescent="0.4">
      <c r="B100" s="522" t="s">
        <v>7</v>
      </c>
      <c r="C100" s="523" t="s">
        <v>8</v>
      </c>
      <c r="D100" s="524" t="s">
        <v>4</v>
      </c>
      <c r="E100" s="525" t="s">
        <v>9</v>
      </c>
    </row>
    <row r="101" spans="2:22" ht="15" customHeight="1" x14ac:dyDescent="0.35">
      <c r="B101" s="526" t="s">
        <v>3</v>
      </c>
      <c r="C101" s="527">
        <v>150</v>
      </c>
      <c r="D101" s="528">
        <v>350</v>
      </c>
      <c r="E101" s="529">
        <f>+C101*D101</f>
        <v>52500</v>
      </c>
    </row>
    <row r="102" spans="2:22" x14ac:dyDescent="0.35">
      <c r="B102" s="10" t="s">
        <v>218</v>
      </c>
      <c r="C102" s="258"/>
      <c r="D102" s="194" t="s">
        <v>63</v>
      </c>
      <c r="E102" s="196" t="s">
        <v>63</v>
      </c>
    </row>
    <row r="103" spans="2:22" x14ac:dyDescent="0.35">
      <c r="B103" s="10" t="s">
        <v>259</v>
      </c>
      <c r="C103" s="258" t="s">
        <v>63</v>
      </c>
      <c r="D103" s="194" t="s">
        <v>63</v>
      </c>
      <c r="E103" s="222" t="s">
        <v>63</v>
      </c>
    </row>
    <row r="104" spans="2:22" x14ac:dyDescent="0.35">
      <c r="B104" s="10" t="s">
        <v>270</v>
      </c>
      <c r="C104" s="258">
        <v>11</v>
      </c>
      <c r="D104" s="194">
        <f>+D101*1.5</f>
        <v>525</v>
      </c>
      <c r="E104" s="222">
        <f>+C104*D104</f>
        <v>5775</v>
      </c>
    </row>
    <row r="105" spans="2:22" x14ac:dyDescent="0.35">
      <c r="B105" s="486" t="s">
        <v>19</v>
      </c>
      <c r="C105" s="258"/>
      <c r="D105" s="194"/>
      <c r="E105" s="222">
        <v>-15000</v>
      </c>
    </row>
    <row r="106" spans="2:22" x14ac:dyDescent="0.35">
      <c r="B106" s="530"/>
      <c r="C106" s="258"/>
      <c r="D106" s="258"/>
      <c r="E106" s="531"/>
    </row>
    <row r="107" spans="2:22" x14ac:dyDescent="0.35">
      <c r="B107" s="530"/>
      <c r="C107" s="258"/>
      <c r="D107" s="258"/>
      <c r="E107" s="531" t="s">
        <v>63</v>
      </c>
    </row>
    <row r="108" spans="2:22" ht="16" thickBot="1" x14ac:dyDescent="0.4">
      <c r="B108" s="12" t="s">
        <v>11</v>
      </c>
      <c r="C108" s="272"/>
      <c r="D108" s="220"/>
      <c r="E108" s="303">
        <f>+E101+E104+E105</f>
        <v>43275</v>
      </c>
    </row>
    <row r="109" spans="2:22" ht="15" thickBot="1" x14ac:dyDescent="0.4">
      <c r="E109" s="203" t="s">
        <v>63</v>
      </c>
    </row>
    <row r="110" spans="2:22" ht="24" thickBot="1" x14ac:dyDescent="0.4">
      <c r="B110" s="1273" t="s">
        <v>174</v>
      </c>
      <c r="C110" s="1274"/>
      <c r="D110" s="1274"/>
      <c r="E110" s="1275"/>
    </row>
    <row r="111" spans="2:22" x14ac:dyDescent="0.35">
      <c r="B111" s="16" t="s">
        <v>7</v>
      </c>
      <c r="C111" s="257" t="s">
        <v>8</v>
      </c>
      <c r="D111" s="192" t="s">
        <v>4</v>
      </c>
      <c r="E111" s="193" t="s">
        <v>9</v>
      </c>
    </row>
    <row r="112" spans="2:22" x14ac:dyDescent="0.35">
      <c r="B112" s="10" t="s">
        <v>3</v>
      </c>
      <c r="C112" s="258">
        <v>186</v>
      </c>
      <c r="D112" s="227">
        <v>210</v>
      </c>
      <c r="E112" s="196">
        <f>C112*D112</f>
        <v>39060</v>
      </c>
    </row>
    <row r="113" spans="1:18" x14ac:dyDescent="0.35">
      <c r="B113" s="10" t="s">
        <v>111</v>
      </c>
      <c r="C113" s="258">
        <f>+E36</f>
        <v>16</v>
      </c>
      <c r="D113" s="227">
        <f>+D112</f>
        <v>210</v>
      </c>
      <c r="E113" s="196">
        <f>C113*D113</f>
        <v>3360</v>
      </c>
    </row>
    <row r="114" spans="1:18" x14ac:dyDescent="0.35">
      <c r="B114" s="10"/>
      <c r="C114" s="258"/>
      <c r="D114" s="227"/>
      <c r="E114" s="196"/>
    </row>
    <row r="115" spans="1:18" x14ac:dyDescent="0.35">
      <c r="B115" s="10" t="s">
        <v>196</v>
      </c>
      <c r="C115" s="258"/>
      <c r="D115" s="227">
        <v>5000</v>
      </c>
      <c r="E115" s="196">
        <v>5000</v>
      </c>
    </row>
    <row r="116" spans="1:18" x14ac:dyDescent="0.35">
      <c r="B116" s="10" t="s">
        <v>190</v>
      </c>
      <c r="C116" s="258"/>
      <c r="D116" s="227" t="s">
        <v>63</v>
      </c>
      <c r="E116" s="196" t="s">
        <v>63</v>
      </c>
    </row>
    <row r="117" spans="1:18" x14ac:dyDescent="0.35">
      <c r="B117" s="10" t="s">
        <v>195</v>
      </c>
      <c r="C117" s="258">
        <v>2.5</v>
      </c>
      <c r="D117" s="227">
        <f>+D112*1.5</f>
        <v>315</v>
      </c>
      <c r="E117" s="196">
        <f>+C117*D117</f>
        <v>787.5</v>
      </c>
    </row>
    <row r="118" spans="1:18" x14ac:dyDescent="0.35">
      <c r="B118" s="10" t="s">
        <v>6</v>
      </c>
      <c r="C118" s="258">
        <v>11000</v>
      </c>
      <c r="D118" s="227"/>
      <c r="E118" s="196">
        <f>+C118</f>
        <v>11000</v>
      </c>
    </row>
    <row r="119" spans="1:18" s="549" customFormat="1" ht="15" thickBot="1" x14ac:dyDescent="0.4">
      <c r="A119" s="4"/>
      <c r="B119" s="532" t="s">
        <v>235</v>
      </c>
      <c r="C119" s="272"/>
      <c r="D119" s="220"/>
      <c r="E119" s="533">
        <f>+C119</f>
        <v>0</v>
      </c>
      <c r="F119" s="181"/>
      <c r="G119" s="181"/>
      <c r="H119" s="181"/>
      <c r="I119" s="184"/>
      <c r="J119" s="180"/>
      <c r="K119" s="180"/>
      <c r="L119" s="181"/>
      <c r="M119" s="181"/>
      <c r="N119" s="181"/>
      <c r="O119"/>
      <c r="R119"/>
    </row>
    <row r="120" spans="1:18" x14ac:dyDescent="0.35">
      <c r="B120" s="1376" t="s">
        <v>99</v>
      </c>
      <c r="C120" s="1377"/>
      <c r="D120" s="1377"/>
      <c r="E120" s="485">
        <f>SUM(E112:E119)</f>
        <v>59207.5</v>
      </c>
    </row>
    <row r="121" spans="1:18" x14ac:dyDescent="0.35">
      <c r="B121" s="1386" t="s">
        <v>19</v>
      </c>
      <c r="C121" s="1387"/>
      <c r="D121" s="1387"/>
      <c r="E121" s="207">
        <v>10000</v>
      </c>
    </row>
    <row r="122" spans="1:18" x14ac:dyDescent="0.35">
      <c r="B122" s="1391" t="s">
        <v>63</v>
      </c>
      <c r="C122" s="1392"/>
      <c r="D122" s="1393"/>
      <c r="E122" s="207"/>
    </row>
    <row r="123" spans="1:18" x14ac:dyDescent="0.35">
      <c r="B123" s="1386" t="s">
        <v>63</v>
      </c>
      <c r="C123" s="1387"/>
      <c r="D123" s="1387"/>
      <c r="E123" s="207"/>
    </row>
    <row r="124" spans="1:18" ht="16" thickBot="1" x14ac:dyDescent="0.4">
      <c r="B124" s="1296" t="s">
        <v>11</v>
      </c>
      <c r="C124" s="1297"/>
      <c r="D124" s="1335"/>
      <c r="E124" s="303">
        <f>+E120-E121</f>
        <v>49207.5</v>
      </c>
    </row>
    <row r="125" spans="1:18" ht="15" thickBot="1" x14ac:dyDescent="0.4"/>
    <row r="126" spans="1:18" ht="24" thickBot="1" x14ac:dyDescent="0.4">
      <c r="B126" s="1273" t="s">
        <v>263</v>
      </c>
      <c r="C126" s="1274"/>
      <c r="D126" s="1274"/>
      <c r="E126" s="1275"/>
    </row>
    <row r="127" spans="1:18" x14ac:dyDescent="0.35">
      <c r="B127" s="16" t="s">
        <v>7</v>
      </c>
      <c r="C127" s="257" t="s">
        <v>8</v>
      </c>
      <c r="D127" s="192" t="s">
        <v>4</v>
      </c>
      <c r="E127" s="193" t="s">
        <v>9</v>
      </c>
    </row>
    <row r="128" spans="1:18" x14ac:dyDescent="0.35">
      <c r="B128" s="10" t="s">
        <v>3</v>
      </c>
      <c r="C128" s="258">
        <v>98</v>
      </c>
      <c r="D128" s="227">
        <v>224.64</v>
      </c>
      <c r="E128" s="196">
        <f>+C128*D128</f>
        <v>22014.719999999998</v>
      </c>
    </row>
    <row r="129" spans="1:22" x14ac:dyDescent="0.35">
      <c r="B129" s="10" t="s">
        <v>111</v>
      </c>
      <c r="C129" s="258">
        <v>8</v>
      </c>
      <c r="D129" s="227">
        <v>224.64</v>
      </c>
      <c r="E129" s="196">
        <f>+C129*D129</f>
        <v>1797.12</v>
      </c>
    </row>
    <row r="130" spans="1:22" x14ac:dyDescent="0.35">
      <c r="B130" s="10" t="s">
        <v>266</v>
      </c>
      <c r="C130" s="258"/>
      <c r="D130" s="227"/>
      <c r="E130" s="196">
        <v>2500</v>
      </c>
    </row>
    <row r="131" spans="1:22" x14ac:dyDescent="0.35">
      <c r="B131" s="10" t="s">
        <v>190</v>
      </c>
      <c r="C131" s="258"/>
      <c r="D131" s="194" t="s">
        <v>63</v>
      </c>
      <c r="E131" s="196" t="s">
        <v>63</v>
      </c>
    </row>
    <row r="132" spans="1:22" x14ac:dyDescent="0.35">
      <c r="B132" s="10" t="s">
        <v>195</v>
      </c>
      <c r="C132" s="258">
        <v>11.4</v>
      </c>
      <c r="D132" s="194">
        <f>+D128*1.5</f>
        <v>336.96</v>
      </c>
      <c r="E132" s="196">
        <f>+C132*D132</f>
        <v>3841.3440000000001</v>
      </c>
    </row>
    <row r="133" spans="1:22" x14ac:dyDescent="0.35">
      <c r="B133" s="10" t="s">
        <v>6</v>
      </c>
      <c r="C133" s="258">
        <v>5500</v>
      </c>
      <c r="D133" s="194"/>
      <c r="E133" s="196">
        <v>5500</v>
      </c>
    </row>
    <row r="134" spans="1:22" s="549" customFormat="1" ht="15" thickBot="1" x14ac:dyDescent="0.4">
      <c r="A134" s="4"/>
      <c r="B134" s="532" t="s">
        <v>235</v>
      </c>
      <c r="C134" s="272"/>
      <c r="D134" s="220"/>
      <c r="E134" s="533" t="s">
        <v>261</v>
      </c>
      <c r="F134"/>
      <c r="G134"/>
      <c r="H134" s="181"/>
      <c r="I134" s="181"/>
      <c r="J134" s="181"/>
      <c r="K134" s="181"/>
      <c r="L134" s="181"/>
      <c r="M134" s="184"/>
      <c r="N134" s="180"/>
      <c r="O134" s="180"/>
      <c r="P134" s="181"/>
      <c r="Q134" s="181"/>
      <c r="R134" s="181"/>
      <c r="S134"/>
      <c r="V134"/>
    </row>
    <row r="135" spans="1:22" s="554" customFormat="1" ht="15" thickBot="1" x14ac:dyDescent="0.4">
      <c r="A135" s="4"/>
      <c r="B135" s="559"/>
      <c r="C135" s="560"/>
      <c r="D135" s="561"/>
      <c r="E135" s="562"/>
      <c r="F135"/>
      <c r="G135"/>
      <c r="H135" s="181"/>
      <c r="I135" s="181"/>
      <c r="J135" s="181"/>
      <c r="K135" s="181"/>
      <c r="L135" s="181"/>
      <c r="M135" s="184"/>
      <c r="N135" s="180"/>
      <c r="O135" s="180"/>
      <c r="P135" s="181"/>
      <c r="Q135" s="181"/>
      <c r="R135" s="181"/>
      <c r="S135"/>
      <c r="V135"/>
    </row>
    <row r="136" spans="1:22" ht="15" thickBot="1" x14ac:dyDescent="0.4">
      <c r="B136" s="1323" t="s">
        <v>99</v>
      </c>
      <c r="C136" s="1324"/>
      <c r="D136" s="1324"/>
      <c r="E136" s="304">
        <f>SUM(E128:E133)</f>
        <v>35653.183999999994</v>
      </c>
    </row>
    <row r="137" spans="1:22" ht="53.25" customHeight="1" thickBot="1" x14ac:dyDescent="0.4"/>
    <row r="138" spans="1:22" ht="24" thickBot="1" x14ac:dyDescent="0.4">
      <c r="B138" s="1273" t="s">
        <v>264</v>
      </c>
      <c r="C138" s="1274"/>
      <c r="D138" s="1274"/>
      <c r="E138" s="1275"/>
    </row>
    <row r="139" spans="1:22" x14ac:dyDescent="0.35">
      <c r="B139" s="16" t="s">
        <v>7</v>
      </c>
      <c r="C139" s="257" t="s">
        <v>8</v>
      </c>
      <c r="D139" s="192" t="s">
        <v>4</v>
      </c>
      <c r="E139" s="193" t="s">
        <v>9</v>
      </c>
    </row>
    <row r="140" spans="1:22" x14ac:dyDescent="0.35">
      <c r="B140" s="10" t="s">
        <v>3</v>
      </c>
      <c r="C140" s="258">
        <v>186</v>
      </c>
      <c r="D140" s="227">
        <v>190</v>
      </c>
      <c r="E140" s="196">
        <f>C140*D140</f>
        <v>35340</v>
      </c>
    </row>
    <row r="141" spans="1:22" x14ac:dyDescent="0.35">
      <c r="B141" s="10" t="s">
        <v>111</v>
      </c>
      <c r="C141" s="258">
        <v>16</v>
      </c>
      <c r="D141" s="227">
        <v>190</v>
      </c>
      <c r="E141" s="196">
        <f>C141*D141</f>
        <v>3040</v>
      </c>
    </row>
    <row r="142" spans="1:22" x14ac:dyDescent="0.35">
      <c r="B142" s="10" t="s">
        <v>196</v>
      </c>
      <c r="C142" s="258"/>
      <c r="D142" s="227">
        <v>5000</v>
      </c>
      <c r="E142" s="196">
        <f>+D142</f>
        <v>5000</v>
      </c>
    </row>
    <row r="143" spans="1:22" x14ac:dyDescent="0.35">
      <c r="B143" s="10" t="s">
        <v>190</v>
      </c>
      <c r="C143" s="258"/>
      <c r="D143" s="227" t="s">
        <v>63</v>
      </c>
      <c r="E143" s="196" t="s">
        <v>63</v>
      </c>
    </row>
    <row r="144" spans="1:22" x14ac:dyDescent="0.35">
      <c r="B144" s="10" t="s">
        <v>195</v>
      </c>
      <c r="C144" s="258">
        <v>4.5</v>
      </c>
      <c r="D144" s="227">
        <f>+D140*1.5</f>
        <v>285</v>
      </c>
      <c r="E144" s="196">
        <f>+D144*C144</f>
        <v>1282.5</v>
      </c>
    </row>
    <row r="145" spans="2:5" ht="15" thickBot="1" x14ac:dyDescent="0.4">
      <c r="B145" s="532" t="s">
        <v>6</v>
      </c>
      <c r="C145" s="272">
        <v>8000</v>
      </c>
      <c r="D145" s="535"/>
      <c r="E145" s="533">
        <f>+C145</f>
        <v>8000</v>
      </c>
    </row>
    <row r="146" spans="2:5" ht="15" thickBot="1" x14ac:dyDescent="0.4">
      <c r="B146" s="1323" t="s">
        <v>99</v>
      </c>
      <c r="C146" s="1324"/>
      <c r="D146" s="1324"/>
      <c r="E146" s="304">
        <v>47817.5</v>
      </c>
    </row>
    <row r="147" spans="2:5" x14ac:dyDescent="0.35">
      <c r="B147" s="1412" t="s">
        <v>19</v>
      </c>
      <c r="C147" s="1413"/>
      <c r="D147" s="1414"/>
      <c r="E147" s="516">
        <v>-5000</v>
      </c>
    </row>
    <row r="148" spans="2:5" ht="16" thickBot="1" x14ac:dyDescent="0.4">
      <c r="B148" s="1296" t="s">
        <v>11</v>
      </c>
      <c r="C148" s="1297"/>
      <c r="D148" s="1335"/>
      <c r="E148" s="303">
        <f>+E146+E147</f>
        <v>42817.5</v>
      </c>
    </row>
    <row r="149" spans="2:5" x14ac:dyDescent="0.35">
      <c r="E149" s="203" t="s">
        <v>63</v>
      </c>
    </row>
  </sheetData>
  <mergeCells count="35">
    <mergeCell ref="B2:E2"/>
    <mergeCell ref="B138:E138"/>
    <mergeCell ref="B146:D146"/>
    <mergeCell ref="B147:D147"/>
    <mergeCell ref="B148:D148"/>
    <mergeCell ref="B99:E99"/>
    <mergeCell ref="B110:E110"/>
    <mergeCell ref="B120:D120"/>
    <mergeCell ref="B121:D121"/>
    <mergeCell ref="B122:D122"/>
    <mergeCell ref="B123:D123"/>
    <mergeCell ref="B124:D124"/>
    <mergeCell ref="B126:E126"/>
    <mergeCell ref="B136:D136"/>
    <mergeCell ref="B87:D87"/>
    <mergeCell ref="B62:E62"/>
    <mergeCell ref="B84:D84"/>
    <mergeCell ref="B85:D85"/>
    <mergeCell ref="B86:D86"/>
    <mergeCell ref="B70:D70"/>
    <mergeCell ref="B72:D72"/>
    <mergeCell ref="B30:D30"/>
    <mergeCell ref="B47:E47"/>
    <mergeCell ref="B57:D57"/>
    <mergeCell ref="B74:D74"/>
    <mergeCell ref="B76:E76"/>
    <mergeCell ref="B58:D58"/>
    <mergeCell ref="B60:D60"/>
    <mergeCell ref="B29:D29"/>
    <mergeCell ref="B12:D12"/>
    <mergeCell ref="B14:D14"/>
    <mergeCell ref="B15:D15"/>
    <mergeCell ref="B17:E17"/>
    <mergeCell ref="B27:D27"/>
    <mergeCell ref="B28:D28"/>
  </mergeCells>
  <pageMargins left="0.31496062992125984" right="0.11811023622047245" top="0" bottom="0" header="0.31496062992125984" footer="0.31496062992125984"/>
  <pageSetup paperSize="9" fitToWidth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D73"/>
  <sheetViews>
    <sheetView workbookViewId="0">
      <selection activeCell="A6" sqref="A6"/>
    </sheetView>
  </sheetViews>
  <sheetFormatPr baseColWidth="10" defaultRowHeight="14.5" x14ac:dyDescent="0.35"/>
  <cols>
    <col min="2" max="2" width="22" customWidth="1"/>
    <col min="3" max="3" width="21.7265625" customWidth="1"/>
    <col min="4" max="4" width="15.7265625" customWidth="1"/>
  </cols>
  <sheetData>
    <row r="2" spans="2:3" x14ac:dyDescent="0.35">
      <c r="B2" s="564" t="s">
        <v>76</v>
      </c>
      <c r="C2">
        <v>2022</v>
      </c>
    </row>
    <row r="4" spans="2:3" x14ac:dyDescent="0.35">
      <c r="B4" s="563" t="s">
        <v>7</v>
      </c>
      <c r="C4" s="563" t="s">
        <v>268</v>
      </c>
    </row>
    <row r="5" spans="2:3" x14ac:dyDescent="0.35">
      <c r="B5" s="3" t="s">
        <v>10</v>
      </c>
      <c r="C5" s="3">
        <v>34154.339999999997</v>
      </c>
    </row>
    <row r="6" spans="2:3" x14ac:dyDescent="0.35">
      <c r="B6" s="3" t="s">
        <v>15</v>
      </c>
      <c r="C6" s="3">
        <v>81737.399999999994</v>
      </c>
    </row>
    <row r="7" spans="2:3" x14ac:dyDescent="0.35">
      <c r="B7" s="3" t="s">
        <v>16</v>
      </c>
      <c r="C7" s="3">
        <v>47640.44</v>
      </c>
    </row>
    <row r="8" spans="2:3" x14ac:dyDescent="0.35">
      <c r="B8" s="3" t="s">
        <v>0</v>
      </c>
      <c r="C8" s="3">
        <v>48743.81</v>
      </c>
    </row>
    <row r="9" spans="2:3" x14ac:dyDescent="0.35">
      <c r="B9" s="3" t="s">
        <v>28</v>
      </c>
      <c r="C9" s="3">
        <v>40092.81</v>
      </c>
    </row>
    <row r="10" spans="2:3" x14ac:dyDescent="0.35">
      <c r="B10" s="3" t="s">
        <v>174</v>
      </c>
      <c r="C10" s="3">
        <v>48095.03</v>
      </c>
    </row>
    <row r="11" spans="2:3" x14ac:dyDescent="0.35">
      <c r="B11" s="3" t="s">
        <v>245</v>
      </c>
      <c r="C11" s="3">
        <v>51158.67</v>
      </c>
    </row>
    <row r="12" spans="2:3" x14ac:dyDescent="0.35">
      <c r="B12" s="3" t="s">
        <v>267</v>
      </c>
      <c r="C12" s="3">
        <v>61566.87</v>
      </c>
    </row>
    <row r="13" spans="2:3" x14ac:dyDescent="0.35">
      <c r="B13" s="3" t="s">
        <v>260</v>
      </c>
      <c r="C13" s="3">
        <v>55100</v>
      </c>
    </row>
    <row r="14" spans="2:3" x14ac:dyDescent="0.35">
      <c r="B14" s="3"/>
      <c r="C14" s="3"/>
    </row>
    <row r="15" spans="2:3" x14ac:dyDescent="0.35">
      <c r="B15" s="3" t="s">
        <v>269</v>
      </c>
      <c r="C15" s="3">
        <f>+C5+C6+C7+C8+C9+C10+C11+C12+C13</f>
        <v>468289.36999999994</v>
      </c>
    </row>
    <row r="19" spans="2:4" ht="18.5" x14ac:dyDescent="0.45">
      <c r="B19" s="576">
        <v>44652</v>
      </c>
    </row>
    <row r="20" spans="2:4" x14ac:dyDescent="0.35">
      <c r="B20" s="568" t="s">
        <v>271</v>
      </c>
      <c r="C20" s="568" t="s">
        <v>272</v>
      </c>
      <c r="D20" s="568" t="s">
        <v>200</v>
      </c>
    </row>
    <row r="21" spans="2:4" x14ac:dyDescent="0.35">
      <c r="B21" s="3" t="s">
        <v>10</v>
      </c>
      <c r="C21" s="3">
        <v>280.37</v>
      </c>
      <c r="D21" s="3">
        <v>5000</v>
      </c>
    </row>
    <row r="22" spans="2:4" x14ac:dyDescent="0.35">
      <c r="B22" s="3" t="s">
        <v>15</v>
      </c>
      <c r="C22" s="3">
        <v>321.39999999999998</v>
      </c>
      <c r="D22" s="3">
        <v>5000</v>
      </c>
    </row>
    <row r="23" spans="2:4" x14ac:dyDescent="0.35">
      <c r="B23" s="3" t="s">
        <v>16</v>
      </c>
      <c r="C23" s="3">
        <v>238.57</v>
      </c>
      <c r="D23" s="3">
        <v>5000</v>
      </c>
    </row>
    <row r="24" spans="2:4" x14ac:dyDescent="0.35">
      <c r="B24" s="3" t="s">
        <v>0</v>
      </c>
      <c r="C24" s="3">
        <v>321.39999999999998</v>
      </c>
      <c r="D24" s="3">
        <v>5000</v>
      </c>
    </row>
    <row r="25" spans="2:4" x14ac:dyDescent="0.35">
      <c r="B25" s="3" t="s">
        <v>28</v>
      </c>
      <c r="C25" s="3">
        <v>298.20999999999998</v>
      </c>
      <c r="D25" s="3">
        <v>5000</v>
      </c>
    </row>
    <row r="26" spans="2:4" x14ac:dyDescent="0.35">
      <c r="B26" s="3" t="s">
        <v>174</v>
      </c>
      <c r="C26" s="3">
        <v>223.02</v>
      </c>
      <c r="D26" s="3">
        <v>5000</v>
      </c>
    </row>
    <row r="27" spans="2:4" x14ac:dyDescent="0.35">
      <c r="B27" s="3" t="s">
        <v>245</v>
      </c>
      <c r="C27" s="3">
        <v>201.18</v>
      </c>
      <c r="D27" s="3">
        <v>5000</v>
      </c>
    </row>
    <row r="28" spans="2:4" x14ac:dyDescent="0.35">
      <c r="B28" s="3" t="s">
        <v>267</v>
      </c>
      <c r="C28" s="3">
        <v>238.57</v>
      </c>
      <c r="D28" s="3">
        <v>5000</v>
      </c>
    </row>
    <row r="29" spans="2:4" x14ac:dyDescent="0.35">
      <c r="B29" s="3" t="s">
        <v>260</v>
      </c>
      <c r="C29" s="3">
        <v>400</v>
      </c>
      <c r="D29" s="3"/>
    </row>
    <row r="31" spans="2:4" x14ac:dyDescent="0.35">
      <c r="B31" s="585">
        <v>44682</v>
      </c>
    </row>
    <row r="32" spans="2:4" x14ac:dyDescent="0.35">
      <c r="B32" s="568" t="s">
        <v>271</v>
      </c>
      <c r="C32" s="568" t="s">
        <v>272</v>
      </c>
      <c r="D32" s="568" t="s">
        <v>200</v>
      </c>
    </row>
    <row r="33" spans="2:4" x14ac:dyDescent="0.35">
      <c r="B33" s="3" t="s">
        <v>10</v>
      </c>
      <c r="C33" s="3">
        <v>291.60000000000002</v>
      </c>
      <c r="D33" s="3">
        <v>5000</v>
      </c>
    </row>
    <row r="34" spans="2:4" x14ac:dyDescent="0.35">
      <c r="B34" s="3" t="s">
        <v>15</v>
      </c>
      <c r="C34" s="3">
        <v>334.3</v>
      </c>
      <c r="D34" s="3">
        <v>5000</v>
      </c>
    </row>
    <row r="35" spans="2:4" x14ac:dyDescent="0.35">
      <c r="B35" s="3" t="s">
        <v>16</v>
      </c>
      <c r="C35" s="3">
        <v>248.15</v>
      </c>
      <c r="D35" s="3">
        <v>5000</v>
      </c>
    </row>
    <row r="36" spans="2:4" x14ac:dyDescent="0.35">
      <c r="B36" s="3" t="s">
        <v>0</v>
      </c>
      <c r="C36" s="3">
        <v>334.3</v>
      </c>
      <c r="D36" s="3">
        <v>5000</v>
      </c>
    </row>
    <row r="37" spans="2:4" x14ac:dyDescent="0.35">
      <c r="B37" s="3" t="s">
        <v>28</v>
      </c>
      <c r="C37" s="3">
        <v>310.14999999999998</v>
      </c>
      <c r="D37" s="3">
        <v>5000</v>
      </c>
    </row>
    <row r="38" spans="2:4" x14ac:dyDescent="0.35">
      <c r="B38" s="3" t="s">
        <v>174</v>
      </c>
      <c r="C38" s="3">
        <v>232</v>
      </c>
      <c r="D38" s="3">
        <v>5000</v>
      </c>
    </row>
    <row r="39" spans="2:4" x14ac:dyDescent="0.35">
      <c r="B39" s="3" t="s">
        <v>245</v>
      </c>
      <c r="C39" s="3">
        <v>209.25</v>
      </c>
      <c r="D39" s="3">
        <v>5000</v>
      </c>
    </row>
    <row r="40" spans="2:4" x14ac:dyDescent="0.35">
      <c r="B40" s="3" t="s">
        <v>267</v>
      </c>
      <c r="C40" s="3">
        <v>248.15</v>
      </c>
      <c r="D40" s="3">
        <v>5000</v>
      </c>
    </row>
    <row r="41" spans="2:4" x14ac:dyDescent="0.35">
      <c r="B41" s="3" t="s">
        <v>260</v>
      </c>
      <c r="C41" s="3">
        <v>400</v>
      </c>
      <c r="D41" s="3"/>
    </row>
    <row r="42" spans="2:4" x14ac:dyDescent="0.35">
      <c r="B42" s="588" t="s">
        <v>276</v>
      </c>
      <c r="C42" s="588">
        <v>310</v>
      </c>
      <c r="D42" s="3"/>
    </row>
    <row r="43" spans="2:4" x14ac:dyDescent="0.35">
      <c r="B43" s="588" t="s">
        <v>277</v>
      </c>
      <c r="C43" s="3"/>
      <c r="D43" s="3"/>
    </row>
    <row r="45" spans="2:4" x14ac:dyDescent="0.35">
      <c r="B45" s="585">
        <v>44713</v>
      </c>
    </row>
    <row r="46" spans="2:4" x14ac:dyDescent="0.35">
      <c r="B46" s="568" t="s">
        <v>271</v>
      </c>
      <c r="C46" s="568" t="s">
        <v>272</v>
      </c>
      <c r="D46" s="568" t="s">
        <v>200</v>
      </c>
    </row>
    <row r="47" spans="2:4" x14ac:dyDescent="0.35">
      <c r="B47" s="3" t="s">
        <v>10</v>
      </c>
      <c r="C47" s="3">
        <f>291.6*1.1</f>
        <v>320.76000000000005</v>
      </c>
      <c r="D47" s="3">
        <v>5000</v>
      </c>
    </row>
    <row r="48" spans="2:4" x14ac:dyDescent="0.35">
      <c r="B48" s="3" t="s">
        <v>15</v>
      </c>
      <c r="C48" s="3">
        <f>334.3*1.1</f>
        <v>367.73</v>
      </c>
      <c r="D48" s="3">
        <v>5000</v>
      </c>
    </row>
    <row r="49" spans="2:4" x14ac:dyDescent="0.35">
      <c r="B49" s="3" t="s">
        <v>16</v>
      </c>
      <c r="C49" s="3">
        <f>248.15*1.1</f>
        <v>272.96500000000003</v>
      </c>
      <c r="D49" s="3">
        <v>5000</v>
      </c>
    </row>
    <row r="50" spans="2:4" x14ac:dyDescent="0.35">
      <c r="B50" s="3" t="s">
        <v>0</v>
      </c>
      <c r="C50" s="3">
        <f>334.3*1.1</f>
        <v>367.73</v>
      </c>
      <c r="D50" s="3">
        <v>5000</v>
      </c>
    </row>
    <row r="51" spans="2:4" x14ac:dyDescent="0.35">
      <c r="B51" s="3" t="s">
        <v>28</v>
      </c>
      <c r="C51" s="3">
        <f>310.15*1.1</f>
        <v>341.16500000000002</v>
      </c>
      <c r="D51" s="3">
        <v>5000</v>
      </c>
    </row>
    <row r="52" spans="2:4" x14ac:dyDescent="0.35">
      <c r="B52" s="3" t="s">
        <v>174</v>
      </c>
      <c r="C52" s="3">
        <f>232*1.1</f>
        <v>255.20000000000002</v>
      </c>
      <c r="D52" s="3">
        <v>5000</v>
      </c>
    </row>
    <row r="53" spans="2:4" x14ac:dyDescent="0.35">
      <c r="B53" s="3" t="s">
        <v>245</v>
      </c>
      <c r="C53" s="3">
        <f>209.25*1.1</f>
        <v>230.17500000000001</v>
      </c>
      <c r="D53" s="3">
        <v>5000</v>
      </c>
    </row>
    <row r="54" spans="2:4" x14ac:dyDescent="0.35">
      <c r="B54" s="3" t="s">
        <v>267</v>
      </c>
      <c r="C54" s="3">
        <f>248.15*1.1</f>
        <v>272.96500000000003</v>
      </c>
      <c r="D54" s="3">
        <v>5000</v>
      </c>
    </row>
    <row r="55" spans="2:4" x14ac:dyDescent="0.35">
      <c r="B55" s="3" t="s">
        <v>260</v>
      </c>
      <c r="C55" s="3">
        <v>400</v>
      </c>
      <c r="D55" s="3">
        <v>5000</v>
      </c>
    </row>
    <row r="56" spans="2:4" x14ac:dyDescent="0.35">
      <c r="B56" s="588" t="s">
        <v>276</v>
      </c>
      <c r="C56" s="588">
        <v>310</v>
      </c>
      <c r="D56" s="3">
        <v>2500</v>
      </c>
    </row>
    <row r="57" spans="2:4" x14ac:dyDescent="0.35">
      <c r="B57" s="588" t="s">
        <v>277</v>
      </c>
      <c r="C57" s="3">
        <v>360</v>
      </c>
      <c r="D57" s="3">
        <v>5000</v>
      </c>
    </row>
    <row r="58" spans="2:4" x14ac:dyDescent="0.35">
      <c r="B58" s="176"/>
      <c r="C58" s="4"/>
      <c r="D58" s="4"/>
    </row>
    <row r="59" spans="2:4" x14ac:dyDescent="0.35">
      <c r="B59" s="176"/>
      <c r="C59" s="4"/>
      <c r="D59" s="4"/>
    </row>
    <row r="61" spans="2:4" s="90" customFormat="1" x14ac:dyDescent="0.35">
      <c r="B61" s="568" t="s">
        <v>271</v>
      </c>
      <c r="C61" s="568" t="s">
        <v>9</v>
      </c>
    </row>
    <row r="62" spans="2:4" x14ac:dyDescent="0.35">
      <c r="B62" s="3" t="s">
        <v>10</v>
      </c>
      <c r="C62" s="75">
        <v>61062.48</v>
      </c>
    </row>
    <row r="63" spans="2:4" x14ac:dyDescent="0.35">
      <c r="B63" s="3" t="s">
        <v>15</v>
      </c>
      <c r="C63" s="75">
        <v>176404.15</v>
      </c>
    </row>
    <row r="64" spans="2:4" x14ac:dyDescent="0.35">
      <c r="B64" s="3" t="s">
        <v>16</v>
      </c>
      <c r="C64" s="75">
        <v>107708.65</v>
      </c>
    </row>
    <row r="65" spans="2:3" x14ac:dyDescent="0.35">
      <c r="B65" s="3" t="s">
        <v>0</v>
      </c>
      <c r="C65" s="75">
        <v>98095.3</v>
      </c>
    </row>
    <row r="66" spans="2:3" x14ac:dyDescent="0.35">
      <c r="B66" s="3" t="s">
        <v>28</v>
      </c>
      <c r="C66" s="75">
        <v>100660.98</v>
      </c>
    </row>
    <row r="67" spans="2:3" x14ac:dyDescent="0.35">
      <c r="B67" s="3" t="s">
        <v>174</v>
      </c>
      <c r="C67" s="75">
        <v>96940.800000000003</v>
      </c>
    </row>
    <row r="68" spans="2:3" x14ac:dyDescent="0.35">
      <c r="B68" s="3" t="s">
        <v>267</v>
      </c>
      <c r="C68" s="75">
        <v>101554.24000000001</v>
      </c>
    </row>
    <row r="69" spans="2:3" x14ac:dyDescent="0.35">
      <c r="B69" s="3" t="s">
        <v>245</v>
      </c>
      <c r="C69" s="75">
        <v>79797.94</v>
      </c>
    </row>
    <row r="70" spans="2:3" x14ac:dyDescent="0.35">
      <c r="B70" s="3" t="s">
        <v>276</v>
      </c>
      <c r="C70" s="75">
        <v>57100</v>
      </c>
    </row>
    <row r="71" spans="2:3" x14ac:dyDescent="0.35">
      <c r="B71" s="3" t="s">
        <v>277</v>
      </c>
      <c r="C71" s="75">
        <v>20480</v>
      </c>
    </row>
    <row r="72" spans="2:3" x14ac:dyDescent="0.35">
      <c r="B72" s="3" t="s">
        <v>260</v>
      </c>
      <c r="C72" s="75">
        <v>85200</v>
      </c>
    </row>
    <row r="73" spans="2:3" s="90" customFormat="1" x14ac:dyDescent="0.35">
      <c r="B73" s="141" t="s">
        <v>291</v>
      </c>
      <c r="C73" s="616">
        <f>SUM(C62:C72)</f>
        <v>985004.54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G136"/>
  <sheetViews>
    <sheetView topLeftCell="C109" workbookViewId="0">
      <selection activeCell="A6" sqref="A6"/>
    </sheetView>
  </sheetViews>
  <sheetFormatPr baseColWidth="10" defaultRowHeight="14.5" x14ac:dyDescent="0.35"/>
  <cols>
    <col min="1" max="1" width="8.984375E-2" hidden="1" customWidth="1"/>
    <col min="2" max="2" width="11.08984375" hidden="1" customWidth="1"/>
    <col min="4" max="4" width="18.36328125" customWidth="1"/>
    <col min="5" max="5" width="14.90625" customWidth="1"/>
    <col min="7" max="7" width="15.26953125" customWidth="1"/>
  </cols>
  <sheetData>
    <row r="2" spans="4:7" ht="28.5" x14ac:dyDescent="0.65">
      <c r="D2" s="582">
        <v>44652</v>
      </c>
    </row>
    <row r="3" spans="4:7" ht="15" thickBot="1" x14ac:dyDescent="0.4"/>
    <row r="4" spans="4:7" ht="24" thickBot="1" x14ac:dyDescent="0.4">
      <c r="D4" s="1425" t="s">
        <v>10</v>
      </c>
      <c r="E4" s="1426"/>
      <c r="F4" s="1426"/>
      <c r="G4" s="1427"/>
    </row>
    <row r="5" spans="4:7" x14ac:dyDescent="0.35">
      <c r="D5" s="16" t="s">
        <v>7</v>
      </c>
      <c r="E5" s="586" t="s">
        <v>8</v>
      </c>
      <c r="F5" s="587" t="s">
        <v>4</v>
      </c>
      <c r="G5" s="193" t="s">
        <v>9</v>
      </c>
    </row>
    <row r="6" spans="4:7" x14ac:dyDescent="0.35">
      <c r="D6" s="10" t="s">
        <v>3</v>
      </c>
      <c r="E6" s="258">
        <v>176</v>
      </c>
      <c r="F6" s="227">
        <v>280.37</v>
      </c>
      <c r="G6" s="196">
        <f>+E6*F6</f>
        <v>49345.120000000003</v>
      </c>
    </row>
    <row r="7" spans="4:7" x14ac:dyDescent="0.35">
      <c r="D7" s="10" t="s">
        <v>111</v>
      </c>
      <c r="E7" s="258">
        <v>8</v>
      </c>
      <c r="F7" s="227">
        <v>284.37</v>
      </c>
      <c r="G7" s="196">
        <f>+E7*F7</f>
        <v>2274.96</v>
      </c>
    </row>
    <row r="8" spans="4:7" x14ac:dyDescent="0.35">
      <c r="D8" s="10" t="s">
        <v>196</v>
      </c>
      <c r="E8" s="581">
        <v>0.5</v>
      </c>
      <c r="F8" s="227">
        <v>5000</v>
      </c>
      <c r="G8" s="196">
        <f>+F8*0.5</f>
        <v>2500</v>
      </c>
    </row>
    <row r="9" spans="4:7" x14ac:dyDescent="0.35">
      <c r="D9" s="10" t="s">
        <v>274</v>
      </c>
      <c r="E9" s="258">
        <v>4</v>
      </c>
      <c r="F9" s="227">
        <v>280.37</v>
      </c>
      <c r="G9" s="196">
        <f>+E9*F9</f>
        <v>1121.48</v>
      </c>
    </row>
    <row r="10" spans="4:7" x14ac:dyDescent="0.35">
      <c r="D10" s="10" t="s">
        <v>215</v>
      </c>
      <c r="E10" s="258">
        <v>1.5</v>
      </c>
      <c r="F10" s="194">
        <f>+F6*1.5</f>
        <v>420.55500000000001</v>
      </c>
      <c r="G10" s="196">
        <f>+E10*F10</f>
        <v>630.83249999999998</v>
      </c>
    </row>
    <row r="11" spans="4:7" x14ac:dyDescent="0.35">
      <c r="D11" s="10" t="s">
        <v>216</v>
      </c>
      <c r="E11" s="258"/>
      <c r="F11" s="194" t="s">
        <v>63</v>
      </c>
      <c r="G11" s="196"/>
    </row>
    <row r="12" spans="4:7" x14ac:dyDescent="0.35">
      <c r="D12" s="10" t="s">
        <v>6</v>
      </c>
      <c r="E12" s="258">
        <v>11000</v>
      </c>
      <c r="F12" s="194"/>
      <c r="G12" s="196">
        <f>+E12</f>
        <v>11000</v>
      </c>
    </row>
    <row r="13" spans="4:7" ht="15" thickBot="1" x14ac:dyDescent="0.4">
      <c r="D13" s="10"/>
      <c r="E13" s="258"/>
      <c r="F13" s="194"/>
      <c r="G13" s="196"/>
    </row>
    <row r="14" spans="4:7" ht="15" thickBot="1" x14ac:dyDescent="0.4">
      <c r="D14" s="1323" t="s">
        <v>99</v>
      </c>
      <c r="E14" s="1324"/>
      <c r="F14" s="1324"/>
      <c r="G14" s="304">
        <f>SUM(G6:G13)</f>
        <v>66872.392500000002</v>
      </c>
    </row>
    <row r="15" spans="4:7" x14ac:dyDescent="0.35">
      <c r="D15" s="566" t="s">
        <v>19</v>
      </c>
      <c r="E15" s="565"/>
      <c r="F15" s="565"/>
      <c r="G15" s="520"/>
    </row>
    <row r="16" spans="4:7" ht="15" thickBot="1" x14ac:dyDescent="0.4">
      <c r="D16" s="1404" t="s">
        <v>217</v>
      </c>
      <c r="E16" s="1405"/>
      <c r="F16" s="1406"/>
      <c r="G16" s="517">
        <v>-32718.05</v>
      </c>
    </row>
    <row r="17" spans="4:7" ht="16" thickBot="1" x14ac:dyDescent="0.4">
      <c r="D17" s="1394" t="s">
        <v>11</v>
      </c>
      <c r="E17" s="1395"/>
      <c r="F17" s="1407"/>
      <c r="G17" s="518">
        <f>+G14+G16</f>
        <v>34154.342499999999</v>
      </c>
    </row>
    <row r="18" spans="4:7" ht="15" thickBot="1" x14ac:dyDescent="0.4"/>
    <row r="19" spans="4:7" ht="24" thickBot="1" x14ac:dyDescent="0.4">
      <c r="D19" s="1273" t="s">
        <v>15</v>
      </c>
      <c r="E19" s="1274"/>
      <c r="F19" s="1274"/>
      <c r="G19" s="1275"/>
    </row>
    <row r="20" spans="4:7" x14ac:dyDescent="0.35">
      <c r="D20" s="16" t="s">
        <v>7</v>
      </c>
      <c r="E20" s="257" t="s">
        <v>8</v>
      </c>
      <c r="F20" s="192" t="s">
        <v>4</v>
      </c>
      <c r="G20" s="193" t="s">
        <v>9</v>
      </c>
    </row>
    <row r="21" spans="4:7" x14ac:dyDescent="0.35">
      <c r="D21" s="10" t="s">
        <v>3</v>
      </c>
      <c r="E21" s="315">
        <v>176</v>
      </c>
      <c r="F21" s="194">
        <v>321.39999999999998</v>
      </c>
      <c r="G21" s="196">
        <f>E21*F21</f>
        <v>56566.399999999994</v>
      </c>
    </row>
    <row r="22" spans="4:7" x14ac:dyDescent="0.35">
      <c r="D22" s="10" t="s">
        <v>111</v>
      </c>
      <c r="E22" s="258">
        <v>8</v>
      </c>
      <c r="F22" s="194">
        <f>+F21</f>
        <v>321.39999999999998</v>
      </c>
      <c r="G22" s="196">
        <f>+E22*F22</f>
        <v>2571.1999999999998</v>
      </c>
    </row>
    <row r="23" spans="4:7" x14ac:dyDescent="0.35">
      <c r="D23" s="10" t="s">
        <v>266</v>
      </c>
      <c r="E23" s="258"/>
      <c r="F23" s="194"/>
      <c r="G23" s="196">
        <v>5000</v>
      </c>
    </row>
    <row r="24" spans="4:7" x14ac:dyDescent="0.35">
      <c r="D24" s="10" t="s">
        <v>275</v>
      </c>
      <c r="E24" s="258">
        <v>4</v>
      </c>
      <c r="F24" s="194">
        <v>321.39999999999998</v>
      </c>
      <c r="G24" s="196">
        <f>+E24*F24</f>
        <v>1285.5999999999999</v>
      </c>
    </row>
    <row r="25" spans="4:7" x14ac:dyDescent="0.35">
      <c r="D25" s="10" t="s">
        <v>195</v>
      </c>
      <c r="E25" s="315">
        <v>2</v>
      </c>
      <c r="F25" s="194">
        <f>+F22*1.5</f>
        <v>482.09999999999997</v>
      </c>
      <c r="G25" s="196">
        <f>+E25*F25</f>
        <v>964.19999999999993</v>
      </c>
    </row>
    <row r="26" spans="4:7" x14ac:dyDescent="0.35">
      <c r="D26" s="10" t="s">
        <v>6</v>
      </c>
      <c r="E26" s="258"/>
      <c r="F26" s="194"/>
      <c r="G26" s="196">
        <v>16500</v>
      </c>
    </row>
    <row r="27" spans="4:7" ht="15" thickBot="1" x14ac:dyDescent="0.4">
      <c r="D27" s="10"/>
      <c r="E27" s="258"/>
      <c r="F27" s="194"/>
      <c r="G27" s="196"/>
    </row>
    <row r="28" spans="4:7" ht="15" thickBot="1" x14ac:dyDescent="0.4">
      <c r="D28" s="1323" t="s">
        <v>99</v>
      </c>
      <c r="E28" s="1324"/>
      <c r="F28" s="1324"/>
      <c r="G28" s="304">
        <f>SUM(G21:G26)</f>
        <v>82887.399999999994</v>
      </c>
    </row>
    <row r="29" spans="4:7" x14ac:dyDescent="0.35">
      <c r="D29" s="1401" t="s">
        <v>79</v>
      </c>
      <c r="E29" s="1402"/>
      <c r="F29" s="1403"/>
      <c r="G29" s="470">
        <v>-1150</v>
      </c>
    </row>
    <row r="30" spans="4:7" ht="15" thickBot="1" x14ac:dyDescent="0.4">
      <c r="D30" s="1391"/>
      <c r="E30" s="1392"/>
      <c r="F30" s="1393"/>
      <c r="G30" s="207"/>
    </row>
    <row r="31" spans="4:7" ht="16" thickBot="1" x14ac:dyDescent="0.4">
      <c r="D31" s="1296" t="s">
        <v>11</v>
      </c>
      <c r="E31" s="1297"/>
      <c r="F31" s="1298"/>
      <c r="G31" s="201">
        <f>+G28+G29</f>
        <v>81737.399999999994</v>
      </c>
    </row>
    <row r="32" spans="4:7" ht="15" thickBot="1" x14ac:dyDescent="0.4"/>
    <row r="33" spans="4:7" ht="20" thickBot="1" x14ac:dyDescent="0.5">
      <c r="D33" s="1315" t="s">
        <v>16</v>
      </c>
      <c r="E33" s="1316"/>
      <c r="F33" s="1316"/>
      <c r="G33" s="1317"/>
    </row>
    <row r="34" spans="4:7" x14ac:dyDescent="0.35">
      <c r="D34" s="169" t="s">
        <v>7</v>
      </c>
      <c r="E34" s="266" t="s">
        <v>8</v>
      </c>
      <c r="F34" s="209" t="s">
        <v>4</v>
      </c>
      <c r="G34" s="210" t="s">
        <v>9</v>
      </c>
    </row>
    <row r="35" spans="4:7" x14ac:dyDescent="0.35">
      <c r="D35" s="165" t="s">
        <v>3</v>
      </c>
      <c r="E35" s="267">
        <v>176</v>
      </c>
      <c r="F35" s="211">
        <v>238.57</v>
      </c>
      <c r="G35" s="212">
        <f>E35*F35</f>
        <v>41988.32</v>
      </c>
    </row>
    <row r="36" spans="4:7" x14ac:dyDescent="0.35">
      <c r="D36" s="10" t="s">
        <v>111</v>
      </c>
      <c r="E36" s="267">
        <v>8</v>
      </c>
      <c r="F36" s="211">
        <v>238.57</v>
      </c>
      <c r="G36" s="212">
        <f>+E36*F36</f>
        <v>1908.56</v>
      </c>
    </row>
    <row r="37" spans="4:7" x14ac:dyDescent="0.35">
      <c r="D37" s="10" t="s">
        <v>196</v>
      </c>
      <c r="E37" s="267"/>
      <c r="F37" s="211">
        <v>5000</v>
      </c>
      <c r="G37" s="212">
        <v>5000</v>
      </c>
    </row>
    <row r="38" spans="4:7" x14ac:dyDescent="0.35">
      <c r="D38" s="10" t="s">
        <v>275</v>
      </c>
      <c r="E38" s="267">
        <v>4</v>
      </c>
      <c r="F38" s="211">
        <v>238.57</v>
      </c>
      <c r="G38" s="212">
        <f>+E38*F38</f>
        <v>954.28</v>
      </c>
    </row>
    <row r="39" spans="4:7" x14ac:dyDescent="0.35">
      <c r="D39" s="10" t="s">
        <v>195</v>
      </c>
      <c r="E39" s="267">
        <v>5</v>
      </c>
      <c r="F39" s="211">
        <f>+F35*1.5</f>
        <v>357.85500000000002</v>
      </c>
      <c r="G39" s="212">
        <f>E39*F39</f>
        <v>1789.2750000000001</v>
      </c>
    </row>
    <row r="40" spans="4:7" x14ac:dyDescent="0.35">
      <c r="D40" s="10" t="s">
        <v>6</v>
      </c>
      <c r="E40" s="267">
        <v>11000</v>
      </c>
      <c r="F40" s="211"/>
      <c r="G40" s="212">
        <f>+E40</f>
        <v>11000</v>
      </c>
    </row>
    <row r="41" spans="4:7" ht="15" thickBot="1" x14ac:dyDescent="0.4">
      <c r="D41" s="10"/>
      <c r="E41" s="258"/>
      <c r="F41" s="194"/>
      <c r="G41" s="196"/>
    </row>
    <row r="42" spans="4:7" ht="15" thickBot="1" x14ac:dyDescent="0.4">
      <c r="D42" s="1323" t="s">
        <v>99</v>
      </c>
      <c r="E42" s="1324"/>
      <c r="F42" s="1324"/>
      <c r="G42" s="304">
        <f>SUM(G35:G41)</f>
        <v>62640.434999999998</v>
      </c>
    </row>
    <row r="43" spans="4:7" x14ac:dyDescent="0.35">
      <c r="D43" s="1396" t="s">
        <v>19</v>
      </c>
      <c r="E43" s="1397"/>
      <c r="F43" s="1398"/>
      <c r="G43" s="214">
        <v>-15000</v>
      </c>
    </row>
    <row r="44" spans="4:7" ht="15" thickBot="1" x14ac:dyDescent="0.4">
      <c r="D44" s="1399"/>
      <c r="E44" s="1400"/>
      <c r="F44" s="1400"/>
      <c r="G44" s="495"/>
    </row>
    <row r="45" spans="4:7" ht="15" thickBot="1" x14ac:dyDescent="0.4">
      <c r="D45" s="1355" t="s">
        <v>11</v>
      </c>
      <c r="E45" s="1356"/>
      <c r="F45" s="1357"/>
      <c r="G45" s="216">
        <f>+G42+G43</f>
        <v>47640.434999999998</v>
      </c>
    </row>
    <row r="49" spans="4:7" ht="15" thickBot="1" x14ac:dyDescent="0.4"/>
    <row r="50" spans="4:7" ht="23.5" x14ac:dyDescent="0.35">
      <c r="D50" s="1276" t="s">
        <v>0</v>
      </c>
      <c r="E50" s="1277"/>
      <c r="F50" s="1277"/>
      <c r="G50" s="1278"/>
    </row>
    <row r="51" spans="4:7" x14ac:dyDescent="0.35">
      <c r="D51" s="8" t="s">
        <v>7</v>
      </c>
      <c r="E51" s="270" t="s">
        <v>8</v>
      </c>
      <c r="F51" s="217" t="s">
        <v>4</v>
      </c>
      <c r="G51" s="218" t="s">
        <v>9</v>
      </c>
    </row>
    <row r="52" spans="4:7" x14ac:dyDescent="0.35">
      <c r="D52" s="10" t="s">
        <v>253</v>
      </c>
      <c r="E52" s="258">
        <v>176</v>
      </c>
      <c r="F52" s="194">
        <v>321.39999999999998</v>
      </c>
      <c r="G52" s="196">
        <f>E52*F52</f>
        <v>56566.399999999994</v>
      </c>
    </row>
    <row r="53" spans="4:7" x14ac:dyDescent="0.35">
      <c r="D53" s="10" t="s">
        <v>111</v>
      </c>
      <c r="E53" s="258">
        <v>8</v>
      </c>
      <c r="F53" s="194">
        <f>+F52</f>
        <v>321.39999999999998</v>
      </c>
      <c r="G53" s="196">
        <f>E53*F53</f>
        <v>2571.1999999999998</v>
      </c>
    </row>
    <row r="54" spans="4:7" x14ac:dyDescent="0.35">
      <c r="D54" s="10" t="s">
        <v>266</v>
      </c>
      <c r="E54" s="258"/>
      <c r="F54" s="194"/>
      <c r="G54" s="196">
        <v>5000</v>
      </c>
    </row>
    <row r="55" spans="4:7" x14ac:dyDescent="0.35">
      <c r="D55" s="10" t="s">
        <v>274</v>
      </c>
      <c r="E55" s="258">
        <v>4</v>
      </c>
      <c r="F55" s="194">
        <v>321.39999999999998</v>
      </c>
      <c r="G55" s="196">
        <f>+E55*F55</f>
        <v>1285.5999999999999</v>
      </c>
    </row>
    <row r="56" spans="4:7" x14ac:dyDescent="0.35">
      <c r="D56" s="10" t="s">
        <v>195</v>
      </c>
      <c r="E56" s="315">
        <v>0.5</v>
      </c>
      <c r="F56" s="194">
        <f>+F52*1.5</f>
        <v>482.09999999999997</v>
      </c>
      <c r="G56" s="196">
        <f>E56*F56</f>
        <v>241.04999999999998</v>
      </c>
    </row>
    <row r="57" spans="4:7" ht="15" thickBot="1" x14ac:dyDescent="0.4">
      <c r="D57" s="532" t="s">
        <v>6</v>
      </c>
      <c r="E57" s="272">
        <v>16500</v>
      </c>
      <c r="F57" s="220"/>
      <c r="G57" s="533">
        <f>+E57</f>
        <v>16500</v>
      </c>
    </row>
    <row r="58" spans="4:7" ht="15" thickBot="1" x14ac:dyDescent="0.4">
      <c r="D58" s="532"/>
      <c r="E58" s="272"/>
      <c r="F58" s="220"/>
      <c r="G58" s="533"/>
    </row>
    <row r="59" spans="4:7" ht="15" thickBot="1" x14ac:dyDescent="0.4">
      <c r="D59" s="1323" t="s">
        <v>99</v>
      </c>
      <c r="E59" s="1324"/>
      <c r="F59" s="1324"/>
      <c r="G59" s="304">
        <f>+G52+G53+G54+G56+G57</f>
        <v>80878.649999999994</v>
      </c>
    </row>
    <row r="60" spans="4:7" x14ac:dyDescent="0.35">
      <c r="D60" s="1391" t="s">
        <v>18</v>
      </c>
      <c r="E60" s="1392"/>
      <c r="F60" s="1393"/>
      <c r="G60" s="207">
        <v>-33420.44</v>
      </c>
    </row>
    <row r="61" spans="4:7" ht="15" thickBot="1" x14ac:dyDescent="0.4">
      <c r="D61" s="556"/>
      <c r="E61" s="557"/>
      <c r="F61" s="557"/>
      <c r="G61" s="558"/>
    </row>
    <row r="62" spans="4:7" ht="16" thickBot="1" x14ac:dyDescent="0.4">
      <c r="D62" s="1296" t="s">
        <v>11</v>
      </c>
      <c r="E62" s="1297"/>
      <c r="F62" s="1298"/>
      <c r="G62" s="201">
        <f>+G52+G53+G54+G55+G56+G57+G60</f>
        <v>48743.809999999983</v>
      </c>
    </row>
    <row r="63" spans="4:7" ht="15" thickBot="1" x14ac:dyDescent="0.4"/>
    <row r="64" spans="4:7" ht="23.5" x14ac:dyDescent="0.35">
      <c r="D64" s="1276" t="s">
        <v>28</v>
      </c>
      <c r="E64" s="1277"/>
      <c r="F64" s="1277"/>
      <c r="G64" s="1278"/>
    </row>
    <row r="65" spans="4:7" x14ac:dyDescent="0.35">
      <c r="D65" s="8" t="s">
        <v>7</v>
      </c>
      <c r="E65" s="270" t="s">
        <v>8</v>
      </c>
      <c r="F65" s="217" t="s">
        <v>4</v>
      </c>
      <c r="G65" s="218" t="s">
        <v>9</v>
      </c>
    </row>
    <row r="66" spans="4:7" x14ac:dyDescent="0.35">
      <c r="D66" s="10" t="s">
        <v>3</v>
      </c>
      <c r="E66" s="315">
        <v>176</v>
      </c>
      <c r="F66" s="194">
        <v>298.20999999999998</v>
      </c>
      <c r="G66" s="196">
        <f>+E66*F66</f>
        <v>52484.959999999999</v>
      </c>
    </row>
    <row r="67" spans="4:7" x14ac:dyDescent="0.35">
      <c r="D67" s="10" t="s">
        <v>111</v>
      </c>
      <c r="E67" s="315">
        <v>8</v>
      </c>
      <c r="F67" s="194">
        <f>+F66</f>
        <v>298.20999999999998</v>
      </c>
      <c r="G67" s="196">
        <f>+E67*F67</f>
        <v>2385.6799999999998</v>
      </c>
    </row>
    <row r="68" spans="4:7" x14ac:dyDescent="0.35">
      <c r="D68" s="10" t="s">
        <v>266</v>
      </c>
      <c r="E68" s="315"/>
      <c r="F68" s="194"/>
      <c r="G68" s="196">
        <v>5000</v>
      </c>
    </row>
    <row r="69" spans="4:7" x14ac:dyDescent="0.35">
      <c r="D69" s="10" t="s">
        <v>275</v>
      </c>
      <c r="E69" s="315">
        <v>4</v>
      </c>
      <c r="F69" s="194">
        <v>298.20999999999998</v>
      </c>
      <c r="G69" s="196">
        <f>+E69*F69</f>
        <v>1192.8399999999999</v>
      </c>
    </row>
    <row r="70" spans="4:7" x14ac:dyDescent="0.35">
      <c r="D70" s="10" t="s">
        <v>195</v>
      </c>
      <c r="E70" s="315">
        <v>0.5</v>
      </c>
      <c r="F70" s="194">
        <f>+F66*1.5</f>
        <v>447.31499999999994</v>
      </c>
      <c r="G70" s="196">
        <f>+F70*E70</f>
        <v>223.65749999999997</v>
      </c>
    </row>
    <row r="71" spans="4:7" ht="15" thickBot="1" x14ac:dyDescent="0.4">
      <c r="D71" s="532" t="s">
        <v>6</v>
      </c>
      <c r="E71" s="534">
        <v>16000</v>
      </c>
      <c r="F71" s="220"/>
      <c r="G71" s="533">
        <f>+E71</f>
        <v>16000</v>
      </c>
    </row>
    <row r="72" spans="4:7" ht="15" thickBot="1" x14ac:dyDescent="0.4">
      <c r="D72" s="532"/>
      <c r="E72" s="534"/>
      <c r="F72" s="220"/>
      <c r="G72" s="533"/>
    </row>
    <row r="73" spans="4:7" ht="15" thickBot="1" x14ac:dyDescent="0.4">
      <c r="D73" s="1376" t="s">
        <v>99</v>
      </c>
      <c r="E73" s="1377"/>
      <c r="F73" s="1377"/>
      <c r="G73" s="514">
        <f>SUM(G66:G71)</f>
        <v>77287.137499999997</v>
      </c>
    </row>
    <row r="74" spans="4:7" x14ac:dyDescent="0.35">
      <c r="D74" s="1408" t="s">
        <v>18</v>
      </c>
      <c r="E74" s="1409"/>
      <c r="F74" s="1409"/>
      <c r="G74" s="516">
        <v>-27194.33</v>
      </c>
    </row>
    <row r="75" spans="4:7" ht="15" thickBot="1" x14ac:dyDescent="0.4">
      <c r="D75" s="1410" t="s">
        <v>19</v>
      </c>
      <c r="E75" s="1411"/>
      <c r="F75" s="1411"/>
      <c r="G75" s="517">
        <v>-10000</v>
      </c>
    </row>
    <row r="76" spans="4:7" ht="16" thickBot="1" x14ac:dyDescent="0.4">
      <c r="D76" s="1394" t="s">
        <v>11</v>
      </c>
      <c r="E76" s="1395"/>
      <c r="F76" s="1395"/>
      <c r="G76" s="515">
        <f>+G73+G74+G75</f>
        <v>40092.807499999995</v>
      </c>
    </row>
    <row r="77" spans="4:7" ht="15" thickBot="1" x14ac:dyDescent="0.4"/>
    <row r="78" spans="4:7" ht="24" thickBot="1" x14ac:dyDescent="0.4">
      <c r="D78" s="1273" t="s">
        <v>174</v>
      </c>
      <c r="E78" s="1274"/>
      <c r="F78" s="1274"/>
      <c r="G78" s="1275"/>
    </row>
    <row r="79" spans="4:7" x14ac:dyDescent="0.35">
      <c r="D79" s="16" t="s">
        <v>7</v>
      </c>
      <c r="E79" s="257" t="s">
        <v>8</v>
      </c>
      <c r="F79" s="192" t="s">
        <v>4</v>
      </c>
      <c r="G79" s="193" t="s">
        <v>9</v>
      </c>
    </row>
    <row r="80" spans="4:7" x14ac:dyDescent="0.35">
      <c r="D80" s="10" t="s">
        <v>3</v>
      </c>
      <c r="E80" s="258">
        <v>176</v>
      </c>
      <c r="F80" s="227">
        <v>223.02</v>
      </c>
      <c r="G80" s="196">
        <f>E80*F80</f>
        <v>39251.520000000004</v>
      </c>
    </row>
    <row r="81" spans="4:7" x14ac:dyDescent="0.35">
      <c r="D81" s="10" t="s">
        <v>111</v>
      </c>
      <c r="E81" s="258">
        <v>8</v>
      </c>
      <c r="F81" s="227">
        <f>+F80</f>
        <v>223.02</v>
      </c>
      <c r="G81" s="196">
        <f>E81*F81</f>
        <v>1784.16</v>
      </c>
    </row>
    <row r="82" spans="4:7" x14ac:dyDescent="0.35">
      <c r="D82" s="10" t="s">
        <v>196</v>
      </c>
      <c r="E82" s="258"/>
      <c r="F82" s="227"/>
      <c r="G82" s="196">
        <v>5000</v>
      </c>
    </row>
    <row r="83" spans="4:7" x14ac:dyDescent="0.35">
      <c r="D83" s="10" t="s">
        <v>274</v>
      </c>
      <c r="E83" s="258">
        <v>4</v>
      </c>
      <c r="F83" s="227">
        <v>223.02</v>
      </c>
      <c r="G83" s="196">
        <f>+E83*F83</f>
        <v>892.08</v>
      </c>
    </row>
    <row r="84" spans="4:7" x14ac:dyDescent="0.35">
      <c r="D84" s="10" t="s">
        <v>195</v>
      </c>
      <c r="E84" s="258">
        <v>0.5</v>
      </c>
      <c r="F84" s="227">
        <f>+F80*1.5</f>
        <v>334.53000000000003</v>
      </c>
      <c r="G84" s="196">
        <f>+E84*F84</f>
        <v>167.26500000000001</v>
      </c>
    </row>
    <row r="85" spans="4:7" x14ac:dyDescent="0.35">
      <c r="D85" s="10" t="s">
        <v>6</v>
      </c>
      <c r="E85" s="258">
        <v>11000</v>
      </c>
      <c r="F85" s="227"/>
      <c r="G85" s="196">
        <f>+E85</f>
        <v>11000</v>
      </c>
    </row>
    <row r="86" spans="4:7" ht="15" thickBot="1" x14ac:dyDescent="0.4">
      <c r="D86" s="532"/>
      <c r="E86" s="272"/>
      <c r="F86" s="220"/>
      <c r="G86" s="533"/>
    </row>
    <row r="87" spans="4:7" x14ac:dyDescent="0.35">
      <c r="D87" s="1376" t="s">
        <v>99</v>
      </c>
      <c r="E87" s="1377"/>
      <c r="F87" s="1377"/>
      <c r="G87" s="485">
        <f>SUM(G80:G86)</f>
        <v>58095.025000000009</v>
      </c>
    </row>
    <row r="88" spans="4:7" x14ac:dyDescent="0.35">
      <c r="D88" s="1386" t="s">
        <v>19</v>
      </c>
      <c r="E88" s="1387"/>
      <c r="F88" s="1387"/>
      <c r="G88" s="207">
        <v>10000</v>
      </c>
    </row>
    <row r="89" spans="4:7" x14ac:dyDescent="0.35">
      <c r="D89" s="1386" t="s">
        <v>63</v>
      </c>
      <c r="E89" s="1387"/>
      <c r="F89" s="1387"/>
      <c r="G89" s="207"/>
    </row>
    <row r="90" spans="4:7" ht="16" thickBot="1" x14ac:dyDescent="0.4">
      <c r="D90" s="1296" t="s">
        <v>11</v>
      </c>
      <c r="E90" s="1297"/>
      <c r="F90" s="1335"/>
      <c r="G90" s="303">
        <f>+G87-G88</f>
        <v>48095.025000000009</v>
      </c>
    </row>
    <row r="91" spans="4:7" ht="15.5" x14ac:dyDescent="0.35">
      <c r="D91" s="455"/>
      <c r="E91" s="455"/>
      <c r="F91" s="455"/>
      <c r="G91" s="456"/>
    </row>
    <row r="92" spans="4:7" ht="15.5" x14ac:dyDescent="0.35">
      <c r="D92" s="455"/>
      <c r="E92" s="455"/>
      <c r="F92" s="455"/>
      <c r="G92" s="456"/>
    </row>
    <row r="93" spans="4:7" ht="15.5" x14ac:dyDescent="0.35">
      <c r="D93" s="455"/>
      <c r="E93" s="455"/>
      <c r="F93" s="455"/>
      <c r="G93" s="456"/>
    </row>
    <row r="94" spans="4:7" ht="15.5" x14ac:dyDescent="0.35">
      <c r="D94" s="455"/>
      <c r="E94" s="455"/>
      <c r="F94" s="455"/>
      <c r="G94" s="456"/>
    </row>
    <row r="95" spans="4:7" ht="15" thickBot="1" x14ac:dyDescent="0.4"/>
    <row r="96" spans="4:7" ht="24" thickBot="1" x14ac:dyDescent="0.4">
      <c r="D96" s="1273" t="s">
        <v>263</v>
      </c>
      <c r="E96" s="1274"/>
      <c r="F96" s="1274"/>
      <c r="G96" s="1275"/>
    </row>
    <row r="97" spans="4:7" x14ac:dyDescent="0.35">
      <c r="D97" s="16" t="s">
        <v>7</v>
      </c>
      <c r="E97" s="257" t="s">
        <v>8</v>
      </c>
      <c r="F97" s="192" t="s">
        <v>4</v>
      </c>
      <c r="G97" s="193" t="s">
        <v>9</v>
      </c>
    </row>
    <row r="98" spans="4:7" x14ac:dyDescent="0.35">
      <c r="D98" s="10" t="s">
        <v>3</v>
      </c>
      <c r="E98" s="258">
        <v>176</v>
      </c>
      <c r="F98" s="227">
        <v>238.57</v>
      </c>
      <c r="G98" s="196">
        <f>+E98*F98</f>
        <v>41988.32</v>
      </c>
    </row>
    <row r="99" spans="4:7" x14ac:dyDescent="0.35">
      <c r="D99" s="10" t="s">
        <v>111</v>
      </c>
      <c r="E99" s="258">
        <v>8</v>
      </c>
      <c r="F99" s="227">
        <v>238.57</v>
      </c>
      <c r="G99" s="196">
        <f>+E99*F99</f>
        <v>1908.56</v>
      </c>
    </row>
    <row r="100" spans="4:7" x14ac:dyDescent="0.35">
      <c r="D100" s="10" t="s">
        <v>266</v>
      </c>
      <c r="E100" s="258"/>
      <c r="F100" s="227"/>
      <c r="G100" s="196">
        <v>5000</v>
      </c>
    </row>
    <row r="101" spans="4:7" x14ac:dyDescent="0.35">
      <c r="D101" s="10" t="s">
        <v>274</v>
      </c>
      <c r="E101" s="258">
        <v>4</v>
      </c>
      <c r="F101" s="194">
        <v>238.57</v>
      </c>
      <c r="G101" s="196">
        <f>+E101*F101</f>
        <v>954.28</v>
      </c>
    </row>
    <row r="102" spans="4:7" x14ac:dyDescent="0.35">
      <c r="D102" s="10" t="s">
        <v>195</v>
      </c>
      <c r="E102" s="258">
        <v>2</v>
      </c>
      <c r="F102" s="194">
        <f>+F98*1.5</f>
        <v>357.85500000000002</v>
      </c>
      <c r="G102" s="196">
        <f>+E102*F102</f>
        <v>715.71</v>
      </c>
    </row>
    <row r="103" spans="4:7" x14ac:dyDescent="0.35">
      <c r="D103" s="10" t="s">
        <v>6</v>
      </c>
      <c r="E103" s="258"/>
      <c r="F103" s="194"/>
      <c r="G103" s="196">
        <v>11000</v>
      </c>
    </row>
    <row r="104" spans="4:7" ht="15" thickBot="1" x14ac:dyDescent="0.4">
      <c r="D104" s="532"/>
      <c r="E104" s="272"/>
      <c r="F104" s="220"/>
      <c r="G104" s="533"/>
    </row>
    <row r="105" spans="4:7" ht="15" thickBot="1" x14ac:dyDescent="0.4">
      <c r="D105" s="559"/>
      <c r="E105" s="560"/>
      <c r="F105" s="561"/>
      <c r="G105" s="562"/>
    </row>
    <row r="106" spans="4:7" ht="15" thickBot="1" x14ac:dyDescent="0.4">
      <c r="D106" s="1323" t="s">
        <v>11</v>
      </c>
      <c r="E106" s="1324"/>
      <c r="F106" s="1324"/>
      <c r="G106" s="304">
        <f>SUM(G98:G103)</f>
        <v>61566.869999999995</v>
      </c>
    </row>
    <row r="107" spans="4:7" ht="15" thickBot="1" x14ac:dyDescent="0.4"/>
    <row r="108" spans="4:7" ht="24" thickBot="1" x14ac:dyDescent="0.4">
      <c r="D108" s="1273" t="s">
        <v>264</v>
      </c>
      <c r="E108" s="1274"/>
      <c r="F108" s="1274"/>
      <c r="G108" s="1275"/>
    </row>
    <row r="109" spans="4:7" x14ac:dyDescent="0.35">
      <c r="D109" s="16" t="s">
        <v>7</v>
      </c>
      <c r="E109" s="257" t="s">
        <v>8</v>
      </c>
      <c r="F109" s="192" t="s">
        <v>4</v>
      </c>
      <c r="G109" s="193" t="s">
        <v>9</v>
      </c>
    </row>
    <row r="110" spans="4:7" x14ac:dyDescent="0.35">
      <c r="D110" s="10" t="s">
        <v>3</v>
      </c>
      <c r="E110" s="258">
        <v>176</v>
      </c>
      <c r="F110" s="227">
        <v>201.78</v>
      </c>
      <c r="G110" s="196">
        <f>E110*F110</f>
        <v>35513.279999999999</v>
      </c>
    </row>
    <row r="111" spans="4:7" x14ac:dyDescent="0.35">
      <c r="D111" s="10" t="s">
        <v>111</v>
      </c>
      <c r="E111" s="258">
        <v>8</v>
      </c>
      <c r="F111" s="227">
        <v>201.78</v>
      </c>
      <c r="G111" s="196">
        <f>E111*F111</f>
        <v>1614.24</v>
      </c>
    </row>
    <row r="112" spans="4:7" x14ac:dyDescent="0.35">
      <c r="D112" s="10" t="s">
        <v>196</v>
      </c>
      <c r="E112" s="258"/>
      <c r="F112" s="227">
        <v>5000</v>
      </c>
      <c r="G112" s="196">
        <f>+F112</f>
        <v>5000</v>
      </c>
    </row>
    <row r="113" spans="4:7" x14ac:dyDescent="0.35">
      <c r="D113" s="10" t="s">
        <v>274</v>
      </c>
      <c r="E113" s="258">
        <v>4</v>
      </c>
      <c r="F113" s="227">
        <v>201.78</v>
      </c>
      <c r="G113" s="196">
        <f>+E113*F113</f>
        <v>807.12</v>
      </c>
    </row>
    <row r="114" spans="4:7" x14ac:dyDescent="0.35">
      <c r="D114" s="10" t="s">
        <v>195</v>
      </c>
      <c r="E114" s="258">
        <v>9</v>
      </c>
      <c r="F114" s="227">
        <f>+F110*1.5</f>
        <v>302.67</v>
      </c>
      <c r="G114" s="196">
        <f>+F114*E114</f>
        <v>2724.03</v>
      </c>
    </row>
    <row r="115" spans="4:7" ht="15" thickBot="1" x14ac:dyDescent="0.4">
      <c r="D115" s="532" t="s">
        <v>6</v>
      </c>
      <c r="E115" s="272">
        <v>8000</v>
      </c>
      <c r="F115" s="535"/>
      <c r="G115" s="533">
        <f>+E115</f>
        <v>8000</v>
      </c>
    </row>
    <row r="116" spans="4:7" ht="15" thickBot="1" x14ac:dyDescent="0.4">
      <c r="D116" s="532"/>
      <c r="E116" s="272"/>
      <c r="F116" s="535"/>
      <c r="G116" s="533"/>
    </row>
    <row r="117" spans="4:7" ht="15" thickBot="1" x14ac:dyDescent="0.4">
      <c r="D117" s="1323" t="s">
        <v>99</v>
      </c>
      <c r="E117" s="1324"/>
      <c r="F117" s="1324"/>
      <c r="G117" s="304">
        <f>+G110+G111+G112+G113+G114+G115</f>
        <v>53658.67</v>
      </c>
    </row>
    <row r="118" spans="4:7" x14ac:dyDescent="0.35">
      <c r="D118" s="1412" t="s">
        <v>19</v>
      </c>
      <c r="E118" s="1413"/>
      <c r="F118" s="1414"/>
      <c r="G118" s="516">
        <v>-2500</v>
      </c>
    </row>
    <row r="119" spans="4:7" ht="16" thickBot="1" x14ac:dyDescent="0.4">
      <c r="D119" s="1296" t="s">
        <v>11</v>
      </c>
      <c r="E119" s="1297"/>
      <c r="F119" s="1335"/>
      <c r="G119" s="303">
        <f>+G110+G111+G112+G113+G114+G115+G118</f>
        <v>51158.67</v>
      </c>
    </row>
    <row r="120" spans="4:7" ht="15" thickBot="1" x14ac:dyDescent="0.4"/>
    <row r="121" spans="4:7" ht="24" thickBot="1" x14ac:dyDescent="0.4">
      <c r="D121" s="1273" t="s">
        <v>260</v>
      </c>
      <c r="E121" s="1274"/>
      <c r="F121" s="1274"/>
      <c r="G121" s="1275"/>
    </row>
    <row r="122" spans="4:7" ht="15" thickBot="1" x14ac:dyDescent="0.4">
      <c r="D122" s="522" t="s">
        <v>7</v>
      </c>
      <c r="E122" s="523" t="s">
        <v>8</v>
      </c>
      <c r="F122" s="524" t="s">
        <v>4</v>
      </c>
      <c r="G122" s="572" t="s">
        <v>9</v>
      </c>
    </row>
    <row r="123" spans="4:7" x14ac:dyDescent="0.35">
      <c r="D123" s="526" t="s">
        <v>3</v>
      </c>
      <c r="E123" s="527">
        <v>160</v>
      </c>
      <c r="F123" s="528">
        <v>400</v>
      </c>
      <c r="G123" s="573">
        <f>+E123*F123</f>
        <v>64000</v>
      </c>
    </row>
    <row r="124" spans="4:7" x14ac:dyDescent="0.35">
      <c r="D124" s="10" t="s">
        <v>259</v>
      </c>
      <c r="E124" s="258">
        <v>8</v>
      </c>
      <c r="F124" s="194">
        <v>400</v>
      </c>
      <c r="G124" s="24">
        <f>+E124*F124</f>
        <v>3200</v>
      </c>
    </row>
    <row r="125" spans="4:7" x14ac:dyDescent="0.35">
      <c r="D125" s="10" t="s">
        <v>270</v>
      </c>
      <c r="E125" s="258">
        <v>5.5</v>
      </c>
      <c r="F125" s="194">
        <f>+F123*1.5</f>
        <v>600</v>
      </c>
      <c r="G125" s="24">
        <f>+E125*F125</f>
        <v>3300</v>
      </c>
    </row>
    <row r="126" spans="4:7" x14ac:dyDescent="0.35">
      <c r="D126" s="10" t="s">
        <v>274</v>
      </c>
      <c r="E126" s="258">
        <v>4</v>
      </c>
      <c r="F126" s="194">
        <v>400</v>
      </c>
      <c r="G126" s="24">
        <f>+E126*F126</f>
        <v>1600</v>
      </c>
    </row>
    <row r="127" spans="4:7" x14ac:dyDescent="0.35">
      <c r="D127" s="486" t="s">
        <v>19</v>
      </c>
      <c r="E127" s="258"/>
      <c r="F127" s="194"/>
      <c r="G127" s="24">
        <v>-12670</v>
      </c>
    </row>
    <row r="128" spans="4:7" x14ac:dyDescent="0.35">
      <c r="D128" s="575" t="s">
        <v>19</v>
      </c>
      <c r="E128" s="258"/>
      <c r="F128" s="258"/>
      <c r="G128" s="571">
        <v>-4330</v>
      </c>
    </row>
    <row r="129" spans="4:7" x14ac:dyDescent="0.35">
      <c r="D129" s="530"/>
      <c r="E129" s="258"/>
      <c r="F129" s="258"/>
      <c r="G129" s="571" t="s">
        <v>63</v>
      </c>
    </row>
    <row r="130" spans="4:7" ht="16" thickBot="1" x14ac:dyDescent="0.4">
      <c r="D130" s="12" t="s">
        <v>11</v>
      </c>
      <c r="E130" s="272"/>
      <c r="F130" s="220"/>
      <c r="G130" s="574">
        <f>+G123+G124+G125+G126+G127+G128</f>
        <v>55100</v>
      </c>
    </row>
    <row r="133" spans="4:7" ht="15" thickBot="1" x14ac:dyDescent="0.4">
      <c r="D133" s="363"/>
      <c r="E133" s="322" t="s">
        <v>106</v>
      </c>
      <c r="F133" s="323" t="s">
        <v>107</v>
      </c>
      <c r="G133" s="323" t="s">
        <v>273</v>
      </c>
    </row>
    <row r="134" spans="4:7" ht="15" thickBot="1" x14ac:dyDescent="0.4">
      <c r="D134" s="363" t="s">
        <v>116</v>
      </c>
      <c r="E134" s="326">
        <v>16</v>
      </c>
      <c r="F134" s="327">
        <v>9</v>
      </c>
      <c r="G134" s="569">
        <f>+E134*F134</f>
        <v>144</v>
      </c>
    </row>
    <row r="135" spans="4:7" ht="15" thickBot="1" x14ac:dyDescent="0.4">
      <c r="D135" s="364" t="s">
        <v>111</v>
      </c>
      <c r="E135" s="344">
        <v>1</v>
      </c>
      <c r="F135" s="345">
        <v>8</v>
      </c>
      <c r="G135" s="569">
        <f>+E135*F135</f>
        <v>8</v>
      </c>
    </row>
    <row r="136" spans="4:7" ht="15" thickBot="1" x14ac:dyDescent="0.4">
      <c r="D136" s="364" t="s">
        <v>117</v>
      </c>
      <c r="E136" s="328">
        <v>4</v>
      </c>
      <c r="F136" s="329">
        <v>8</v>
      </c>
      <c r="G136" s="569">
        <f>+E136*F136</f>
        <v>32</v>
      </c>
    </row>
  </sheetData>
  <mergeCells count="35">
    <mergeCell ref="D118:F118"/>
    <mergeCell ref="D119:F119"/>
    <mergeCell ref="D121:G121"/>
    <mergeCell ref="D45:F45"/>
    <mergeCell ref="D76:F76"/>
    <mergeCell ref="D74:F74"/>
    <mergeCell ref="D73:F73"/>
    <mergeCell ref="D64:G64"/>
    <mergeCell ref="D60:F60"/>
    <mergeCell ref="D62:F62"/>
    <mergeCell ref="D88:F88"/>
    <mergeCell ref="D89:F89"/>
    <mergeCell ref="D87:F87"/>
    <mergeCell ref="D90:F90"/>
    <mergeCell ref="D78:G78"/>
    <mergeCell ref="D106:F106"/>
    <mergeCell ref="D108:G108"/>
    <mergeCell ref="D117:F117"/>
    <mergeCell ref="D28:F28"/>
    <mergeCell ref="D30:F30"/>
    <mergeCell ref="D31:F31"/>
    <mergeCell ref="D29:F29"/>
    <mergeCell ref="D59:F59"/>
    <mergeCell ref="D50:G50"/>
    <mergeCell ref="D43:F43"/>
    <mergeCell ref="D44:F44"/>
    <mergeCell ref="D96:G96"/>
    <mergeCell ref="D33:G33"/>
    <mergeCell ref="D42:F42"/>
    <mergeCell ref="D75:F75"/>
    <mergeCell ref="D4:G4"/>
    <mergeCell ref="D14:F14"/>
    <mergeCell ref="D16:F16"/>
    <mergeCell ref="D17:F17"/>
    <mergeCell ref="D19:G1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70"/>
  <sheetViews>
    <sheetView topLeftCell="A121" workbookViewId="0">
      <selection activeCell="A6" sqref="A6"/>
    </sheetView>
  </sheetViews>
  <sheetFormatPr baseColWidth="10" defaultRowHeight="14.5" x14ac:dyDescent="0.35"/>
  <cols>
    <col min="2" max="2" width="23.453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1:21" ht="18" customHeight="1" x14ac:dyDescent="0.35"/>
    <row r="2" spans="1:21" ht="25.5" customHeight="1" x14ac:dyDescent="0.35">
      <c r="B2" s="1431" t="s">
        <v>10</v>
      </c>
      <c r="C2" s="1431"/>
      <c r="D2" s="1431"/>
      <c r="E2" s="1431"/>
    </row>
    <row r="3" spans="1:21" s="579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1:21" ht="18" customHeight="1" x14ac:dyDescent="0.35">
      <c r="B4" s="3" t="s">
        <v>3</v>
      </c>
      <c r="C4" s="258">
        <v>177</v>
      </c>
      <c r="D4" s="227">
        <v>320.76</v>
      </c>
      <c r="E4" s="598">
        <f>+C4*D4</f>
        <v>56774.52</v>
      </c>
      <c r="T4" s="579"/>
    </row>
    <row r="5" spans="1:21" ht="18" customHeight="1" x14ac:dyDescent="0.35">
      <c r="B5" s="3" t="s">
        <v>111</v>
      </c>
      <c r="C5" s="258">
        <f>+E169</f>
        <v>16</v>
      </c>
      <c r="D5" s="227">
        <f>+D4</f>
        <v>320.76</v>
      </c>
      <c r="E5" s="598">
        <f>+C5*D5</f>
        <v>5132.16</v>
      </c>
      <c r="T5" s="202"/>
    </row>
    <row r="6" spans="1:21" ht="18" customHeight="1" x14ac:dyDescent="0.35">
      <c r="B6" s="3" t="s">
        <v>196</v>
      </c>
      <c r="C6" s="258"/>
      <c r="D6" s="227"/>
      <c r="E6" s="598">
        <v>2500</v>
      </c>
    </row>
    <row r="7" spans="1:21" ht="18" customHeight="1" x14ac:dyDescent="0.35">
      <c r="B7" s="3" t="s">
        <v>215</v>
      </c>
      <c r="C7" s="258">
        <v>4.5</v>
      </c>
      <c r="D7" s="194">
        <f>+D4*1.5</f>
        <v>481.14</v>
      </c>
      <c r="E7" s="598">
        <f>+C7*D7</f>
        <v>2165.13</v>
      </c>
    </row>
    <row r="8" spans="1:21" ht="18" customHeight="1" x14ac:dyDescent="0.35">
      <c r="B8" s="3" t="s">
        <v>216</v>
      </c>
      <c r="C8" s="258"/>
      <c r="D8" s="194" t="s">
        <v>63</v>
      </c>
      <c r="E8" s="598"/>
    </row>
    <row r="9" spans="1:21" ht="18" customHeight="1" x14ac:dyDescent="0.35">
      <c r="B9" s="3" t="s">
        <v>6</v>
      </c>
      <c r="C9" s="258">
        <v>11000</v>
      </c>
      <c r="D9" s="194"/>
      <c r="E9" s="598">
        <f>+C9</f>
        <v>11000</v>
      </c>
      <c r="U9" s="579"/>
    </row>
    <row r="10" spans="1:21" ht="18" customHeight="1" x14ac:dyDescent="0.35">
      <c r="B10" s="3" t="s">
        <v>283</v>
      </c>
      <c r="C10" s="258">
        <v>0.5</v>
      </c>
      <c r="D10" s="194">
        <v>1000</v>
      </c>
      <c r="E10" s="598">
        <f>+C10*D10</f>
        <v>500</v>
      </c>
      <c r="U10" s="579"/>
    </row>
    <row r="11" spans="1:21" ht="18" customHeight="1" x14ac:dyDescent="0.35">
      <c r="B11" s="3" t="s">
        <v>284</v>
      </c>
      <c r="C11" s="258"/>
      <c r="D11" s="194"/>
      <c r="E11" s="598">
        <v>39036</v>
      </c>
      <c r="U11" s="579"/>
    </row>
    <row r="12" spans="1:21" ht="18" customHeight="1" x14ac:dyDescent="0.35">
      <c r="B12" s="1432" t="s">
        <v>99</v>
      </c>
      <c r="C12" s="1432"/>
      <c r="D12" s="1432"/>
      <c r="E12" s="599">
        <f>+E4+E5+E6+E7+E9+E10+E11</f>
        <v>117107.81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579"/>
    </row>
    <row r="13" spans="1:21" ht="18" customHeight="1" x14ac:dyDescent="0.35">
      <c r="B13" s="1387" t="s">
        <v>288</v>
      </c>
      <c r="C13" s="1387"/>
      <c r="D13" s="1387"/>
      <c r="E13" s="600">
        <v>-17562.79</v>
      </c>
      <c r="M13" s="51"/>
      <c r="N13" s="66"/>
      <c r="O13" s="66"/>
      <c r="P13" s="49"/>
      <c r="Q13" s="579"/>
    </row>
    <row r="14" spans="1:21" ht="18" customHeight="1" x14ac:dyDescent="0.35">
      <c r="B14" s="584" t="s">
        <v>289</v>
      </c>
      <c r="C14" s="584"/>
      <c r="D14" s="584"/>
      <c r="E14" s="600">
        <v>-38482.54</v>
      </c>
      <c r="M14" s="51"/>
      <c r="N14" s="66"/>
      <c r="O14" s="66"/>
      <c r="P14" s="49"/>
      <c r="Q14" s="583"/>
    </row>
    <row r="15" spans="1:21" ht="18" customHeight="1" x14ac:dyDescent="0.35">
      <c r="A15" s="579"/>
      <c r="B15" s="1433" t="s">
        <v>11</v>
      </c>
      <c r="C15" s="1433"/>
      <c r="D15" s="1433"/>
      <c r="E15" s="603">
        <f>+E12+E13+E14</f>
        <v>61062.479999999989</v>
      </c>
      <c r="H15" s="321"/>
      <c r="I15" s="321"/>
      <c r="J15" s="321"/>
      <c r="K15" s="473"/>
      <c r="L15" s="321"/>
      <c r="M15" s="321"/>
      <c r="T15" s="579"/>
    </row>
    <row r="16" spans="1:21" ht="18" customHeight="1" x14ac:dyDescent="0.35">
      <c r="A16" s="579"/>
      <c r="B16" s="455"/>
      <c r="C16" s="455"/>
      <c r="D16" s="455"/>
      <c r="E16" s="456"/>
      <c r="H16" s="321"/>
      <c r="I16" s="321"/>
      <c r="J16" s="321"/>
      <c r="K16" s="473"/>
      <c r="L16" s="321"/>
      <c r="M16" s="321"/>
      <c r="T16" s="579"/>
    </row>
    <row r="17" spans="1:22" ht="18" customHeight="1" x14ac:dyDescent="0.35">
      <c r="F17" s="106"/>
      <c r="G17" s="4"/>
      <c r="N17" s="4"/>
      <c r="T17" s="579"/>
    </row>
    <row r="18" spans="1:22" ht="18" customHeight="1" x14ac:dyDescent="0.35">
      <c r="B18" s="1431" t="s">
        <v>15</v>
      </c>
      <c r="C18" s="1431"/>
      <c r="D18" s="1431"/>
      <c r="E18" s="1431"/>
      <c r="F18" s="406"/>
      <c r="K18" s="465"/>
      <c r="L18" s="465"/>
      <c r="M18" s="465"/>
    </row>
    <row r="19" spans="1:22" ht="18" customHeight="1" x14ac:dyDescent="0.35">
      <c r="B19" s="2" t="s">
        <v>7</v>
      </c>
      <c r="C19" s="270" t="s">
        <v>8</v>
      </c>
      <c r="D19" s="217" t="s">
        <v>4</v>
      </c>
      <c r="E19" s="597" t="s">
        <v>9</v>
      </c>
      <c r="F19" s="579"/>
      <c r="K19" s="101"/>
      <c r="L19" s="101"/>
      <c r="M19" s="101"/>
    </row>
    <row r="20" spans="1:22" ht="18" customHeight="1" x14ac:dyDescent="0.35">
      <c r="B20" s="3" t="s">
        <v>3</v>
      </c>
      <c r="C20" s="315">
        <v>177</v>
      </c>
      <c r="D20" s="194">
        <v>367.73</v>
      </c>
      <c r="E20" s="598">
        <f>C20*D20</f>
        <v>65088.210000000006</v>
      </c>
      <c r="K20" s="101"/>
      <c r="L20" s="101"/>
      <c r="M20" s="101"/>
    </row>
    <row r="21" spans="1:22" ht="18" customHeight="1" x14ac:dyDescent="0.35">
      <c r="B21" s="3" t="s">
        <v>111</v>
      </c>
      <c r="C21" s="258">
        <f>+E169</f>
        <v>16</v>
      </c>
      <c r="D21" s="194">
        <f>+D20</f>
        <v>367.73</v>
      </c>
      <c r="E21" s="598">
        <f>+C21*D21</f>
        <v>5883.68</v>
      </c>
      <c r="K21" s="101"/>
      <c r="L21" s="101"/>
      <c r="M21" s="101"/>
    </row>
    <row r="22" spans="1:22" ht="18" customHeight="1" x14ac:dyDescent="0.35">
      <c r="B22" s="3" t="s">
        <v>196</v>
      </c>
      <c r="C22" s="258"/>
      <c r="D22" s="194"/>
      <c r="E22" s="598">
        <v>5000</v>
      </c>
      <c r="F22" s="579"/>
      <c r="H22" s="580"/>
      <c r="N22" s="51"/>
      <c r="O22" s="51"/>
      <c r="P22" s="66"/>
      <c r="Q22" s="49"/>
      <c r="R22" s="49"/>
    </row>
    <row r="23" spans="1:22" ht="18" customHeight="1" x14ac:dyDescent="0.35">
      <c r="B23" s="3" t="s">
        <v>190</v>
      </c>
      <c r="C23" s="258">
        <v>15.5</v>
      </c>
      <c r="D23" s="194">
        <f>+D20*2</f>
        <v>735.46</v>
      </c>
      <c r="E23" s="598">
        <f>+C23*D23</f>
        <v>11399.630000000001</v>
      </c>
      <c r="L23" s="180"/>
      <c r="U23" s="579"/>
    </row>
    <row r="24" spans="1:22" ht="18" customHeight="1" x14ac:dyDescent="0.35">
      <c r="B24" s="3" t="s">
        <v>195</v>
      </c>
      <c r="C24" s="315">
        <v>14.5</v>
      </c>
      <c r="D24" s="194">
        <f>+D21*1.5</f>
        <v>551.59500000000003</v>
      </c>
      <c r="E24" s="598">
        <f>+C24*D24</f>
        <v>7998.1275000000005</v>
      </c>
      <c r="G24" s="4"/>
      <c r="L24" s="180"/>
      <c r="M24" s="184"/>
    </row>
    <row r="25" spans="1:22" s="579" customFormat="1" ht="18" customHeight="1" x14ac:dyDescent="0.35">
      <c r="A25" s="4"/>
      <c r="B25" s="3" t="s">
        <v>6</v>
      </c>
      <c r="C25" s="258">
        <v>16500</v>
      </c>
      <c r="D25" s="194"/>
      <c r="E25" s="598">
        <v>20000</v>
      </c>
      <c r="F25"/>
      <c r="G25"/>
      <c r="L25" s="184"/>
      <c r="M25" s="184"/>
      <c r="N25"/>
      <c r="O25"/>
      <c r="P25"/>
      <c r="Q25"/>
      <c r="R25"/>
      <c r="S25"/>
      <c r="V25"/>
    </row>
    <row r="26" spans="1:22" s="579" customFormat="1" ht="18" customHeight="1" x14ac:dyDescent="0.35">
      <c r="A26" s="4"/>
      <c r="B26" s="3" t="s">
        <v>283</v>
      </c>
      <c r="C26" s="258">
        <v>3</v>
      </c>
      <c r="D26" s="194">
        <v>1000</v>
      </c>
      <c r="E26" s="598">
        <f>+C26*D26</f>
        <v>3000</v>
      </c>
      <c r="F26"/>
      <c r="G26"/>
      <c r="L26" s="181"/>
      <c r="M26" s="184"/>
      <c r="N26" s="180"/>
      <c r="O26" s="180"/>
      <c r="P26" s="181"/>
      <c r="Q26" s="181"/>
      <c r="R26" s="181"/>
      <c r="S26"/>
      <c r="V26"/>
    </row>
    <row r="27" spans="1:22" s="579" customFormat="1" ht="18" customHeight="1" x14ac:dyDescent="0.35">
      <c r="A27" s="4"/>
      <c r="B27" s="3" t="s">
        <v>284</v>
      </c>
      <c r="C27" s="258"/>
      <c r="D27" s="194"/>
      <c r="E27" s="598">
        <v>59184.5</v>
      </c>
      <c r="F27"/>
      <c r="G27"/>
      <c r="L27" s="181"/>
      <c r="M27" s="184"/>
      <c r="N27" s="180"/>
      <c r="O27" s="180"/>
      <c r="P27" s="181"/>
      <c r="Q27" s="181"/>
      <c r="R27" s="181"/>
      <c r="S27"/>
      <c r="V27"/>
    </row>
    <row r="28" spans="1:22" s="579" customFormat="1" ht="18" customHeight="1" x14ac:dyDescent="0.35">
      <c r="A28"/>
      <c r="B28" s="1432" t="s">
        <v>99</v>
      </c>
      <c r="C28" s="1432"/>
      <c r="D28" s="1432"/>
      <c r="E28" s="599">
        <f>+E20+E21+E22+E23+E24+E25+E26+E27</f>
        <v>177554.14750000002</v>
      </c>
      <c r="F28"/>
      <c r="G28"/>
      <c r="L28" s="181"/>
      <c r="M28" s="184"/>
      <c r="N28" s="180"/>
      <c r="O28" s="180"/>
      <c r="P28" s="181"/>
      <c r="Q28" s="181"/>
      <c r="R28" s="181"/>
      <c r="S28"/>
      <c r="V28"/>
    </row>
    <row r="29" spans="1:22" ht="18" customHeight="1" x14ac:dyDescent="0.35">
      <c r="A29" s="579"/>
      <c r="B29" s="1387" t="s">
        <v>79</v>
      </c>
      <c r="C29" s="1387"/>
      <c r="D29" s="1387"/>
      <c r="E29" s="600">
        <v>-1150</v>
      </c>
      <c r="F29" s="181"/>
      <c r="L29" s="181"/>
      <c r="M29" s="185"/>
      <c r="N29" s="180"/>
      <c r="O29" s="180"/>
      <c r="P29" s="181"/>
      <c r="Q29" s="181"/>
      <c r="R29" s="181"/>
      <c r="S29" s="579"/>
      <c r="U29" s="579"/>
    </row>
    <row r="30" spans="1:22" ht="18" customHeight="1" x14ac:dyDescent="0.35">
      <c r="B30" s="1435" t="s">
        <v>11</v>
      </c>
      <c r="C30" s="1435"/>
      <c r="D30" s="1435"/>
      <c r="E30" s="602">
        <f>+E28+E29</f>
        <v>176404.14750000002</v>
      </c>
      <c r="F30" s="409"/>
      <c r="G30" s="115"/>
      <c r="M30" s="189"/>
      <c r="N30" s="180"/>
      <c r="O30" s="180"/>
      <c r="P30" s="181"/>
      <c r="Q30" s="181"/>
      <c r="R30" s="181"/>
    </row>
    <row r="31" spans="1:22" ht="18" customHeight="1" x14ac:dyDescent="0.35">
      <c r="B31" s="455"/>
      <c r="C31" s="455"/>
      <c r="D31" s="455"/>
      <c r="E31" s="456"/>
      <c r="F31" s="409"/>
      <c r="G31" s="115"/>
      <c r="M31" s="189"/>
      <c r="N31" s="180"/>
      <c r="O31" s="180"/>
      <c r="P31" s="181"/>
      <c r="Q31" s="181"/>
      <c r="R31" s="181"/>
    </row>
    <row r="32" spans="1:22" ht="19.5" customHeight="1" x14ac:dyDescent="0.35">
      <c r="F32" s="409"/>
      <c r="G32" s="115"/>
      <c r="M32" s="185"/>
      <c r="N32" s="181"/>
      <c r="O32" s="181"/>
      <c r="P32" s="181"/>
      <c r="Q32" s="181"/>
    </row>
    <row r="33" spans="1:17" ht="18" customHeight="1" x14ac:dyDescent="0.45">
      <c r="B33" s="1436" t="s">
        <v>265</v>
      </c>
      <c r="C33" s="1436"/>
      <c r="D33" s="1436"/>
      <c r="E33" s="1436"/>
      <c r="F33" s="409"/>
      <c r="G33" s="115"/>
      <c r="M33" s="185"/>
      <c r="N33" s="181"/>
      <c r="O33" s="181"/>
      <c r="P33" s="181"/>
      <c r="Q33" s="181"/>
    </row>
    <row r="34" spans="1:17" ht="18" customHeight="1" x14ac:dyDescent="0.35">
      <c r="B34" s="604" t="s">
        <v>7</v>
      </c>
      <c r="C34" s="605" t="s">
        <v>8</v>
      </c>
      <c r="D34" s="606" t="s">
        <v>4</v>
      </c>
      <c r="E34" s="606" t="s">
        <v>9</v>
      </c>
      <c r="M34" s="185"/>
      <c r="N34" s="181"/>
      <c r="O34" s="181"/>
      <c r="P34" s="184"/>
    </row>
    <row r="35" spans="1:17" ht="18" customHeight="1" x14ac:dyDescent="0.35">
      <c r="B35" s="607" t="s">
        <v>3</v>
      </c>
      <c r="C35" s="267">
        <v>177</v>
      </c>
      <c r="D35" s="211">
        <v>272.96499999999997</v>
      </c>
      <c r="E35" s="211">
        <f>C35*D35</f>
        <v>48314.804999999993</v>
      </c>
      <c r="M35" s="182"/>
    </row>
    <row r="36" spans="1:17" ht="18" customHeight="1" x14ac:dyDescent="0.35">
      <c r="B36" s="3" t="s">
        <v>111</v>
      </c>
      <c r="C36" s="267">
        <f>+E169</f>
        <v>16</v>
      </c>
      <c r="D36" s="211">
        <v>272.97000000000003</v>
      </c>
      <c r="E36" s="211">
        <f>+C36*D36</f>
        <v>4367.5200000000004</v>
      </c>
      <c r="I36" s="579"/>
      <c r="J36" s="579"/>
      <c r="K36" s="579"/>
    </row>
    <row r="37" spans="1:17" ht="18" customHeight="1" x14ac:dyDescent="0.35">
      <c r="B37" s="3" t="s">
        <v>196</v>
      </c>
      <c r="C37" s="267"/>
      <c r="D37" s="211">
        <v>5000</v>
      </c>
      <c r="E37" s="211">
        <v>5000</v>
      </c>
      <c r="L37" s="579"/>
    </row>
    <row r="38" spans="1:17" ht="18" customHeight="1" x14ac:dyDescent="0.35">
      <c r="A38" s="106"/>
      <c r="B38" s="3" t="s">
        <v>190</v>
      </c>
      <c r="C38" s="267">
        <v>14</v>
      </c>
      <c r="D38" s="211">
        <f>+D35*2</f>
        <v>545.92999999999995</v>
      </c>
      <c r="E38" s="211">
        <f>+C38*D38</f>
        <v>7643.0199999999995</v>
      </c>
      <c r="F38" s="579"/>
      <c r="G38" s="579"/>
      <c r="H38" s="579"/>
      <c r="I38" s="579"/>
      <c r="J38" s="579"/>
      <c r="K38" s="579"/>
      <c r="O38" s="579"/>
    </row>
    <row r="39" spans="1:17" ht="18" customHeight="1" x14ac:dyDescent="0.35">
      <c r="A39" s="155"/>
      <c r="B39" s="3" t="s">
        <v>195</v>
      </c>
      <c r="C39" s="267">
        <v>8.5</v>
      </c>
      <c r="D39" s="211">
        <f>+D35*1.5</f>
        <v>409.44749999999999</v>
      </c>
      <c r="E39" s="211">
        <f>C39*D39</f>
        <v>3480.30375</v>
      </c>
      <c r="F39" s="579"/>
      <c r="G39" s="180"/>
      <c r="H39" s="180"/>
      <c r="I39" s="181"/>
      <c r="J39" s="187"/>
      <c r="K39" s="188"/>
      <c r="L39" s="579"/>
      <c r="O39" s="579"/>
    </row>
    <row r="40" spans="1:17" ht="18" customHeight="1" x14ac:dyDescent="0.35">
      <c r="A40" s="155"/>
      <c r="B40" s="3" t="s">
        <v>6</v>
      </c>
      <c r="C40" s="267">
        <v>11000</v>
      </c>
      <c r="D40" s="211"/>
      <c r="E40" s="211">
        <f>+C40</f>
        <v>11000</v>
      </c>
      <c r="G40" s="180"/>
      <c r="H40" s="180"/>
      <c r="I40" s="181"/>
      <c r="J40" s="181"/>
      <c r="K40" s="184"/>
      <c r="O40" s="579"/>
    </row>
    <row r="41" spans="1:17" ht="18" customHeight="1" x14ac:dyDescent="0.35">
      <c r="A41" s="155"/>
      <c r="B41" s="3" t="s">
        <v>283</v>
      </c>
      <c r="C41" s="267">
        <v>2</v>
      </c>
      <c r="D41" s="211">
        <v>1000</v>
      </c>
      <c r="E41" s="211">
        <f>+C41*D41</f>
        <v>2000</v>
      </c>
      <c r="G41" s="180"/>
      <c r="H41" s="180"/>
      <c r="I41" s="181"/>
      <c r="J41" s="181"/>
      <c r="K41" s="184"/>
      <c r="O41" s="579"/>
    </row>
    <row r="42" spans="1:17" ht="18" customHeight="1" x14ac:dyDescent="0.35">
      <c r="A42" s="155"/>
      <c r="B42" s="3" t="s">
        <v>285</v>
      </c>
      <c r="C42" s="267"/>
      <c r="D42" s="211"/>
      <c r="E42" s="211">
        <v>40903</v>
      </c>
      <c r="G42" s="180"/>
      <c r="H42" s="180"/>
      <c r="I42" s="181"/>
      <c r="J42" s="181"/>
      <c r="K42" s="184"/>
      <c r="O42" s="579"/>
    </row>
    <row r="43" spans="1:17" s="579" customFormat="1" ht="18" customHeight="1" x14ac:dyDescent="0.35">
      <c r="A43" s="155"/>
      <c r="B43" s="1432" t="s">
        <v>99</v>
      </c>
      <c r="C43" s="1432"/>
      <c r="D43" s="1432"/>
      <c r="E43" s="599">
        <f>+E35+E36+E37+E38+E39+E40+E41+E42</f>
        <v>122708.64874999999</v>
      </c>
      <c r="F43"/>
      <c r="G43" s="180"/>
      <c r="H43" s="180"/>
      <c r="I43" s="181"/>
      <c r="J43" s="181"/>
      <c r="K43" s="184"/>
      <c r="L43"/>
      <c r="N43"/>
      <c r="O43"/>
    </row>
    <row r="44" spans="1:17" s="579" customFormat="1" ht="18" customHeight="1" x14ac:dyDescent="0.35">
      <c r="A44" s="155"/>
      <c r="B44" s="1437" t="s">
        <v>19</v>
      </c>
      <c r="C44" s="1437"/>
      <c r="D44" s="1437"/>
      <c r="E44" s="213">
        <v>-15000</v>
      </c>
      <c r="F44"/>
      <c r="G44" s="180"/>
      <c r="H44" s="180"/>
      <c r="I44" s="181"/>
      <c r="J44" s="181"/>
      <c r="K44" s="184"/>
      <c r="L44"/>
      <c r="N44"/>
      <c r="O44"/>
    </row>
    <row r="45" spans="1:17" ht="18" customHeight="1" x14ac:dyDescent="0.35">
      <c r="A45" s="156"/>
      <c r="B45" s="1438" t="s">
        <v>11</v>
      </c>
      <c r="C45" s="1438"/>
      <c r="D45" s="1438"/>
      <c r="E45" s="608">
        <f>+E43+E44</f>
        <v>107708.64874999999</v>
      </c>
      <c r="G45" s="180"/>
      <c r="H45" s="180"/>
      <c r="I45" s="181"/>
      <c r="J45" s="181"/>
      <c r="K45" s="184"/>
    </row>
    <row r="46" spans="1:17" ht="18" customHeight="1" x14ac:dyDescent="0.35">
      <c r="A46" s="156"/>
      <c r="B46" s="594"/>
      <c r="C46" s="594"/>
      <c r="D46" s="594"/>
      <c r="E46" s="595"/>
      <c r="G46" s="180"/>
      <c r="H46" s="180"/>
      <c r="I46" s="181"/>
      <c r="J46" s="181"/>
      <c r="K46" s="184"/>
    </row>
    <row r="47" spans="1:17" ht="18" customHeight="1" x14ac:dyDescent="0.35">
      <c r="A47" s="156"/>
      <c r="B47" s="594"/>
      <c r="C47" s="594"/>
      <c r="D47" s="594"/>
      <c r="E47" s="595"/>
      <c r="G47" s="180"/>
      <c r="H47" s="180"/>
      <c r="I47" s="181"/>
      <c r="J47" s="181"/>
      <c r="K47" s="184"/>
    </row>
    <row r="48" spans="1:17" ht="18" customHeight="1" x14ac:dyDescent="0.35">
      <c r="A48" s="156"/>
      <c r="B48" s="594"/>
      <c r="C48" s="594"/>
      <c r="D48" s="594"/>
      <c r="E48" s="595"/>
      <c r="G48" s="180"/>
      <c r="H48" s="180"/>
      <c r="I48" s="181"/>
      <c r="J48" s="181"/>
      <c r="K48" s="184"/>
    </row>
    <row r="49" spans="1:22" ht="15" customHeight="1" x14ac:dyDescent="0.35">
      <c r="A49" s="155"/>
      <c r="B49" s="1431" t="s">
        <v>0</v>
      </c>
      <c r="C49" s="1431"/>
      <c r="D49" s="1431"/>
      <c r="E49" s="1431"/>
      <c r="G49" s="180"/>
      <c r="H49" s="180"/>
      <c r="I49" s="181"/>
      <c r="J49" s="181"/>
      <c r="K49" s="184"/>
      <c r="L49" s="579"/>
    </row>
    <row r="50" spans="1:22" ht="15" customHeight="1" x14ac:dyDescent="0.35">
      <c r="A50" s="155"/>
      <c r="B50" s="2" t="s">
        <v>7</v>
      </c>
      <c r="C50" s="270" t="s">
        <v>8</v>
      </c>
      <c r="D50" s="217" t="s">
        <v>4</v>
      </c>
      <c r="E50" s="597" t="s">
        <v>9</v>
      </c>
      <c r="G50" s="180"/>
      <c r="H50" s="180"/>
      <c r="I50" s="181"/>
      <c r="J50" s="181"/>
      <c r="K50" s="184"/>
      <c r="L50" s="579"/>
    </row>
    <row r="51" spans="1:22" ht="15" customHeight="1" x14ac:dyDescent="0.35">
      <c r="A51" s="155"/>
      <c r="B51" s="3" t="s">
        <v>253</v>
      </c>
      <c r="C51" s="258">
        <v>177</v>
      </c>
      <c r="D51" s="194">
        <v>367.73</v>
      </c>
      <c r="E51" s="598">
        <f>C51*D51</f>
        <v>65088.210000000006</v>
      </c>
      <c r="G51" s="180"/>
      <c r="H51" s="180"/>
      <c r="I51" s="181"/>
      <c r="J51" s="181"/>
      <c r="K51" s="184"/>
    </row>
    <row r="52" spans="1:22" ht="15" customHeight="1" x14ac:dyDescent="0.35">
      <c r="A52" s="155"/>
      <c r="B52" s="3" t="s">
        <v>111</v>
      </c>
      <c r="C52" s="258">
        <f>+E169</f>
        <v>16</v>
      </c>
      <c r="D52" s="194">
        <f>+D51</f>
        <v>367.73</v>
      </c>
      <c r="E52" s="598">
        <f>C52*D52</f>
        <v>5883.68</v>
      </c>
      <c r="G52" s="180"/>
      <c r="H52" s="180"/>
      <c r="I52" s="181"/>
      <c r="J52" s="181"/>
      <c r="K52" s="184"/>
    </row>
    <row r="53" spans="1:22" ht="15" customHeight="1" x14ac:dyDescent="0.35">
      <c r="A53" s="155"/>
      <c r="B53" s="3" t="s">
        <v>196</v>
      </c>
      <c r="C53" s="258"/>
      <c r="D53" s="194"/>
      <c r="E53" s="598">
        <v>5000</v>
      </c>
      <c r="F53" s="579"/>
      <c r="M53" s="176"/>
      <c r="N53" s="180"/>
      <c r="O53" s="180"/>
      <c r="P53" s="181"/>
      <c r="Q53" s="181"/>
      <c r="R53" s="184"/>
    </row>
    <row r="54" spans="1:22" ht="15" customHeight="1" x14ac:dyDescent="0.35">
      <c r="B54" s="3" t="s">
        <v>278</v>
      </c>
      <c r="C54" s="258">
        <v>4</v>
      </c>
      <c r="D54" s="194">
        <f>+D51*2</f>
        <v>735.46</v>
      </c>
      <c r="E54" s="598">
        <f>+C54*D54</f>
        <v>2941.84</v>
      </c>
      <c r="M54" s="176"/>
      <c r="N54" s="577"/>
      <c r="O54" s="577"/>
      <c r="P54" s="181"/>
      <c r="Q54" s="181"/>
      <c r="R54" s="184"/>
    </row>
    <row r="55" spans="1:22" ht="15" customHeight="1" x14ac:dyDescent="0.35">
      <c r="B55" s="3" t="s">
        <v>195</v>
      </c>
      <c r="C55" s="315">
        <v>11</v>
      </c>
      <c r="D55" s="194">
        <f>+D51*1.5</f>
        <v>551.59500000000003</v>
      </c>
      <c r="E55" s="598">
        <f>C55*D55</f>
        <v>6067.5450000000001</v>
      </c>
      <c r="M55" s="176"/>
      <c r="N55" s="176"/>
      <c r="O55" s="176"/>
      <c r="P55" s="181"/>
      <c r="Q55" s="181"/>
      <c r="R55" s="184"/>
      <c r="T55" s="579"/>
    </row>
    <row r="56" spans="1:22" s="579" customFormat="1" ht="15" customHeight="1" x14ac:dyDescent="0.35">
      <c r="A56"/>
      <c r="B56" s="3" t="s">
        <v>6</v>
      </c>
      <c r="C56" s="258">
        <v>16500</v>
      </c>
      <c r="D56" s="194"/>
      <c r="E56" s="598">
        <f>+C56</f>
        <v>16500</v>
      </c>
      <c r="F56"/>
      <c r="G56"/>
      <c r="H56"/>
      <c r="I56"/>
      <c r="J56"/>
      <c r="K56"/>
      <c r="L56"/>
      <c r="M56" s="176"/>
      <c r="N56" s="176"/>
      <c r="O56" s="176"/>
      <c r="P56" s="176"/>
      <c r="Q56" s="176"/>
      <c r="R56" s="176"/>
      <c r="S56"/>
      <c r="T56"/>
      <c r="U56"/>
      <c r="V56"/>
    </row>
    <row r="57" spans="1:22" s="579" customFormat="1" ht="15" customHeight="1" x14ac:dyDescent="0.35">
      <c r="A57"/>
      <c r="B57" s="3" t="s">
        <v>283</v>
      </c>
      <c r="C57" s="258">
        <v>2</v>
      </c>
      <c r="D57" s="194">
        <v>1000</v>
      </c>
      <c r="E57" s="598">
        <f>+C57*D57</f>
        <v>2000</v>
      </c>
      <c r="F57"/>
      <c r="G57"/>
      <c r="H57"/>
      <c r="I57"/>
      <c r="J57"/>
      <c r="K57"/>
      <c r="L57"/>
      <c r="M57" s="176"/>
      <c r="N57" s="176"/>
      <c r="O57" s="176"/>
      <c r="P57" s="176"/>
      <c r="Q57" s="176"/>
      <c r="R57" s="176"/>
      <c r="S57"/>
      <c r="T57"/>
      <c r="U57"/>
      <c r="V57"/>
    </row>
    <row r="58" spans="1:22" s="579" customFormat="1" ht="15" customHeight="1" x14ac:dyDescent="0.35">
      <c r="A58"/>
      <c r="B58" s="3" t="s">
        <v>285</v>
      </c>
      <c r="C58" s="258"/>
      <c r="D58" s="194"/>
      <c r="E58" s="598">
        <v>51741</v>
      </c>
      <c r="F58"/>
      <c r="G58"/>
      <c r="H58"/>
      <c r="I58"/>
      <c r="J58"/>
      <c r="K58"/>
      <c r="L58"/>
      <c r="M58" s="176"/>
      <c r="N58" s="176"/>
      <c r="O58" s="176"/>
      <c r="P58" s="176"/>
      <c r="Q58" s="176"/>
      <c r="R58" s="176"/>
      <c r="S58"/>
      <c r="T58"/>
      <c r="U58"/>
      <c r="V58"/>
    </row>
    <row r="59" spans="1:22" ht="15" customHeight="1" x14ac:dyDescent="0.35">
      <c r="B59" s="1432" t="s">
        <v>99</v>
      </c>
      <c r="C59" s="1432"/>
      <c r="D59" s="1432"/>
      <c r="E59" s="599">
        <f>+E51+E52+E53+E54+E55+E56+E57+E58</f>
        <v>155222.27500000002</v>
      </c>
      <c r="N59" s="183"/>
      <c r="O59" s="183"/>
      <c r="P59" s="176"/>
      <c r="Q59" s="176"/>
      <c r="R59" s="176"/>
      <c r="T59" s="579"/>
    </row>
    <row r="60" spans="1:22" s="583" customFormat="1" ht="15" customHeight="1" x14ac:dyDescent="0.35">
      <c r="A60"/>
      <c r="B60" s="3" t="s">
        <v>290</v>
      </c>
      <c r="C60" s="258"/>
      <c r="D60" s="194"/>
      <c r="E60" s="598">
        <v>-17902.46</v>
      </c>
      <c r="F60"/>
      <c r="G60"/>
      <c r="H60"/>
      <c r="I60"/>
      <c r="J60"/>
      <c r="K60"/>
      <c r="L60"/>
      <c r="M60" s="176"/>
      <c r="N60" s="176"/>
      <c r="O60" s="176"/>
      <c r="P60" s="176"/>
      <c r="Q60" s="176"/>
      <c r="R60" s="176"/>
      <c r="S60"/>
      <c r="T60"/>
      <c r="U60"/>
      <c r="V60"/>
    </row>
    <row r="61" spans="1:22" s="583" customFormat="1" ht="15" customHeight="1" x14ac:dyDescent="0.35">
      <c r="A61"/>
      <c r="B61" s="3" t="s">
        <v>289</v>
      </c>
      <c r="C61" s="258"/>
      <c r="D61" s="194"/>
      <c r="E61" s="598">
        <v>-39224.519999999997</v>
      </c>
      <c r="F61"/>
      <c r="G61"/>
      <c r="H61"/>
      <c r="I61"/>
      <c r="J61"/>
      <c r="K61"/>
      <c r="L61"/>
      <c r="M61" s="176"/>
      <c r="N61" s="176"/>
      <c r="O61" s="176"/>
      <c r="P61" s="176"/>
      <c r="Q61" s="176"/>
      <c r="R61" s="176"/>
      <c r="S61"/>
      <c r="T61"/>
      <c r="U61"/>
      <c r="V61"/>
    </row>
    <row r="62" spans="1:22" s="579" customFormat="1" ht="15" customHeight="1" x14ac:dyDescent="0.35">
      <c r="B62" s="1433" t="s">
        <v>11</v>
      </c>
      <c r="C62" s="1433"/>
      <c r="D62" s="1433"/>
      <c r="E62" s="603">
        <f>+E59+E60+E61</f>
        <v>98095.295000000042</v>
      </c>
      <c r="F62"/>
      <c r="G62"/>
      <c r="H62"/>
      <c r="I62"/>
      <c r="J62"/>
      <c r="K62"/>
      <c r="L62"/>
      <c r="M62"/>
      <c r="N62" s="176"/>
      <c r="O62" s="176"/>
      <c r="P62" s="176"/>
      <c r="Q62" s="176"/>
      <c r="R62" s="176"/>
      <c r="S62"/>
      <c r="U62"/>
    </row>
    <row r="63" spans="1:22" s="579" customFormat="1" ht="15" customHeight="1" x14ac:dyDescent="0.35">
      <c r="B63" s="455"/>
      <c r="C63" s="455"/>
      <c r="D63" s="455"/>
      <c r="E63" s="456"/>
      <c r="F63"/>
      <c r="G63"/>
      <c r="H63"/>
      <c r="I63"/>
      <c r="J63"/>
      <c r="K63"/>
      <c r="L63"/>
      <c r="M63"/>
      <c r="N63" s="176"/>
      <c r="O63" s="176"/>
      <c r="P63" s="176"/>
      <c r="Q63" s="176"/>
      <c r="R63" s="176"/>
      <c r="S63"/>
      <c r="U63"/>
    </row>
    <row r="64" spans="1:22" s="579" customFormat="1" ht="15" customHeight="1" x14ac:dyDescent="0.35">
      <c r="B64" s="455"/>
      <c r="C64" s="455"/>
      <c r="D64" s="455"/>
      <c r="E64" s="456"/>
      <c r="F64"/>
      <c r="G64"/>
      <c r="H64"/>
      <c r="I64"/>
      <c r="J64"/>
      <c r="K64"/>
      <c r="L64"/>
      <c r="M64"/>
      <c r="N64" s="176"/>
      <c r="O64" s="176"/>
      <c r="P64" s="176"/>
      <c r="Q64" s="176"/>
      <c r="R64" s="176"/>
      <c r="S64"/>
      <c r="U64"/>
    </row>
    <row r="65" spans="2:22" ht="15" customHeight="1" x14ac:dyDescent="0.35">
      <c r="B65" s="1431" t="s">
        <v>28</v>
      </c>
      <c r="C65" s="1431"/>
      <c r="D65" s="1431"/>
      <c r="E65" s="1431"/>
      <c r="N65" s="176"/>
      <c r="O65" s="176"/>
      <c r="P65" s="176"/>
      <c r="Q65" s="176"/>
      <c r="R65" s="176"/>
    </row>
    <row r="66" spans="2:22" ht="15" customHeight="1" x14ac:dyDescent="0.35">
      <c r="B66" s="2" t="s">
        <v>7</v>
      </c>
      <c r="C66" s="270" t="s">
        <v>8</v>
      </c>
      <c r="D66" s="217" t="s">
        <v>4</v>
      </c>
      <c r="E66" s="597" t="s">
        <v>9</v>
      </c>
      <c r="N66" s="176"/>
      <c r="O66" s="176"/>
      <c r="P66" s="176"/>
      <c r="Q66" s="176"/>
      <c r="R66" s="176"/>
    </row>
    <row r="67" spans="2:22" ht="15" customHeight="1" x14ac:dyDescent="0.35">
      <c r="B67" s="3" t="s">
        <v>3</v>
      </c>
      <c r="C67" s="315">
        <v>177</v>
      </c>
      <c r="D67" s="194">
        <v>341.16500000000002</v>
      </c>
      <c r="E67" s="598">
        <f>+C67*D67</f>
        <v>60386.205000000002</v>
      </c>
      <c r="N67" s="176"/>
      <c r="O67" s="176"/>
      <c r="P67" s="176"/>
      <c r="Q67" s="176"/>
      <c r="R67" s="176"/>
    </row>
    <row r="68" spans="2:22" ht="15" customHeight="1" x14ac:dyDescent="0.35">
      <c r="B68" s="3" t="s">
        <v>111</v>
      </c>
      <c r="C68" s="315">
        <f>+E169</f>
        <v>16</v>
      </c>
      <c r="D68" s="194">
        <f>+D67</f>
        <v>341.16500000000002</v>
      </c>
      <c r="E68" s="598">
        <f>+C68*D68</f>
        <v>5458.64</v>
      </c>
      <c r="N68" s="176"/>
      <c r="O68" s="176"/>
      <c r="P68" s="176"/>
      <c r="Q68" s="176"/>
      <c r="R68" s="176"/>
    </row>
    <row r="69" spans="2:22" ht="15" customHeight="1" x14ac:dyDescent="0.35">
      <c r="B69" s="3" t="s">
        <v>196</v>
      </c>
      <c r="C69" s="315"/>
      <c r="D69" s="194"/>
      <c r="E69" s="598">
        <v>5000</v>
      </c>
      <c r="N69" s="176"/>
      <c r="O69" s="176"/>
      <c r="P69" s="176"/>
      <c r="Q69" s="176"/>
      <c r="R69" s="176"/>
    </row>
    <row r="70" spans="2:22" ht="15" customHeight="1" x14ac:dyDescent="0.35">
      <c r="B70" s="3" t="s">
        <v>278</v>
      </c>
      <c r="C70" s="315">
        <v>12</v>
      </c>
      <c r="D70" s="194">
        <f>+D67*2</f>
        <v>682.33</v>
      </c>
      <c r="E70" s="598">
        <f>+C70*D70</f>
        <v>8187.9600000000009</v>
      </c>
      <c r="N70" s="176"/>
      <c r="O70" s="176"/>
      <c r="P70" s="176"/>
      <c r="Q70" s="176"/>
      <c r="R70" s="176"/>
    </row>
    <row r="71" spans="2:22" ht="15" customHeight="1" x14ac:dyDescent="0.35">
      <c r="B71" s="3" t="s">
        <v>195</v>
      </c>
      <c r="C71" s="315">
        <v>11</v>
      </c>
      <c r="D71" s="194">
        <f>+D67*1.5</f>
        <v>511.74750000000006</v>
      </c>
      <c r="E71" s="598">
        <f>+D71*C71</f>
        <v>5629.2225000000008</v>
      </c>
      <c r="N71" s="176"/>
      <c r="O71" s="176"/>
      <c r="P71" s="176"/>
      <c r="Q71" s="176"/>
      <c r="R71" s="176"/>
    </row>
    <row r="72" spans="2:22" ht="15" customHeight="1" x14ac:dyDescent="0.35">
      <c r="B72" s="3" t="s">
        <v>6</v>
      </c>
      <c r="C72" s="315">
        <v>16000</v>
      </c>
      <c r="D72" s="194"/>
      <c r="E72" s="598">
        <f>+C72</f>
        <v>16000</v>
      </c>
      <c r="N72" s="176"/>
      <c r="O72" s="176"/>
      <c r="P72" s="176"/>
      <c r="Q72" s="176"/>
      <c r="R72" s="176"/>
    </row>
    <row r="73" spans="2:22" ht="15" customHeight="1" x14ac:dyDescent="0.35">
      <c r="B73" s="3" t="s">
        <v>283</v>
      </c>
      <c r="C73" s="315">
        <v>2.5</v>
      </c>
      <c r="D73" s="194">
        <v>1000</v>
      </c>
      <c r="E73" s="598">
        <f>+C73*D73</f>
        <v>2500</v>
      </c>
      <c r="N73" s="176"/>
      <c r="O73" s="176"/>
      <c r="P73" s="176"/>
      <c r="Q73" s="176"/>
      <c r="R73" s="176"/>
    </row>
    <row r="74" spans="2:22" ht="15" customHeight="1" x14ac:dyDescent="0.35">
      <c r="B74" s="3" t="s">
        <v>285</v>
      </c>
      <c r="C74" s="315"/>
      <c r="D74" s="194"/>
      <c r="E74" s="598">
        <v>51581</v>
      </c>
      <c r="N74" s="176"/>
      <c r="O74" s="176"/>
      <c r="P74" s="176"/>
      <c r="Q74" s="176"/>
      <c r="R74" s="176"/>
    </row>
    <row r="75" spans="2:22" ht="15" customHeight="1" x14ac:dyDescent="0.35">
      <c r="B75" s="1432" t="s">
        <v>99</v>
      </c>
      <c r="C75" s="1432"/>
      <c r="D75" s="1432"/>
      <c r="E75" s="599">
        <f>+E67+E68+E69+E70+E71+E72+E73+E74</f>
        <v>154743.02750000003</v>
      </c>
      <c r="V75" s="579"/>
    </row>
    <row r="76" spans="2:22" ht="15" customHeight="1" x14ac:dyDescent="0.35">
      <c r="B76" s="1387" t="s">
        <v>290</v>
      </c>
      <c r="C76" s="1387"/>
      <c r="D76" s="1387"/>
      <c r="E76" s="600">
        <v>-16983.45</v>
      </c>
    </row>
    <row r="77" spans="2:22" ht="15" customHeight="1" x14ac:dyDescent="0.35">
      <c r="B77" s="584" t="s">
        <v>289</v>
      </c>
      <c r="C77" s="584"/>
      <c r="D77" s="584"/>
      <c r="E77" s="600">
        <v>-37098.6</v>
      </c>
    </row>
    <row r="78" spans="2:22" ht="15" customHeight="1" x14ac:dyDescent="0.35">
      <c r="B78" s="1435" t="s">
        <v>11</v>
      </c>
      <c r="C78" s="1435"/>
      <c r="D78" s="1435"/>
      <c r="E78" s="602">
        <f>+E75+E76+E77</f>
        <v>100660.97750000001</v>
      </c>
      <c r="V78" s="579"/>
    </row>
    <row r="79" spans="2:22" ht="15" customHeight="1" x14ac:dyDescent="0.35">
      <c r="B79" s="455"/>
      <c r="C79" s="455"/>
      <c r="D79" s="455"/>
      <c r="E79" s="456"/>
      <c r="V79" s="579"/>
    </row>
    <row r="81" spans="2:5" ht="15.5" x14ac:dyDescent="0.35">
      <c r="B81" s="577"/>
      <c r="C81" s="262"/>
      <c r="D81" s="204"/>
      <c r="E81" s="456"/>
    </row>
    <row r="82" spans="2:5" ht="23.5" x14ac:dyDescent="0.35">
      <c r="B82" s="1431" t="s">
        <v>174</v>
      </c>
      <c r="C82" s="1431"/>
      <c r="D82" s="1431"/>
      <c r="E82" s="1431"/>
    </row>
    <row r="83" spans="2:5" x14ac:dyDescent="0.35">
      <c r="B83" s="2" t="s">
        <v>7</v>
      </c>
      <c r="C83" s="270" t="s">
        <v>8</v>
      </c>
      <c r="D83" s="217" t="s">
        <v>4</v>
      </c>
      <c r="E83" s="597" t="s">
        <v>9</v>
      </c>
    </row>
    <row r="84" spans="2:5" x14ac:dyDescent="0.35">
      <c r="B84" s="3" t="s">
        <v>3</v>
      </c>
      <c r="C84" s="258">
        <v>177</v>
      </c>
      <c r="D84" s="227">
        <v>255.2</v>
      </c>
      <c r="E84" s="598">
        <f>C84*D84</f>
        <v>45170.400000000001</v>
      </c>
    </row>
    <row r="85" spans="2:5" x14ac:dyDescent="0.35">
      <c r="B85" s="3" t="s">
        <v>111</v>
      </c>
      <c r="C85" s="258">
        <f>+E169</f>
        <v>16</v>
      </c>
      <c r="D85" s="227">
        <f>+D84</f>
        <v>255.2</v>
      </c>
      <c r="E85" s="598">
        <f>C85*D85</f>
        <v>4083.2</v>
      </c>
    </row>
    <row r="86" spans="2:5" x14ac:dyDescent="0.35">
      <c r="B86" s="3" t="s">
        <v>196</v>
      </c>
      <c r="C86" s="258"/>
      <c r="D86" s="227">
        <v>5000</v>
      </c>
      <c r="E86" s="598">
        <v>5000</v>
      </c>
    </row>
    <row r="87" spans="2:5" x14ac:dyDescent="0.35">
      <c r="B87" s="3" t="s">
        <v>139</v>
      </c>
      <c r="C87" s="258">
        <v>8</v>
      </c>
      <c r="D87" s="227">
        <f>+D84*2</f>
        <v>510.4</v>
      </c>
      <c r="E87" s="598">
        <f>+C87*D87</f>
        <v>4083.2</v>
      </c>
    </row>
    <row r="88" spans="2:5" x14ac:dyDescent="0.35">
      <c r="B88" s="3" t="s">
        <v>195</v>
      </c>
      <c r="C88" s="258">
        <v>2.5</v>
      </c>
      <c r="D88" s="227">
        <f>+D84*1.5</f>
        <v>382.79999999999995</v>
      </c>
      <c r="E88" s="598">
        <f>+C88*D88</f>
        <v>956.99999999999989</v>
      </c>
    </row>
    <row r="89" spans="2:5" x14ac:dyDescent="0.35">
      <c r="B89" s="3" t="s">
        <v>6</v>
      </c>
      <c r="C89" s="258">
        <v>11000</v>
      </c>
      <c r="D89" s="227"/>
      <c r="E89" s="598">
        <f>+C89</f>
        <v>11000</v>
      </c>
    </row>
    <row r="90" spans="2:5" x14ac:dyDescent="0.35">
      <c r="B90" s="3" t="s">
        <v>283</v>
      </c>
      <c r="C90" s="258">
        <v>1</v>
      </c>
      <c r="D90" s="227">
        <v>1000</v>
      </c>
      <c r="E90" s="598">
        <f>+C90*D90</f>
        <v>1000</v>
      </c>
    </row>
    <row r="91" spans="2:5" x14ac:dyDescent="0.35">
      <c r="B91" s="3" t="s">
        <v>285</v>
      </c>
      <c r="C91" s="258"/>
      <c r="D91" s="227"/>
      <c r="E91" s="598">
        <v>35647</v>
      </c>
    </row>
    <row r="92" spans="2:5" x14ac:dyDescent="0.35">
      <c r="B92" s="1432" t="s">
        <v>99</v>
      </c>
      <c r="C92" s="1432"/>
      <c r="D92" s="1432"/>
      <c r="E92" s="599">
        <f>+E84+E85+E86+E87+E88+E89+E90+E91</f>
        <v>106940.79999999999</v>
      </c>
    </row>
    <row r="93" spans="2:5" x14ac:dyDescent="0.35">
      <c r="B93" s="1387" t="s">
        <v>19</v>
      </c>
      <c r="C93" s="1387"/>
      <c r="D93" s="1387"/>
      <c r="E93" s="600">
        <v>-10000</v>
      </c>
    </row>
    <row r="94" spans="2:5" ht="15.5" x14ac:dyDescent="0.35">
      <c r="B94" s="1433" t="s">
        <v>11</v>
      </c>
      <c r="C94" s="1433"/>
      <c r="D94" s="1433"/>
      <c r="E94" s="603">
        <f>+E92+E93</f>
        <v>96940.799999999988</v>
      </c>
    </row>
    <row r="95" spans="2:5" ht="15.5" x14ac:dyDescent="0.35">
      <c r="B95" s="455"/>
      <c r="C95" s="455"/>
      <c r="D95" s="455"/>
      <c r="E95" s="456"/>
    </row>
    <row r="96" spans="2:5" ht="15.5" x14ac:dyDescent="0.35">
      <c r="B96" s="455"/>
      <c r="C96" s="455"/>
      <c r="D96" s="455"/>
      <c r="E96" s="456"/>
    </row>
    <row r="97" spans="1:22" ht="15.5" x14ac:dyDescent="0.35">
      <c r="B97" s="455"/>
      <c r="C97" s="455"/>
      <c r="D97" s="455"/>
      <c r="E97" s="456"/>
    </row>
    <row r="99" spans="1:22" ht="23.5" x14ac:dyDescent="0.35">
      <c r="B99" s="1431" t="s">
        <v>263</v>
      </c>
      <c r="C99" s="1431"/>
      <c r="D99" s="1431"/>
      <c r="E99" s="1431"/>
    </row>
    <row r="100" spans="1:22" x14ac:dyDescent="0.35">
      <c r="B100" s="2" t="s">
        <v>7</v>
      </c>
      <c r="C100" s="270" t="s">
        <v>8</v>
      </c>
      <c r="D100" s="217" t="s">
        <v>4</v>
      </c>
      <c r="E100" s="597" t="s">
        <v>9</v>
      </c>
    </row>
    <row r="101" spans="1:22" x14ac:dyDescent="0.35">
      <c r="B101" s="3" t="s">
        <v>3</v>
      </c>
      <c r="C101" s="258">
        <v>177</v>
      </c>
      <c r="D101" s="227">
        <v>272.96499999999997</v>
      </c>
      <c r="E101" s="598">
        <f>+C101*D101</f>
        <v>48314.804999999993</v>
      </c>
    </row>
    <row r="102" spans="1:22" x14ac:dyDescent="0.35">
      <c r="B102" s="3" t="s">
        <v>111</v>
      </c>
      <c r="C102" s="258">
        <v>16</v>
      </c>
      <c r="D102" s="227">
        <v>272.97000000000003</v>
      </c>
      <c r="E102" s="598">
        <f>+C102*D102</f>
        <v>4367.5200000000004</v>
      </c>
    </row>
    <row r="103" spans="1:22" x14ac:dyDescent="0.35">
      <c r="B103" s="3" t="s">
        <v>266</v>
      </c>
      <c r="C103" s="258"/>
      <c r="D103" s="227"/>
      <c r="E103" s="598">
        <v>5000</v>
      </c>
    </row>
    <row r="104" spans="1:22" x14ac:dyDescent="0.35">
      <c r="B104" s="3" t="s">
        <v>190</v>
      </c>
      <c r="C104" s="258">
        <v>4</v>
      </c>
      <c r="D104" s="194">
        <f>+D101*2</f>
        <v>545.92999999999995</v>
      </c>
      <c r="E104" s="598">
        <f>+C104*D104</f>
        <v>2183.7199999999998</v>
      </c>
    </row>
    <row r="105" spans="1:22" x14ac:dyDescent="0.35">
      <c r="B105" s="3" t="s">
        <v>195</v>
      </c>
      <c r="C105" s="258">
        <v>10.5</v>
      </c>
      <c r="D105" s="194">
        <f>+D101*1.5</f>
        <v>409.44749999999999</v>
      </c>
      <c r="E105" s="598">
        <f>+C105*D105</f>
        <v>4299.1987499999996</v>
      </c>
    </row>
    <row r="106" spans="1:22" x14ac:dyDescent="0.35">
      <c r="B106" s="3" t="s">
        <v>6</v>
      </c>
      <c r="C106" s="258">
        <v>5500</v>
      </c>
      <c r="D106" s="194"/>
      <c r="E106" s="598">
        <v>11000</v>
      </c>
    </row>
    <row r="107" spans="1:22" s="579" customFormat="1" x14ac:dyDescent="0.35">
      <c r="A107" s="4"/>
      <c r="B107" s="3" t="s">
        <v>283</v>
      </c>
      <c r="C107" s="258">
        <v>1</v>
      </c>
      <c r="D107" s="194">
        <v>1000</v>
      </c>
      <c r="E107" s="598">
        <f>+C107*D107</f>
        <v>1000</v>
      </c>
      <c r="F107"/>
      <c r="G107"/>
      <c r="H107" s="181"/>
      <c r="I107" s="181"/>
      <c r="J107" s="181"/>
      <c r="K107" s="181"/>
      <c r="L107" s="181"/>
      <c r="M107" s="184"/>
      <c r="N107" s="180"/>
      <c r="O107" s="180"/>
      <c r="P107" s="181"/>
      <c r="Q107" s="181"/>
      <c r="R107" s="181"/>
      <c r="S107"/>
      <c r="V107"/>
    </row>
    <row r="108" spans="1:22" s="579" customFormat="1" x14ac:dyDescent="0.35">
      <c r="A108" s="4"/>
      <c r="B108" s="3" t="s">
        <v>286</v>
      </c>
      <c r="C108" s="258"/>
      <c r="D108" s="194"/>
      <c r="E108" s="598">
        <v>25389</v>
      </c>
      <c r="F108"/>
      <c r="G108"/>
      <c r="H108" s="181"/>
      <c r="I108" s="181"/>
      <c r="J108" s="181"/>
      <c r="K108" s="181"/>
      <c r="L108" s="181"/>
      <c r="M108" s="184"/>
      <c r="N108" s="180"/>
      <c r="O108" s="180"/>
      <c r="P108" s="181"/>
      <c r="Q108" s="181"/>
      <c r="R108" s="181"/>
      <c r="S108"/>
      <c r="V108"/>
    </row>
    <row r="109" spans="1:22" x14ac:dyDescent="0.35">
      <c r="B109" s="1432" t="s">
        <v>99</v>
      </c>
      <c r="C109" s="1432"/>
      <c r="D109" s="1432"/>
      <c r="E109" s="599">
        <f>+E101+E102+E103+E104+E105+E106+E107+E108</f>
        <v>101554.24374999999</v>
      </c>
    </row>
    <row r="110" spans="1:22" s="106" customFormat="1" x14ac:dyDescent="0.35">
      <c r="B110" s="596"/>
      <c r="C110" s="596"/>
      <c r="D110" s="596"/>
      <c r="E110" s="421"/>
    </row>
    <row r="111" spans="1:22" s="106" customFormat="1" x14ac:dyDescent="0.35">
      <c r="B111" s="596"/>
      <c r="C111" s="596"/>
      <c r="D111" s="596"/>
      <c r="E111" s="421"/>
    </row>
    <row r="112" spans="1:22" s="106" customFormat="1" x14ac:dyDescent="0.35">
      <c r="B112" s="1434"/>
      <c r="C112" s="1434"/>
      <c r="D112" s="1434"/>
      <c r="E112" s="421"/>
    </row>
    <row r="113" spans="2:5" ht="23.5" x14ac:dyDescent="0.35">
      <c r="B113" s="1431" t="s">
        <v>264</v>
      </c>
      <c r="C113" s="1431"/>
      <c r="D113" s="1431"/>
      <c r="E113" s="1431"/>
    </row>
    <row r="114" spans="2:5" x14ac:dyDescent="0.35">
      <c r="B114" s="2" t="s">
        <v>7</v>
      </c>
      <c r="C114" s="270" t="s">
        <v>8</v>
      </c>
      <c r="D114" s="217" t="s">
        <v>4</v>
      </c>
      <c r="E114" s="597" t="s">
        <v>9</v>
      </c>
    </row>
    <row r="115" spans="2:5" x14ac:dyDescent="0.35">
      <c r="B115" s="3" t="s">
        <v>3</v>
      </c>
      <c r="C115" s="258">
        <v>177</v>
      </c>
      <c r="D115" s="227">
        <v>230.17500000000001</v>
      </c>
      <c r="E115" s="598">
        <f>C115*D115</f>
        <v>40740.974999999999</v>
      </c>
    </row>
    <row r="116" spans="2:5" x14ac:dyDescent="0.35">
      <c r="B116" s="3" t="s">
        <v>111</v>
      </c>
      <c r="C116" s="258">
        <v>16</v>
      </c>
      <c r="D116" s="227">
        <v>230.18</v>
      </c>
      <c r="E116" s="598">
        <f>C116*D116</f>
        <v>3682.88</v>
      </c>
    </row>
    <row r="117" spans="2:5" x14ac:dyDescent="0.35">
      <c r="B117" s="3" t="s">
        <v>196</v>
      </c>
      <c r="C117" s="258"/>
      <c r="D117" s="227"/>
      <c r="E117" s="598">
        <v>2500</v>
      </c>
    </row>
    <row r="118" spans="2:5" x14ac:dyDescent="0.35">
      <c r="B118" s="3" t="s">
        <v>278</v>
      </c>
      <c r="C118" s="258">
        <v>12</v>
      </c>
      <c r="D118" s="227">
        <f>+D115*2</f>
        <v>460.35</v>
      </c>
      <c r="E118" s="598">
        <f>+C118*D118</f>
        <v>5524.2000000000007</v>
      </c>
    </row>
    <row r="119" spans="2:5" x14ac:dyDescent="0.35">
      <c r="B119" s="3" t="s">
        <v>195</v>
      </c>
      <c r="C119" s="258">
        <v>11</v>
      </c>
      <c r="D119" s="227">
        <f>+D115*1.5</f>
        <v>345.26250000000005</v>
      </c>
      <c r="E119" s="598">
        <f>+D119*C119</f>
        <v>3797.8875000000007</v>
      </c>
    </row>
    <row r="120" spans="2:5" x14ac:dyDescent="0.35">
      <c r="B120" s="3" t="s">
        <v>6</v>
      </c>
      <c r="C120" s="258"/>
      <c r="D120" s="227"/>
      <c r="E120" s="598">
        <v>8000</v>
      </c>
    </row>
    <row r="121" spans="2:5" x14ac:dyDescent="0.35">
      <c r="B121" s="3" t="s">
        <v>283</v>
      </c>
      <c r="C121" s="258">
        <v>2.5</v>
      </c>
      <c r="D121" s="227">
        <v>1000</v>
      </c>
      <c r="E121" s="598">
        <f>+C121*D121</f>
        <v>2500</v>
      </c>
    </row>
    <row r="122" spans="2:5" x14ac:dyDescent="0.35">
      <c r="B122" s="3" t="s">
        <v>286</v>
      </c>
      <c r="C122" s="258"/>
      <c r="D122" s="227"/>
      <c r="E122" s="598">
        <v>23052</v>
      </c>
    </row>
    <row r="123" spans="2:5" x14ac:dyDescent="0.35">
      <c r="B123" s="1432" t="s">
        <v>99</v>
      </c>
      <c r="C123" s="1432"/>
      <c r="D123" s="1432"/>
      <c r="E123" s="599">
        <f>+E115+E116+E117+E118+E119+E120+E121+E122</f>
        <v>89797.94249999999</v>
      </c>
    </row>
    <row r="124" spans="2:5" x14ac:dyDescent="0.35">
      <c r="B124" s="1387" t="s">
        <v>19</v>
      </c>
      <c r="C124" s="1387"/>
      <c r="D124" s="1387"/>
      <c r="E124" s="600">
        <v>-10000</v>
      </c>
    </row>
    <row r="125" spans="2:5" ht="15.5" x14ac:dyDescent="0.35">
      <c r="B125" s="1433" t="s">
        <v>11</v>
      </c>
      <c r="C125" s="1433"/>
      <c r="D125" s="1433"/>
      <c r="E125" s="603">
        <f>+E123+E124</f>
        <v>79797.94249999999</v>
      </c>
    </row>
    <row r="126" spans="2:5" x14ac:dyDescent="0.35">
      <c r="E126" s="203" t="s">
        <v>63</v>
      </c>
    </row>
    <row r="128" spans="2:5" ht="23.5" x14ac:dyDescent="0.35">
      <c r="B128" s="1431" t="s">
        <v>276</v>
      </c>
      <c r="C128" s="1431"/>
      <c r="D128" s="1431"/>
      <c r="E128" s="1431"/>
    </row>
    <row r="129" spans="2:5" x14ac:dyDescent="0.35">
      <c r="B129" s="2" t="s">
        <v>7</v>
      </c>
      <c r="C129" s="270" t="s">
        <v>8</v>
      </c>
      <c r="D129" s="217" t="s">
        <v>4</v>
      </c>
      <c r="E129" s="597" t="s">
        <v>9</v>
      </c>
    </row>
    <row r="130" spans="2:5" x14ac:dyDescent="0.35">
      <c r="B130" s="3" t="s">
        <v>279</v>
      </c>
      <c r="C130" s="258">
        <v>70</v>
      </c>
      <c r="D130" s="194">
        <v>310</v>
      </c>
      <c r="E130" s="598">
        <f>+C130*D130</f>
        <v>21700</v>
      </c>
    </row>
    <row r="131" spans="2:5" x14ac:dyDescent="0.35">
      <c r="B131" s="3" t="s">
        <v>280</v>
      </c>
      <c r="C131" s="258">
        <v>60</v>
      </c>
      <c r="D131" s="194">
        <v>310</v>
      </c>
      <c r="E131" s="609">
        <f>+C131*D131</f>
        <v>18600</v>
      </c>
    </row>
    <row r="132" spans="2:5" x14ac:dyDescent="0.35">
      <c r="B132" s="3" t="s">
        <v>282</v>
      </c>
      <c r="C132" s="258">
        <v>10</v>
      </c>
      <c r="D132" s="194">
        <v>310</v>
      </c>
      <c r="E132" s="609">
        <f>+C132*D132</f>
        <v>3100</v>
      </c>
    </row>
    <row r="133" spans="2:5" x14ac:dyDescent="0.35">
      <c r="B133" s="614" t="s">
        <v>281</v>
      </c>
      <c r="C133" s="258">
        <v>5</v>
      </c>
      <c r="D133" s="194">
        <f>+D132*2</f>
        <v>620</v>
      </c>
      <c r="E133" s="609">
        <f>+C133*D133</f>
        <v>3100</v>
      </c>
    </row>
    <row r="134" spans="2:5" x14ac:dyDescent="0.35">
      <c r="B134" s="615" t="s">
        <v>283</v>
      </c>
      <c r="C134" s="258">
        <v>0.5</v>
      </c>
      <c r="D134" s="258">
        <v>1000</v>
      </c>
      <c r="E134" s="258">
        <f>+C134*D134</f>
        <v>500</v>
      </c>
    </row>
    <row r="135" spans="2:5" x14ac:dyDescent="0.35">
      <c r="B135" s="615" t="s">
        <v>200</v>
      </c>
      <c r="C135" s="258"/>
      <c r="D135" s="258"/>
      <c r="E135" s="258">
        <v>3750</v>
      </c>
    </row>
    <row r="136" spans="2:5" s="618" customFormat="1" x14ac:dyDescent="0.35">
      <c r="B136" s="615" t="s">
        <v>286</v>
      </c>
      <c r="C136" s="619"/>
      <c r="D136" s="619"/>
      <c r="E136" s="619">
        <v>6350</v>
      </c>
    </row>
    <row r="137" spans="2:5" ht="15.5" x14ac:dyDescent="0.35">
      <c r="B137" s="611" t="s">
        <v>11</v>
      </c>
      <c r="C137" s="612"/>
      <c r="D137" s="613"/>
      <c r="E137" s="603">
        <f>+E130+E131+E132+E133+E134+E135+E136</f>
        <v>57100</v>
      </c>
    </row>
    <row r="144" spans="2:5" ht="23.5" x14ac:dyDescent="0.35">
      <c r="B144" s="1431" t="s">
        <v>277</v>
      </c>
      <c r="C144" s="1431"/>
      <c r="D144" s="1431"/>
      <c r="E144" s="1431"/>
    </row>
    <row r="145" spans="2:5" x14ac:dyDescent="0.35">
      <c r="B145" s="2" t="s">
        <v>7</v>
      </c>
      <c r="C145" s="270" t="s">
        <v>8</v>
      </c>
      <c r="D145" s="217" t="s">
        <v>4</v>
      </c>
      <c r="E145" s="597" t="s">
        <v>9</v>
      </c>
    </row>
    <row r="146" spans="2:5" x14ac:dyDescent="0.35">
      <c r="B146" s="3" t="s">
        <v>3</v>
      </c>
      <c r="C146" s="258">
        <v>53</v>
      </c>
      <c r="D146" s="194">
        <v>360</v>
      </c>
      <c r="E146" s="598">
        <f>+C146*D146</f>
        <v>19080</v>
      </c>
    </row>
    <row r="147" spans="2:5" x14ac:dyDescent="0.35">
      <c r="B147" s="3" t="s">
        <v>287</v>
      </c>
      <c r="C147" s="258"/>
      <c r="D147" s="194"/>
      <c r="E147" s="609">
        <v>1000</v>
      </c>
    </row>
    <row r="148" spans="2:5" x14ac:dyDescent="0.35">
      <c r="B148" s="3" t="s">
        <v>286</v>
      </c>
      <c r="C148" s="258"/>
      <c r="D148" s="194"/>
      <c r="E148" s="609">
        <v>400</v>
      </c>
    </row>
    <row r="149" spans="2:5" ht="15.5" x14ac:dyDescent="0.35">
      <c r="B149" s="610"/>
      <c r="C149" s="258"/>
      <c r="D149" s="194"/>
      <c r="E149" s="601"/>
    </row>
    <row r="150" spans="2:5" s="624" customFormat="1" x14ac:dyDescent="0.35">
      <c r="B150" s="625" t="s">
        <v>11</v>
      </c>
      <c r="C150" s="612"/>
      <c r="D150" s="613"/>
      <c r="E150" s="626">
        <f>+E146+E147+E148</f>
        <v>20480</v>
      </c>
    </row>
    <row r="154" spans="2:5" ht="23.5" x14ac:dyDescent="0.35">
      <c r="B154" s="1431" t="s">
        <v>260</v>
      </c>
      <c r="C154" s="1431"/>
      <c r="D154" s="1431"/>
      <c r="E154" s="1431"/>
    </row>
    <row r="155" spans="2:5" x14ac:dyDescent="0.35">
      <c r="B155" s="2" t="s">
        <v>7</v>
      </c>
      <c r="C155" s="270" t="s">
        <v>8</v>
      </c>
      <c r="D155" s="217" t="s">
        <v>4</v>
      </c>
      <c r="E155" s="597" t="s">
        <v>9</v>
      </c>
    </row>
    <row r="156" spans="2:5" x14ac:dyDescent="0.35">
      <c r="B156" s="3" t="s">
        <v>3</v>
      </c>
      <c r="C156" s="258">
        <v>168</v>
      </c>
      <c r="D156" s="194">
        <v>400</v>
      </c>
      <c r="E156" s="598">
        <f>+C156*D156</f>
        <v>67200</v>
      </c>
    </row>
    <row r="157" spans="2:5" x14ac:dyDescent="0.35">
      <c r="B157" s="3" t="s">
        <v>259</v>
      </c>
      <c r="C157" s="258">
        <v>16</v>
      </c>
      <c r="D157" s="194">
        <v>400</v>
      </c>
      <c r="E157" s="609">
        <f>+C157*D157</f>
        <v>6400</v>
      </c>
    </row>
    <row r="158" spans="2:5" x14ac:dyDescent="0.35">
      <c r="B158" s="3" t="s">
        <v>270</v>
      </c>
      <c r="C158" s="258">
        <v>13.5</v>
      </c>
      <c r="D158" s="194">
        <f>+D156*1.5</f>
        <v>600</v>
      </c>
      <c r="E158" s="609">
        <f>+C158*D158</f>
        <v>8100</v>
      </c>
    </row>
    <row r="159" spans="2:5" x14ac:dyDescent="0.35">
      <c r="B159" s="614" t="s">
        <v>200</v>
      </c>
      <c r="C159" s="617"/>
      <c r="D159" s="227"/>
      <c r="E159" s="609">
        <v>5000</v>
      </c>
    </row>
    <row r="160" spans="2:5" x14ac:dyDescent="0.35">
      <c r="B160" s="615" t="s">
        <v>286</v>
      </c>
      <c r="C160" s="619"/>
      <c r="D160" s="619"/>
      <c r="E160" s="620">
        <v>28900</v>
      </c>
    </row>
    <row r="161" spans="2:18" x14ac:dyDescent="0.35">
      <c r="B161" s="621" t="s">
        <v>99</v>
      </c>
      <c r="C161" s="622"/>
      <c r="D161" s="622"/>
      <c r="E161" s="623">
        <f>+E156+E157+E158+E159+E160</f>
        <v>115600</v>
      </c>
    </row>
    <row r="162" spans="2:18" x14ac:dyDescent="0.35">
      <c r="B162" s="615" t="s">
        <v>19</v>
      </c>
      <c r="C162" s="619"/>
      <c r="D162" s="619"/>
      <c r="E162" s="619">
        <v>-30400</v>
      </c>
    </row>
    <row r="163" spans="2:18" ht="15.5" x14ac:dyDescent="0.35">
      <c r="B163" s="611" t="s">
        <v>11</v>
      </c>
      <c r="C163" s="612"/>
      <c r="D163" s="613"/>
      <c r="E163" s="603">
        <f>+E156+E157+E158+E159+E160+E162</f>
        <v>85200</v>
      </c>
    </row>
    <row r="167" spans="2:18" ht="18" customHeight="1" thickBot="1" x14ac:dyDescent="0.4">
      <c r="B167" s="592"/>
      <c r="C167" s="322" t="s">
        <v>106</v>
      </c>
      <c r="D167" s="323" t="s">
        <v>107</v>
      </c>
      <c r="E167" s="323" t="s">
        <v>262</v>
      </c>
      <c r="G167" s="115"/>
      <c r="M167" s="189"/>
      <c r="N167" s="180"/>
      <c r="O167" s="180"/>
      <c r="P167" s="181"/>
      <c r="Q167" s="181"/>
      <c r="R167" s="181"/>
    </row>
    <row r="168" spans="2:18" ht="18" customHeight="1" thickBot="1" x14ac:dyDescent="0.4">
      <c r="B168" s="592" t="s">
        <v>116</v>
      </c>
      <c r="C168" s="589">
        <v>17</v>
      </c>
      <c r="D168" s="327">
        <v>9</v>
      </c>
      <c r="E168" s="578">
        <f>+C168*D168</f>
        <v>153</v>
      </c>
      <c r="G168" s="115"/>
      <c r="M168" s="189"/>
      <c r="N168" s="180"/>
      <c r="O168" s="180"/>
      <c r="P168" s="181"/>
      <c r="Q168" s="181"/>
      <c r="R168" s="181"/>
    </row>
    <row r="169" spans="2:18" ht="18" customHeight="1" thickBot="1" x14ac:dyDescent="0.4">
      <c r="B169" s="593" t="s">
        <v>111</v>
      </c>
      <c r="C169" s="590">
        <v>2</v>
      </c>
      <c r="D169" s="345">
        <v>8</v>
      </c>
      <c r="E169" s="578">
        <f>+C169*D169</f>
        <v>16</v>
      </c>
      <c r="G169" s="115"/>
      <c r="M169" s="189"/>
      <c r="N169" s="180"/>
      <c r="O169" s="180"/>
      <c r="P169" s="181"/>
      <c r="Q169" s="181"/>
      <c r="R169" s="181"/>
    </row>
    <row r="170" spans="2:18" ht="18" customHeight="1" thickBot="1" x14ac:dyDescent="0.4">
      <c r="B170" s="593" t="s">
        <v>117</v>
      </c>
      <c r="C170" s="591">
        <v>3</v>
      </c>
      <c r="D170" s="329">
        <v>8</v>
      </c>
      <c r="E170" s="578">
        <f>+C170*D170</f>
        <v>24</v>
      </c>
      <c r="G170" s="115"/>
      <c r="M170" s="189"/>
      <c r="N170" s="180"/>
      <c r="O170" s="180"/>
      <c r="P170" s="181"/>
      <c r="Q170" s="181"/>
      <c r="R170" s="181"/>
    </row>
  </sheetData>
  <mergeCells count="33">
    <mergeCell ref="B28:D28"/>
    <mergeCell ref="B2:E2"/>
    <mergeCell ref="B12:D12"/>
    <mergeCell ref="B13:D13"/>
    <mergeCell ref="B15:D15"/>
    <mergeCell ref="B18:E18"/>
    <mergeCell ref="B75:D75"/>
    <mergeCell ref="B76:D76"/>
    <mergeCell ref="B78:D78"/>
    <mergeCell ref="B65:E65"/>
    <mergeCell ref="B29:D29"/>
    <mergeCell ref="B30:D30"/>
    <mergeCell ref="B33:E33"/>
    <mergeCell ref="B43:D43"/>
    <mergeCell ref="B44:D44"/>
    <mergeCell ref="B45:D45"/>
    <mergeCell ref="B49:E49"/>
    <mergeCell ref="B59:D59"/>
    <mergeCell ref="B62:D62"/>
    <mergeCell ref="B154:E154"/>
    <mergeCell ref="B82:E82"/>
    <mergeCell ref="B128:E128"/>
    <mergeCell ref="B144:E144"/>
    <mergeCell ref="B109:D109"/>
    <mergeCell ref="B113:E113"/>
    <mergeCell ref="B123:D123"/>
    <mergeCell ref="B124:D124"/>
    <mergeCell ref="B125:D125"/>
    <mergeCell ref="B112:D112"/>
    <mergeCell ref="B92:D92"/>
    <mergeCell ref="B93:D93"/>
    <mergeCell ref="B94:D94"/>
    <mergeCell ref="B99:E99"/>
  </mergeCells>
  <pageMargins left="0.31496062992125984" right="0.11811023622047245" top="0" bottom="0" header="0.31496062992125984" footer="0.31496062992125984"/>
  <pageSetup paperSize="9" fitToWidth="0" orientation="portrait" r:id="rId1"/>
  <rowBreaks count="1" manualBreakCount="1">
    <brk id="142" max="16383" man="1"/>
  </rowBreaks>
  <colBreaks count="1" manualBreakCount="1">
    <brk id="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144"/>
  <sheetViews>
    <sheetView topLeftCell="A127" workbookViewId="0">
      <selection activeCell="A6" sqref="A6"/>
    </sheetView>
  </sheetViews>
  <sheetFormatPr baseColWidth="10" defaultRowHeight="14.5" x14ac:dyDescent="0.35"/>
  <cols>
    <col min="2" max="2" width="23.453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1:21" ht="18" customHeight="1" x14ac:dyDescent="0.35"/>
    <row r="2" spans="1:21" ht="25.5" customHeight="1" x14ac:dyDescent="0.35">
      <c r="B2" s="1431" t="s">
        <v>10</v>
      </c>
      <c r="C2" s="1431"/>
      <c r="D2" s="1431"/>
      <c r="E2" s="1431"/>
    </row>
    <row r="3" spans="1:21" s="628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1:21" ht="18" customHeight="1" x14ac:dyDescent="0.35">
      <c r="B4" s="3" t="s">
        <v>3</v>
      </c>
      <c r="C4" s="258">
        <v>180</v>
      </c>
      <c r="D4" s="227">
        <v>320.76</v>
      </c>
      <c r="E4" s="598">
        <f>+C4*D4</f>
        <v>57736.799999999996</v>
      </c>
      <c r="T4" s="628"/>
    </row>
    <row r="5" spans="1:21" ht="18" customHeight="1" x14ac:dyDescent="0.35">
      <c r="B5" s="3" t="s">
        <v>294</v>
      </c>
      <c r="C5" s="258">
        <v>4</v>
      </c>
      <c r="D5" s="227">
        <f>+D4</f>
        <v>320.76</v>
      </c>
      <c r="E5" s="598">
        <f>+C5*D5</f>
        <v>1283.04</v>
      </c>
      <c r="T5" s="202"/>
    </row>
    <row r="6" spans="1:21" ht="18" customHeight="1" x14ac:dyDescent="0.35">
      <c r="B6" s="3" t="s">
        <v>196</v>
      </c>
      <c r="C6" s="258"/>
      <c r="D6" s="227"/>
      <c r="E6" s="598">
        <v>5000</v>
      </c>
    </row>
    <row r="7" spans="1:21" ht="18" customHeight="1" x14ac:dyDescent="0.35">
      <c r="B7" s="3" t="s">
        <v>215</v>
      </c>
      <c r="C7" s="258">
        <v>16.5</v>
      </c>
      <c r="D7" s="194">
        <f>+D4*1.5</f>
        <v>481.14</v>
      </c>
      <c r="E7" s="598">
        <f>+C7*D7</f>
        <v>7938.8099999999995</v>
      </c>
    </row>
    <row r="8" spans="1:21" ht="18" customHeight="1" x14ac:dyDescent="0.35">
      <c r="B8" s="3" t="s">
        <v>6</v>
      </c>
      <c r="C8" s="258">
        <v>11000</v>
      </c>
      <c r="D8" s="194"/>
      <c r="E8" s="598">
        <f>+C8</f>
        <v>11000</v>
      </c>
      <c r="U8" s="628"/>
    </row>
    <row r="9" spans="1:21" ht="18" customHeight="1" x14ac:dyDescent="0.35">
      <c r="B9" s="3" t="s">
        <v>283</v>
      </c>
      <c r="C9" s="258">
        <v>1</v>
      </c>
      <c r="D9" s="194">
        <v>1000</v>
      </c>
      <c r="E9" s="598">
        <f>+C9*D9</f>
        <v>1000</v>
      </c>
      <c r="U9" s="628"/>
    </row>
    <row r="10" spans="1:21" ht="18" customHeight="1" x14ac:dyDescent="0.35">
      <c r="B10" s="1432" t="s">
        <v>99</v>
      </c>
      <c r="C10" s="1432"/>
      <c r="D10" s="1432"/>
      <c r="E10" s="599">
        <f>SUM(E4:E9)</f>
        <v>83958.65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628"/>
    </row>
    <row r="11" spans="1:21" ht="18" customHeight="1" x14ac:dyDescent="0.35">
      <c r="B11" s="629" t="s">
        <v>292</v>
      </c>
      <c r="C11" s="629"/>
      <c r="D11" s="629"/>
      <c r="E11" s="600">
        <v>-38482.54</v>
      </c>
      <c r="M11" s="51"/>
      <c r="N11" s="66"/>
      <c r="O11" s="66"/>
      <c r="P11" s="49"/>
      <c r="Q11" s="628"/>
    </row>
    <row r="12" spans="1:21" ht="18" customHeight="1" x14ac:dyDescent="0.35">
      <c r="B12" s="632" t="s">
        <v>19</v>
      </c>
      <c r="C12" s="632"/>
      <c r="D12" s="632"/>
      <c r="E12" s="600">
        <v>-10000</v>
      </c>
      <c r="M12" s="51"/>
      <c r="N12" s="66"/>
      <c r="O12" s="66"/>
      <c r="P12" s="49"/>
      <c r="Q12" s="631"/>
    </row>
    <row r="13" spans="1:21" ht="18" customHeight="1" x14ac:dyDescent="0.35">
      <c r="A13" s="628"/>
      <c r="B13" s="1433" t="s">
        <v>11</v>
      </c>
      <c r="C13" s="1433"/>
      <c r="D13" s="1433"/>
      <c r="E13" s="603">
        <f>+E10+E11+E12</f>
        <v>35476.109999999993</v>
      </c>
      <c r="H13" s="321"/>
      <c r="I13" s="321"/>
      <c r="J13" s="321"/>
      <c r="K13" s="473"/>
      <c r="L13" s="321"/>
      <c r="M13" s="321"/>
      <c r="T13" s="628"/>
    </row>
    <row r="14" spans="1:21" ht="18" customHeight="1" x14ac:dyDescent="0.35">
      <c r="A14" s="628"/>
      <c r="B14" s="455"/>
      <c r="C14" s="455"/>
      <c r="D14" s="455"/>
      <c r="E14" s="456"/>
      <c r="H14" s="321"/>
      <c r="I14" s="321"/>
      <c r="J14" s="321"/>
      <c r="K14" s="473"/>
      <c r="L14" s="321"/>
      <c r="M14" s="321"/>
      <c r="T14" s="628"/>
    </row>
    <row r="15" spans="1:21" ht="18" customHeight="1" x14ac:dyDescent="0.35">
      <c r="F15" s="106"/>
      <c r="G15" s="4"/>
      <c r="N15" s="4"/>
      <c r="T15" s="628"/>
    </row>
    <row r="16" spans="1:21" ht="18" customHeight="1" x14ac:dyDescent="0.35">
      <c r="B16" s="1431" t="s">
        <v>15</v>
      </c>
      <c r="C16" s="1431"/>
      <c r="D16" s="1431"/>
      <c r="E16" s="1431"/>
      <c r="F16" s="406"/>
      <c r="K16" s="465"/>
      <c r="L16" s="465"/>
      <c r="M16" s="465"/>
    </row>
    <row r="17" spans="1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628"/>
      <c r="K17" s="101"/>
      <c r="L17" s="101"/>
      <c r="M17" s="101"/>
    </row>
    <row r="18" spans="1:22" ht="18" customHeight="1" x14ac:dyDescent="0.35">
      <c r="B18" s="3" t="s">
        <v>3</v>
      </c>
      <c r="C18" s="315">
        <v>180</v>
      </c>
      <c r="D18" s="194">
        <v>367.73</v>
      </c>
      <c r="E18" s="598">
        <f>+C18*D18</f>
        <v>66191.400000000009</v>
      </c>
      <c r="K18" s="101"/>
      <c r="L18" s="101"/>
      <c r="M18" s="101"/>
    </row>
    <row r="19" spans="1:22" ht="18" customHeight="1" x14ac:dyDescent="0.35">
      <c r="B19" s="3" t="s">
        <v>295</v>
      </c>
      <c r="C19" s="258">
        <v>4</v>
      </c>
      <c r="D19" s="194">
        <f>+D18</f>
        <v>367.73</v>
      </c>
      <c r="E19" s="598">
        <f>+D19+C19</f>
        <v>371.73</v>
      </c>
      <c r="K19" s="101"/>
      <c r="L19" s="101"/>
      <c r="M19" s="101"/>
    </row>
    <row r="20" spans="1:22" ht="18" customHeight="1" x14ac:dyDescent="0.35">
      <c r="B20" s="3" t="s">
        <v>196</v>
      </c>
      <c r="C20" s="258"/>
      <c r="D20" s="194"/>
      <c r="E20" s="598">
        <v>5000</v>
      </c>
      <c r="F20" s="628"/>
      <c r="H20" s="630"/>
      <c r="N20" s="51"/>
      <c r="O20" s="51"/>
      <c r="P20" s="66"/>
      <c r="Q20" s="49"/>
      <c r="R20" s="49"/>
    </row>
    <row r="21" spans="1:22" ht="18" customHeight="1" x14ac:dyDescent="0.35">
      <c r="B21" s="3" t="s">
        <v>195</v>
      </c>
      <c r="C21" s="315">
        <v>17.5</v>
      </c>
      <c r="D21" s="194">
        <f>+D19*1.5</f>
        <v>551.59500000000003</v>
      </c>
      <c r="E21" s="598">
        <f>+C21*D21</f>
        <v>9652.9125000000004</v>
      </c>
      <c r="G21" s="4"/>
      <c r="L21" s="180"/>
      <c r="M21" s="184"/>
    </row>
    <row r="22" spans="1:22" s="628" customFormat="1" ht="18" customHeight="1" x14ac:dyDescent="0.35">
      <c r="A22" s="4"/>
      <c r="B22" s="3" t="s">
        <v>6</v>
      </c>
      <c r="C22" s="258"/>
      <c r="D22" s="194"/>
      <c r="E22" s="598">
        <v>20000</v>
      </c>
      <c r="F22"/>
      <c r="G22"/>
      <c r="L22" s="184"/>
      <c r="M22" s="184"/>
      <c r="N22"/>
      <c r="O22"/>
      <c r="P22"/>
      <c r="Q22"/>
      <c r="R22"/>
      <c r="S22"/>
      <c r="V22"/>
    </row>
    <row r="23" spans="1:22" s="628" customFormat="1" ht="18" customHeight="1" x14ac:dyDescent="0.35">
      <c r="A23" s="4"/>
      <c r="B23" s="3" t="s">
        <v>283</v>
      </c>
      <c r="C23" s="258">
        <v>1</v>
      </c>
      <c r="D23" s="194">
        <v>1000</v>
      </c>
      <c r="E23" s="598">
        <f>+C23*D23</f>
        <v>1000</v>
      </c>
      <c r="F23"/>
      <c r="G23"/>
      <c r="L23" s="181"/>
      <c r="M23" s="184"/>
      <c r="N23" s="180"/>
      <c r="O23" s="180"/>
      <c r="P23" s="181"/>
      <c r="Q23" s="181"/>
      <c r="R23" s="181"/>
      <c r="S23"/>
      <c r="V23"/>
    </row>
    <row r="24" spans="1:22" s="631" customFormat="1" ht="18" customHeight="1" x14ac:dyDescent="0.35">
      <c r="A24" s="4"/>
      <c r="B24" s="3" t="s">
        <v>296</v>
      </c>
      <c r="C24" s="258">
        <v>2</v>
      </c>
      <c r="D24" s="194">
        <v>3000</v>
      </c>
      <c r="E24" s="598">
        <f>+C24*D24</f>
        <v>6000</v>
      </c>
      <c r="F24"/>
      <c r="G24"/>
      <c r="L24" s="181"/>
      <c r="M24" s="184"/>
      <c r="N24" s="180"/>
      <c r="O24" s="180"/>
      <c r="P24" s="181"/>
      <c r="Q24" s="181"/>
      <c r="R24" s="181"/>
      <c r="S24"/>
      <c r="V24"/>
    </row>
    <row r="25" spans="1:22" s="628" customFormat="1" ht="18" customHeight="1" x14ac:dyDescent="0.35">
      <c r="A25"/>
      <c r="B25" s="1432" t="s">
        <v>99</v>
      </c>
      <c r="C25" s="1432"/>
      <c r="D25" s="1432"/>
      <c r="E25" s="599">
        <f>SUM(E18:E24)</f>
        <v>108216.04250000001</v>
      </c>
      <c r="F25"/>
      <c r="G25"/>
      <c r="L25" s="181"/>
      <c r="M25" s="184"/>
      <c r="N25" s="180"/>
      <c r="O25" s="180"/>
      <c r="P25" s="181"/>
      <c r="Q25" s="181"/>
      <c r="R25" s="181"/>
      <c r="S25"/>
      <c r="V25"/>
    </row>
    <row r="26" spans="1:22" ht="18" customHeight="1" x14ac:dyDescent="0.35">
      <c r="A26" s="628"/>
      <c r="B26" s="1387" t="s">
        <v>79</v>
      </c>
      <c r="C26" s="1387"/>
      <c r="D26" s="1387"/>
      <c r="E26" s="600">
        <v>-1150</v>
      </c>
      <c r="F26" s="181"/>
      <c r="L26" s="181"/>
      <c r="M26" s="185"/>
      <c r="N26" s="180"/>
      <c r="O26" s="180"/>
      <c r="P26" s="181"/>
      <c r="Q26" s="181"/>
      <c r="R26" s="181"/>
      <c r="S26" s="628"/>
      <c r="U26" s="628"/>
    </row>
    <row r="27" spans="1:22" ht="18" customHeight="1" x14ac:dyDescent="0.35">
      <c r="A27" s="631"/>
      <c r="B27" s="632" t="s">
        <v>19</v>
      </c>
      <c r="C27" s="632"/>
      <c r="D27" s="632"/>
      <c r="E27" s="600">
        <v>-16000</v>
      </c>
      <c r="F27" s="181"/>
      <c r="L27" s="181"/>
      <c r="M27" s="185"/>
      <c r="N27" s="180"/>
      <c r="O27" s="180"/>
      <c r="P27" s="181"/>
      <c r="Q27" s="181"/>
      <c r="R27" s="181"/>
      <c r="S27" s="631"/>
      <c r="U27" s="631"/>
    </row>
    <row r="28" spans="1:22" ht="18" customHeight="1" x14ac:dyDescent="0.35">
      <c r="B28" s="1435" t="s">
        <v>11</v>
      </c>
      <c r="C28" s="1435"/>
      <c r="D28" s="1435"/>
      <c r="E28" s="602">
        <f>+E25+E26+E27</f>
        <v>91066.04250000001</v>
      </c>
      <c r="F28" s="409"/>
      <c r="G28" s="115"/>
      <c r="M28" s="189"/>
      <c r="N28" s="180"/>
      <c r="O28" s="180"/>
      <c r="P28" s="181"/>
      <c r="Q28" s="181"/>
      <c r="R28" s="181"/>
    </row>
    <row r="29" spans="1:22" ht="18" customHeight="1" x14ac:dyDescent="0.35">
      <c r="B29" s="455"/>
      <c r="C29" s="455"/>
      <c r="D29" s="455"/>
      <c r="E29" s="456"/>
      <c r="F29" s="409"/>
      <c r="G29" s="115"/>
      <c r="M29" s="189"/>
      <c r="N29" s="180"/>
      <c r="O29" s="180"/>
      <c r="P29" s="181"/>
      <c r="Q29" s="181"/>
      <c r="R29" s="181"/>
    </row>
    <row r="30" spans="1:22" ht="19.5" customHeight="1" x14ac:dyDescent="0.35">
      <c r="F30" s="409"/>
      <c r="G30" s="115"/>
      <c r="M30" s="185"/>
      <c r="N30" s="181"/>
      <c r="O30" s="181"/>
      <c r="P30" s="181"/>
      <c r="Q30" s="181"/>
    </row>
    <row r="31" spans="1:22" ht="18" customHeight="1" x14ac:dyDescent="0.45">
      <c r="B31" s="1436" t="s">
        <v>265</v>
      </c>
      <c r="C31" s="1436"/>
      <c r="D31" s="1436"/>
      <c r="E31" s="1436"/>
      <c r="F31" s="409"/>
      <c r="G31" s="115"/>
      <c r="M31" s="185"/>
      <c r="N31" s="181"/>
      <c r="O31" s="181"/>
      <c r="P31" s="181"/>
      <c r="Q31" s="181"/>
    </row>
    <row r="32" spans="1:22" ht="18" customHeight="1" x14ac:dyDescent="0.35">
      <c r="B32" s="604" t="s">
        <v>7</v>
      </c>
      <c r="C32" s="605" t="s">
        <v>8</v>
      </c>
      <c r="D32" s="606" t="s">
        <v>4</v>
      </c>
      <c r="E32" s="606" t="s">
        <v>9</v>
      </c>
      <c r="M32" s="185"/>
      <c r="N32" s="181"/>
      <c r="O32" s="181"/>
      <c r="P32" s="184"/>
    </row>
    <row r="33" spans="1:15" ht="18" customHeight="1" x14ac:dyDescent="0.35">
      <c r="B33" s="607" t="s">
        <v>3</v>
      </c>
      <c r="C33" s="267">
        <v>162</v>
      </c>
      <c r="D33" s="211">
        <v>272.96499999999997</v>
      </c>
      <c r="E33" s="211">
        <f>C33*D33</f>
        <v>44220.329999999994</v>
      </c>
      <c r="M33" s="182"/>
    </row>
    <row r="34" spans="1:15" ht="18" customHeight="1" x14ac:dyDescent="0.35">
      <c r="B34" s="3" t="s">
        <v>295</v>
      </c>
      <c r="C34" s="267">
        <v>4</v>
      </c>
      <c r="D34" s="211">
        <v>272.97000000000003</v>
      </c>
      <c r="E34" s="211">
        <f>+C34*D34</f>
        <v>1091.8800000000001</v>
      </c>
      <c r="I34" s="628"/>
      <c r="J34" s="628"/>
      <c r="K34" s="628"/>
    </row>
    <row r="35" spans="1:15" ht="18" customHeight="1" x14ac:dyDescent="0.35">
      <c r="B35" s="3" t="s">
        <v>297</v>
      </c>
      <c r="C35" s="267">
        <v>16</v>
      </c>
      <c r="D35" s="211">
        <v>272.97000000000003</v>
      </c>
      <c r="E35" s="211">
        <f>+C35*D35</f>
        <v>4367.5200000000004</v>
      </c>
      <c r="I35" s="631"/>
      <c r="J35" s="631"/>
      <c r="K35" s="631"/>
    </row>
    <row r="36" spans="1:15" ht="18" customHeight="1" x14ac:dyDescent="0.35">
      <c r="B36" s="3" t="s">
        <v>196</v>
      </c>
      <c r="C36" s="267"/>
      <c r="D36" s="211"/>
      <c r="E36" s="211">
        <v>2500</v>
      </c>
      <c r="L36" s="628"/>
    </row>
    <row r="37" spans="1:15" ht="18" customHeight="1" x14ac:dyDescent="0.35">
      <c r="A37" s="155"/>
      <c r="B37" s="3" t="s">
        <v>195</v>
      </c>
      <c r="C37" s="267">
        <v>16</v>
      </c>
      <c r="D37" s="211">
        <f>+D33*1.5</f>
        <v>409.44749999999999</v>
      </c>
      <c r="E37" s="211">
        <f>C37*D37</f>
        <v>6551.16</v>
      </c>
      <c r="F37" s="628"/>
      <c r="G37" s="180"/>
      <c r="H37" s="180"/>
      <c r="I37" s="181"/>
      <c r="J37" s="187"/>
      <c r="K37" s="188"/>
      <c r="L37" s="628"/>
      <c r="O37" s="628"/>
    </row>
    <row r="38" spans="1:15" ht="18" customHeight="1" x14ac:dyDescent="0.35">
      <c r="A38" s="155"/>
      <c r="B38" s="3" t="s">
        <v>6</v>
      </c>
      <c r="C38" s="267">
        <v>11000</v>
      </c>
      <c r="D38" s="211"/>
      <c r="E38" s="211">
        <f>+C38</f>
        <v>11000</v>
      </c>
      <c r="G38" s="180"/>
      <c r="H38" s="180"/>
      <c r="I38" s="181"/>
      <c r="J38" s="181"/>
      <c r="K38" s="184"/>
      <c r="O38" s="628"/>
    </row>
    <row r="39" spans="1:15" ht="18" customHeight="1" x14ac:dyDescent="0.35">
      <c r="A39" s="155"/>
      <c r="B39" s="3" t="s">
        <v>283</v>
      </c>
      <c r="C39" s="267">
        <v>1</v>
      </c>
      <c r="D39" s="211">
        <v>1000</v>
      </c>
      <c r="E39" s="211">
        <f>+C39*D39</f>
        <v>1000</v>
      </c>
      <c r="G39" s="180"/>
      <c r="H39" s="180"/>
      <c r="I39" s="181"/>
      <c r="J39" s="181"/>
      <c r="K39" s="184"/>
      <c r="O39" s="628"/>
    </row>
    <row r="40" spans="1:15" s="628" customFormat="1" ht="18" customHeight="1" x14ac:dyDescent="0.35">
      <c r="A40" s="155"/>
      <c r="B40" s="1432" t="s">
        <v>99</v>
      </c>
      <c r="C40" s="1432"/>
      <c r="D40" s="1432"/>
      <c r="E40" s="599">
        <f>SUM(E33:E39)</f>
        <v>70730.89</v>
      </c>
      <c r="F40"/>
      <c r="G40" s="180"/>
      <c r="H40" s="180"/>
      <c r="I40" s="181"/>
      <c r="J40" s="181"/>
      <c r="K40" s="184"/>
      <c r="L40"/>
      <c r="N40"/>
      <c r="O40"/>
    </row>
    <row r="41" spans="1:15" s="628" customFormat="1" ht="18" customHeight="1" x14ac:dyDescent="0.35">
      <c r="A41" s="155"/>
      <c r="B41" s="1437" t="s">
        <v>19</v>
      </c>
      <c r="C41" s="1437"/>
      <c r="D41" s="1437"/>
      <c r="E41" s="213">
        <v>-15000</v>
      </c>
      <c r="F41"/>
      <c r="G41" s="180"/>
      <c r="H41" s="180"/>
      <c r="I41" s="181"/>
      <c r="J41" s="181"/>
      <c r="K41" s="184"/>
      <c r="L41"/>
      <c r="N41"/>
      <c r="O41"/>
    </row>
    <row r="42" spans="1:15" ht="18" customHeight="1" x14ac:dyDescent="0.35">
      <c r="A42" s="156"/>
      <c r="B42" s="1438" t="s">
        <v>11</v>
      </c>
      <c r="C42" s="1438"/>
      <c r="D42" s="1438"/>
      <c r="E42" s="608">
        <f>+E40+E41</f>
        <v>55730.89</v>
      </c>
      <c r="G42" s="180"/>
      <c r="H42" s="180"/>
      <c r="I42" s="181"/>
      <c r="J42" s="181"/>
      <c r="K42" s="184"/>
    </row>
    <row r="43" spans="1:15" ht="18" customHeight="1" x14ac:dyDescent="0.35">
      <c r="A43" s="156"/>
      <c r="B43" s="594"/>
      <c r="C43" s="594"/>
      <c r="D43" s="594"/>
      <c r="E43" s="595"/>
      <c r="G43" s="180"/>
      <c r="H43" s="180"/>
      <c r="I43" s="181"/>
      <c r="J43" s="181"/>
      <c r="K43" s="184"/>
    </row>
    <row r="44" spans="1:15" ht="18" customHeight="1" x14ac:dyDescent="0.35">
      <c r="A44" s="156"/>
      <c r="B44" s="594"/>
      <c r="C44" s="594"/>
      <c r="D44" s="594"/>
      <c r="E44" s="595"/>
      <c r="G44" s="180"/>
      <c r="H44" s="180"/>
      <c r="I44" s="181"/>
      <c r="J44" s="181"/>
      <c r="K44" s="184"/>
    </row>
    <row r="45" spans="1:15" ht="18" customHeight="1" x14ac:dyDescent="0.35">
      <c r="A45" s="156"/>
      <c r="B45" s="594"/>
      <c r="C45" s="594"/>
      <c r="D45" s="594"/>
      <c r="E45" s="595"/>
      <c r="G45" s="180"/>
      <c r="H45" s="180"/>
      <c r="I45" s="181"/>
      <c r="J45" s="181"/>
      <c r="K45" s="184"/>
    </row>
    <row r="46" spans="1:15" ht="15" customHeight="1" x14ac:dyDescent="0.35">
      <c r="A46" s="155"/>
      <c r="B46" s="1431" t="s">
        <v>0</v>
      </c>
      <c r="C46" s="1431"/>
      <c r="D46" s="1431"/>
      <c r="E46" s="1431"/>
      <c r="G46" s="180"/>
      <c r="H46" s="180"/>
      <c r="I46" s="181"/>
      <c r="J46" s="181"/>
      <c r="K46" s="184"/>
      <c r="L46" s="628"/>
    </row>
    <row r="47" spans="1:15" ht="15" customHeight="1" x14ac:dyDescent="0.35">
      <c r="A47" s="155"/>
      <c r="B47" s="2" t="s">
        <v>7</v>
      </c>
      <c r="C47" s="270" t="s">
        <v>8</v>
      </c>
      <c r="D47" s="217" t="s">
        <v>4</v>
      </c>
      <c r="E47" s="597" t="s">
        <v>9</v>
      </c>
      <c r="G47" s="180"/>
      <c r="H47" s="180"/>
      <c r="I47" s="181"/>
      <c r="J47" s="181"/>
      <c r="K47" s="184"/>
      <c r="L47" s="628"/>
    </row>
    <row r="48" spans="1:15" ht="15" customHeight="1" x14ac:dyDescent="0.35">
      <c r="A48" s="155"/>
      <c r="B48" s="3" t="s">
        <v>253</v>
      </c>
      <c r="C48" s="258">
        <v>180</v>
      </c>
      <c r="D48" s="194">
        <v>367.73</v>
      </c>
      <c r="E48" s="598">
        <f>C48*D48</f>
        <v>66191.400000000009</v>
      </c>
      <c r="G48" s="180"/>
      <c r="H48" s="180"/>
      <c r="I48" s="181"/>
      <c r="J48" s="181"/>
      <c r="K48" s="184"/>
    </row>
    <row r="49" spans="1:22" ht="15" customHeight="1" x14ac:dyDescent="0.35">
      <c r="A49" s="155"/>
      <c r="B49" s="3" t="s">
        <v>295</v>
      </c>
      <c r="C49" s="258">
        <v>4</v>
      </c>
      <c r="D49" s="194">
        <f>+D48</f>
        <v>367.73</v>
      </c>
      <c r="E49" s="598">
        <f>C49*D49</f>
        <v>1470.92</v>
      </c>
      <c r="G49" s="180"/>
      <c r="H49" s="180"/>
      <c r="I49" s="181"/>
      <c r="J49" s="181"/>
      <c r="K49" s="184"/>
    </row>
    <row r="50" spans="1:22" ht="15" customHeight="1" x14ac:dyDescent="0.35">
      <c r="A50" s="155"/>
      <c r="B50" s="3" t="s">
        <v>196</v>
      </c>
      <c r="C50" s="258"/>
      <c r="D50" s="194"/>
      <c r="E50" s="598">
        <v>5000</v>
      </c>
      <c r="F50" s="628"/>
      <c r="M50" s="176"/>
      <c r="N50" s="180"/>
      <c r="O50" s="180"/>
      <c r="P50" s="181"/>
      <c r="Q50" s="181"/>
      <c r="R50" s="184"/>
    </row>
    <row r="51" spans="1:22" ht="15" customHeight="1" x14ac:dyDescent="0.35">
      <c r="B51" s="3" t="s">
        <v>195</v>
      </c>
      <c r="C51" s="315">
        <v>17</v>
      </c>
      <c r="D51" s="194">
        <f>+D48*1.5</f>
        <v>551.59500000000003</v>
      </c>
      <c r="E51" s="598">
        <f>C51*D51</f>
        <v>9377.1149999999998</v>
      </c>
      <c r="M51" s="176"/>
      <c r="N51" s="176"/>
      <c r="O51" s="176"/>
      <c r="P51" s="181"/>
      <c r="Q51" s="181"/>
      <c r="R51" s="184"/>
      <c r="T51" s="628"/>
    </row>
    <row r="52" spans="1:22" s="628" customFormat="1" ht="15" customHeight="1" x14ac:dyDescent="0.35">
      <c r="A52"/>
      <c r="B52" s="3" t="s">
        <v>6</v>
      </c>
      <c r="C52" s="258">
        <v>16500</v>
      </c>
      <c r="D52" s="194"/>
      <c r="E52" s="598">
        <f>+C52</f>
        <v>16500</v>
      </c>
      <c r="F52"/>
      <c r="G52"/>
      <c r="H52"/>
      <c r="I52"/>
      <c r="J52"/>
      <c r="K52"/>
      <c r="L52"/>
      <c r="M52" s="176"/>
      <c r="N52" s="176"/>
      <c r="O52" s="176"/>
      <c r="P52" s="176"/>
      <c r="Q52" s="176"/>
      <c r="R52" s="176"/>
      <c r="S52"/>
      <c r="T52"/>
      <c r="U52"/>
      <c r="V52"/>
    </row>
    <row r="53" spans="1:22" s="628" customFormat="1" ht="15" customHeight="1" x14ac:dyDescent="0.35">
      <c r="A53"/>
      <c r="B53" s="3" t="s">
        <v>283</v>
      </c>
      <c r="C53" s="258">
        <v>1</v>
      </c>
      <c r="D53" s="194">
        <v>1000</v>
      </c>
      <c r="E53" s="598">
        <f>+C53*D53</f>
        <v>1000</v>
      </c>
      <c r="F53"/>
      <c r="G53"/>
      <c r="H53"/>
      <c r="I53"/>
      <c r="J53"/>
      <c r="K53"/>
      <c r="L53"/>
      <c r="M53" s="176"/>
      <c r="N53" s="176"/>
      <c r="O53" s="176"/>
      <c r="P53" s="176"/>
      <c r="Q53" s="176"/>
      <c r="R53" s="176"/>
      <c r="S53"/>
      <c r="T53"/>
      <c r="U53"/>
      <c r="V53"/>
    </row>
    <row r="54" spans="1:22" s="631" customFormat="1" ht="15" customHeight="1" x14ac:dyDescent="0.35">
      <c r="A54"/>
      <c r="B54" s="3" t="s">
        <v>296</v>
      </c>
      <c r="C54" s="258">
        <v>2</v>
      </c>
      <c r="D54" s="194">
        <v>3000</v>
      </c>
      <c r="E54" s="598">
        <f>+C54*D54</f>
        <v>6000</v>
      </c>
      <c r="F54"/>
      <c r="G54"/>
      <c r="H54"/>
      <c r="I54"/>
      <c r="J54"/>
      <c r="K54"/>
      <c r="L54"/>
      <c r="M54" s="176"/>
      <c r="N54" s="176"/>
      <c r="O54" s="176"/>
      <c r="P54" s="176"/>
      <c r="Q54" s="176"/>
      <c r="R54" s="176"/>
      <c r="S54"/>
      <c r="T54"/>
      <c r="U54"/>
      <c r="V54"/>
    </row>
    <row r="55" spans="1:22" ht="15" customHeight="1" x14ac:dyDescent="0.35">
      <c r="B55" s="1432" t="s">
        <v>99</v>
      </c>
      <c r="C55" s="1432"/>
      <c r="D55" s="1432"/>
      <c r="E55" s="599">
        <f>SUM(E48:E54)</f>
        <v>105539.43500000001</v>
      </c>
      <c r="N55" s="183"/>
      <c r="O55" s="183"/>
      <c r="P55" s="176"/>
      <c r="Q55" s="176"/>
      <c r="R55" s="176"/>
      <c r="T55" s="628"/>
    </row>
    <row r="56" spans="1:22" s="628" customFormat="1" ht="15" customHeight="1" x14ac:dyDescent="0.35">
      <c r="A56"/>
      <c r="B56" s="3" t="s">
        <v>293</v>
      </c>
      <c r="C56" s="258"/>
      <c r="D56" s="194"/>
      <c r="E56" s="598">
        <v>-39224.519999999997</v>
      </c>
      <c r="F56"/>
      <c r="G56"/>
      <c r="H56"/>
      <c r="I56"/>
      <c r="J56"/>
      <c r="K56"/>
      <c r="L56"/>
      <c r="M56" s="176"/>
      <c r="N56" s="176"/>
      <c r="O56" s="176"/>
      <c r="P56" s="176"/>
      <c r="Q56" s="176"/>
      <c r="R56" s="176"/>
      <c r="S56"/>
      <c r="T56"/>
      <c r="U56"/>
      <c r="V56"/>
    </row>
    <row r="57" spans="1:22" s="628" customFormat="1" ht="15" customHeight="1" x14ac:dyDescent="0.35">
      <c r="B57" s="1433" t="s">
        <v>11</v>
      </c>
      <c r="C57" s="1433"/>
      <c r="D57" s="1433"/>
      <c r="E57" s="603">
        <f>SUM(E55:E56)</f>
        <v>66314.915000000008</v>
      </c>
      <c r="F57"/>
      <c r="G57"/>
      <c r="H57"/>
      <c r="I57"/>
      <c r="J57"/>
      <c r="K57"/>
      <c r="L57"/>
      <c r="M57"/>
      <c r="N57" s="176"/>
      <c r="O57" s="176"/>
      <c r="P57" s="176"/>
      <c r="Q57" s="176"/>
      <c r="R57" s="176"/>
      <c r="S57"/>
      <c r="U57"/>
    </row>
    <row r="58" spans="1:22" s="628" customFormat="1" ht="15" customHeight="1" x14ac:dyDescent="0.35">
      <c r="B58" s="455"/>
      <c r="C58" s="455"/>
      <c r="D58" s="455"/>
      <c r="E58" s="456"/>
      <c r="F58"/>
      <c r="G58"/>
      <c r="H58"/>
      <c r="I58"/>
      <c r="J58"/>
      <c r="K58"/>
      <c r="L58"/>
      <c r="M58"/>
      <c r="N58" s="176"/>
      <c r="O58" s="176"/>
      <c r="P58" s="176"/>
      <c r="Q58" s="176"/>
      <c r="R58" s="176"/>
      <c r="S58"/>
      <c r="U58"/>
    </row>
    <row r="59" spans="1:22" s="628" customFormat="1" ht="15" customHeight="1" x14ac:dyDescent="0.35">
      <c r="B59" s="455"/>
      <c r="C59" s="455"/>
      <c r="D59" s="455"/>
      <c r="E59" s="456"/>
      <c r="F59"/>
      <c r="G59"/>
      <c r="H59"/>
      <c r="I59"/>
      <c r="J59"/>
      <c r="K59"/>
      <c r="L59"/>
      <c r="M59"/>
      <c r="N59" s="176"/>
      <c r="O59" s="176"/>
      <c r="P59" s="176"/>
      <c r="Q59" s="176"/>
      <c r="R59" s="176"/>
      <c r="S59"/>
      <c r="U59"/>
    </row>
    <row r="60" spans="1:22" ht="15" customHeight="1" x14ac:dyDescent="0.35">
      <c r="B60" s="1431" t="s">
        <v>28</v>
      </c>
      <c r="C60" s="1431"/>
      <c r="D60" s="1431"/>
      <c r="E60" s="1431"/>
      <c r="N60" s="176"/>
      <c r="O60" s="176"/>
      <c r="P60" s="176"/>
      <c r="Q60" s="176"/>
      <c r="R60" s="176"/>
    </row>
    <row r="61" spans="1:22" ht="15" customHeight="1" x14ac:dyDescent="0.35">
      <c r="B61" s="2" t="s">
        <v>7</v>
      </c>
      <c r="C61" s="270" t="s">
        <v>8</v>
      </c>
      <c r="D61" s="217" t="s">
        <v>4</v>
      </c>
      <c r="E61" s="597" t="s">
        <v>9</v>
      </c>
      <c r="N61" s="176"/>
      <c r="O61" s="176"/>
      <c r="P61" s="176"/>
      <c r="Q61" s="176"/>
      <c r="R61" s="176"/>
    </row>
    <row r="62" spans="1:22" ht="15" customHeight="1" x14ac:dyDescent="0.35">
      <c r="B62" s="3" t="s">
        <v>3</v>
      </c>
      <c r="C62" s="315">
        <v>136</v>
      </c>
      <c r="D62" s="194">
        <v>341.16500000000002</v>
      </c>
      <c r="E62" s="598">
        <f>+C62*D62</f>
        <v>46398.44</v>
      </c>
      <c r="N62" s="176"/>
      <c r="O62" s="176"/>
      <c r="P62" s="176"/>
      <c r="Q62" s="176"/>
      <c r="R62" s="176"/>
    </row>
    <row r="63" spans="1:22" ht="15" customHeight="1" x14ac:dyDescent="0.35">
      <c r="B63" s="3" t="s">
        <v>295</v>
      </c>
      <c r="C63" s="315">
        <v>4</v>
      </c>
      <c r="D63" s="194">
        <f>+D62</f>
        <v>341.16500000000002</v>
      </c>
      <c r="E63" s="598">
        <f>+C63*D63</f>
        <v>1364.66</v>
      </c>
      <c r="N63" s="176"/>
      <c r="O63" s="176"/>
      <c r="P63" s="176"/>
      <c r="Q63" s="176"/>
      <c r="R63" s="176"/>
    </row>
    <row r="64" spans="1:22" ht="15" customHeight="1" x14ac:dyDescent="0.35">
      <c r="B64" s="3" t="s">
        <v>297</v>
      </c>
      <c r="C64" s="315">
        <v>40</v>
      </c>
      <c r="D64" s="194">
        <v>341.17</v>
      </c>
      <c r="E64" s="598">
        <f>+C64*D64</f>
        <v>13646.800000000001</v>
      </c>
      <c r="N64" s="176"/>
      <c r="O64" s="176"/>
      <c r="P64" s="176"/>
      <c r="Q64" s="176"/>
      <c r="R64" s="176"/>
    </row>
    <row r="65" spans="2:22" ht="15" customHeight="1" x14ac:dyDescent="0.35">
      <c r="B65" s="3" t="s">
        <v>196</v>
      </c>
      <c r="C65" s="315"/>
      <c r="D65" s="194"/>
      <c r="E65" s="598"/>
      <c r="N65" s="176"/>
      <c r="O65" s="176"/>
      <c r="P65" s="176"/>
      <c r="Q65" s="176"/>
      <c r="R65" s="176"/>
    </row>
    <row r="66" spans="2:22" ht="15" customHeight="1" x14ac:dyDescent="0.35">
      <c r="B66" s="3" t="s">
        <v>195</v>
      </c>
      <c r="C66" s="315">
        <v>7.5</v>
      </c>
      <c r="D66" s="194">
        <f>+D62*1.5</f>
        <v>511.74750000000006</v>
      </c>
      <c r="E66" s="598">
        <f>+D66*C66</f>
        <v>3838.1062500000003</v>
      </c>
      <c r="N66" s="176"/>
      <c r="O66" s="176"/>
      <c r="P66" s="176"/>
      <c r="Q66" s="176"/>
      <c r="R66" s="176"/>
    </row>
    <row r="67" spans="2:22" ht="15" customHeight="1" x14ac:dyDescent="0.35">
      <c r="B67" s="3" t="s">
        <v>6</v>
      </c>
      <c r="C67" s="315">
        <v>16000</v>
      </c>
      <c r="D67" s="194"/>
      <c r="E67" s="598">
        <f>+C67</f>
        <v>16000</v>
      </c>
      <c r="N67" s="176"/>
      <c r="O67" s="176"/>
      <c r="P67" s="176"/>
      <c r="Q67" s="176"/>
      <c r="R67" s="176"/>
    </row>
    <row r="68" spans="2:22" ht="15" customHeight="1" x14ac:dyDescent="0.35">
      <c r="B68" s="3" t="s">
        <v>283</v>
      </c>
      <c r="C68" s="315"/>
      <c r="D68" s="194">
        <v>1000</v>
      </c>
      <c r="E68" s="598">
        <f>+C68*D68</f>
        <v>0</v>
      </c>
      <c r="N68" s="176"/>
      <c r="O68" s="176"/>
      <c r="P68" s="176"/>
      <c r="Q68" s="176"/>
      <c r="R68" s="176"/>
    </row>
    <row r="69" spans="2:22" ht="15" customHeight="1" x14ac:dyDescent="0.35">
      <c r="B69" s="3" t="s">
        <v>296</v>
      </c>
      <c r="C69" s="315">
        <v>1</v>
      </c>
      <c r="D69" s="194">
        <v>3000</v>
      </c>
      <c r="E69" s="598">
        <v>3000</v>
      </c>
      <c r="N69" s="176"/>
      <c r="O69" s="176"/>
      <c r="P69" s="176"/>
      <c r="Q69" s="176"/>
      <c r="R69" s="176"/>
    </row>
    <row r="70" spans="2:22" ht="15" customHeight="1" x14ac:dyDescent="0.35">
      <c r="B70" s="1432" t="s">
        <v>99</v>
      </c>
      <c r="C70" s="1432"/>
      <c r="D70" s="1432"/>
      <c r="E70" s="599">
        <f>SUM(E62:E69)</f>
        <v>84248.006250000006</v>
      </c>
      <c r="V70" s="628"/>
    </row>
    <row r="71" spans="2:22" ht="15" customHeight="1" x14ac:dyDescent="0.35">
      <c r="B71" s="629" t="s">
        <v>293</v>
      </c>
      <c r="C71" s="629"/>
      <c r="D71" s="629"/>
      <c r="E71" s="600">
        <v>-37098.6</v>
      </c>
    </row>
    <row r="72" spans="2:22" ht="15" customHeight="1" x14ac:dyDescent="0.35">
      <c r="B72" s="1435" t="s">
        <v>11</v>
      </c>
      <c r="C72" s="1435"/>
      <c r="D72" s="1435"/>
      <c r="E72" s="602">
        <f>SUM(E70:E71)</f>
        <v>47149.406250000007</v>
      </c>
      <c r="V72" s="628"/>
    </row>
    <row r="73" spans="2:22" ht="15" customHeight="1" x14ac:dyDescent="0.35">
      <c r="B73" s="455"/>
      <c r="C73" s="455"/>
      <c r="D73" s="455"/>
      <c r="E73" s="456"/>
      <c r="V73" s="628"/>
    </row>
    <row r="75" spans="2:22" ht="15.5" x14ac:dyDescent="0.35">
      <c r="B75" s="627"/>
      <c r="C75" s="262"/>
      <c r="D75" s="204"/>
      <c r="E75" s="456"/>
    </row>
    <row r="76" spans="2:22" ht="23.5" x14ac:dyDescent="0.35">
      <c r="B76" s="1431" t="s">
        <v>174</v>
      </c>
      <c r="C76" s="1431"/>
      <c r="D76" s="1431"/>
      <c r="E76" s="1431"/>
    </row>
    <row r="77" spans="2:22" x14ac:dyDescent="0.35">
      <c r="B77" s="2" t="s">
        <v>7</v>
      </c>
      <c r="C77" s="270" t="s">
        <v>8</v>
      </c>
      <c r="D77" s="217" t="s">
        <v>4</v>
      </c>
      <c r="E77" s="597" t="s">
        <v>9</v>
      </c>
    </row>
    <row r="78" spans="2:22" x14ac:dyDescent="0.35">
      <c r="B78" s="3" t="s">
        <v>3</v>
      </c>
      <c r="C78" s="258">
        <v>180</v>
      </c>
      <c r="D78" s="227">
        <v>255.2</v>
      </c>
      <c r="E78" s="598">
        <f>C78*D78</f>
        <v>45936</v>
      </c>
    </row>
    <row r="79" spans="2:22" x14ac:dyDescent="0.35">
      <c r="B79" s="3" t="s">
        <v>295</v>
      </c>
      <c r="C79" s="258">
        <v>4</v>
      </c>
      <c r="D79" s="227">
        <f>+D78</f>
        <v>255.2</v>
      </c>
      <c r="E79" s="598">
        <f>C79*D79</f>
        <v>1020.8</v>
      </c>
    </row>
    <row r="80" spans="2:22" x14ac:dyDescent="0.35">
      <c r="B80" s="3" t="s">
        <v>196</v>
      </c>
      <c r="C80" s="258"/>
      <c r="D80" s="227">
        <v>5000</v>
      </c>
      <c r="E80" s="598">
        <v>5000</v>
      </c>
    </row>
    <row r="81" spans="2:5" x14ac:dyDescent="0.35">
      <c r="B81" s="3" t="s">
        <v>195</v>
      </c>
      <c r="C81" s="258">
        <v>10</v>
      </c>
      <c r="D81" s="227">
        <f>+D78*1.5</f>
        <v>382.79999999999995</v>
      </c>
      <c r="E81" s="598">
        <f>+C81*D81</f>
        <v>3827.9999999999995</v>
      </c>
    </row>
    <row r="82" spans="2:5" x14ac:dyDescent="0.35">
      <c r="B82" s="3" t="s">
        <v>6</v>
      </c>
      <c r="C82" s="258">
        <v>11000</v>
      </c>
      <c r="D82" s="227"/>
      <c r="E82" s="598">
        <f>+C82</f>
        <v>11000</v>
      </c>
    </row>
    <row r="83" spans="2:5" x14ac:dyDescent="0.35">
      <c r="B83" s="3"/>
      <c r="C83" s="258"/>
      <c r="D83" s="227"/>
      <c r="E83" s="598"/>
    </row>
    <row r="84" spans="2:5" x14ac:dyDescent="0.35">
      <c r="B84" s="1432" t="s">
        <v>99</v>
      </c>
      <c r="C84" s="1432"/>
      <c r="D84" s="1432"/>
      <c r="E84" s="598">
        <f>SUM(E78:E83)</f>
        <v>66784.800000000003</v>
      </c>
    </row>
    <row r="85" spans="2:5" x14ac:dyDescent="0.35">
      <c r="B85" s="1387" t="s">
        <v>19</v>
      </c>
      <c r="C85" s="1387"/>
      <c r="D85" s="1387"/>
      <c r="E85" s="600">
        <v>-10000</v>
      </c>
    </row>
    <row r="86" spans="2:5" ht="15.5" x14ac:dyDescent="0.35">
      <c r="B86" s="1433" t="s">
        <v>11</v>
      </c>
      <c r="C86" s="1433"/>
      <c r="D86" s="1433"/>
      <c r="E86" s="603">
        <f>+E84+E85</f>
        <v>56784.800000000003</v>
      </c>
    </row>
    <row r="87" spans="2:5" ht="15.5" x14ac:dyDescent="0.35">
      <c r="B87" s="455"/>
      <c r="C87" s="455"/>
      <c r="D87" s="455"/>
      <c r="E87" s="456"/>
    </row>
    <row r="88" spans="2:5" ht="15.5" x14ac:dyDescent="0.35">
      <c r="B88" s="455"/>
      <c r="C88" s="455"/>
      <c r="D88" s="455"/>
      <c r="E88" s="456"/>
    </row>
    <row r="89" spans="2:5" ht="15.5" x14ac:dyDescent="0.35">
      <c r="B89" s="455"/>
      <c r="C89" s="455"/>
      <c r="D89" s="455"/>
      <c r="E89" s="456"/>
    </row>
    <row r="90" spans="2:5" ht="15.5" x14ac:dyDescent="0.35">
      <c r="B90" s="455"/>
      <c r="C90" s="455"/>
      <c r="D90" s="455"/>
      <c r="E90" s="456"/>
    </row>
    <row r="91" spans="2:5" ht="15.5" x14ac:dyDescent="0.35">
      <c r="B91" s="455"/>
      <c r="C91" s="455"/>
      <c r="D91" s="455"/>
      <c r="E91" s="456"/>
    </row>
    <row r="92" spans="2:5" ht="15.5" x14ac:dyDescent="0.35">
      <c r="B92" s="455"/>
      <c r="C92" s="455"/>
      <c r="D92" s="455"/>
      <c r="E92" s="456"/>
    </row>
    <row r="93" spans="2:5" ht="15.5" x14ac:dyDescent="0.35">
      <c r="B93" s="455"/>
      <c r="C93" s="455"/>
      <c r="D93" s="455"/>
      <c r="E93" s="456"/>
    </row>
    <row r="94" spans="2:5" ht="15.5" x14ac:dyDescent="0.35">
      <c r="B94" s="455"/>
      <c r="C94" s="455"/>
      <c r="D94" s="455"/>
      <c r="E94" s="456"/>
    </row>
    <row r="95" spans="2:5" ht="15.5" x14ac:dyDescent="0.35">
      <c r="B95" s="455"/>
      <c r="C95" s="455"/>
      <c r="D95" s="455"/>
      <c r="E95" s="456"/>
    </row>
    <row r="96" spans="2:5" ht="15.5" x14ac:dyDescent="0.35">
      <c r="B96" s="455"/>
      <c r="C96" s="455"/>
      <c r="D96" s="455"/>
      <c r="E96" s="456"/>
    </row>
    <row r="98" spans="1:22" ht="23.5" x14ac:dyDescent="0.35">
      <c r="B98" s="1442" t="s">
        <v>263</v>
      </c>
      <c r="C98" s="1443"/>
      <c r="D98" s="1443"/>
      <c r="E98" s="1444"/>
    </row>
    <row r="99" spans="1:22" x14ac:dyDescent="0.35">
      <c r="B99" s="2" t="s">
        <v>7</v>
      </c>
      <c r="C99" s="270" t="s">
        <v>8</v>
      </c>
      <c r="D99" s="217" t="s">
        <v>4</v>
      </c>
      <c r="E99" s="597" t="s">
        <v>9</v>
      </c>
    </row>
    <row r="100" spans="1:22" x14ac:dyDescent="0.35">
      <c r="B100" s="3" t="s">
        <v>3</v>
      </c>
      <c r="C100" s="258">
        <v>180</v>
      </c>
      <c r="D100" s="227">
        <v>272.96499999999997</v>
      </c>
      <c r="E100" s="598">
        <f>+C100*D100</f>
        <v>49133.7</v>
      </c>
    </row>
    <row r="101" spans="1:22" x14ac:dyDescent="0.35">
      <c r="B101" s="3" t="s">
        <v>295</v>
      </c>
      <c r="C101" s="258">
        <v>4</v>
      </c>
      <c r="D101" s="227">
        <v>272.97000000000003</v>
      </c>
      <c r="E101" s="598">
        <f>+C101*D101</f>
        <v>1091.8800000000001</v>
      </c>
    </row>
    <row r="102" spans="1:22" x14ac:dyDescent="0.35">
      <c r="B102" s="3" t="s">
        <v>266</v>
      </c>
      <c r="C102" s="258"/>
      <c r="D102" s="227"/>
      <c r="E102" s="598">
        <v>5000</v>
      </c>
    </row>
    <row r="103" spans="1:22" x14ac:dyDescent="0.35">
      <c r="B103" s="3" t="s">
        <v>195</v>
      </c>
      <c r="C103" s="258">
        <v>25</v>
      </c>
      <c r="D103" s="194">
        <f>+D100*1.5</f>
        <v>409.44749999999999</v>
      </c>
      <c r="E103" s="598">
        <f>+C103*D103</f>
        <v>10236.1875</v>
      </c>
    </row>
    <row r="104" spans="1:22" x14ac:dyDescent="0.35">
      <c r="B104" s="3" t="s">
        <v>6</v>
      </c>
      <c r="C104" s="258"/>
      <c r="D104" s="194"/>
      <c r="E104" s="598">
        <v>11000</v>
      </c>
    </row>
    <row r="105" spans="1:22" s="628" customFormat="1" x14ac:dyDescent="0.35">
      <c r="A105" s="4"/>
      <c r="B105" s="3" t="s">
        <v>283</v>
      </c>
      <c r="C105" s="258">
        <v>1</v>
      </c>
      <c r="D105" s="194">
        <v>1000</v>
      </c>
      <c r="E105" s="598">
        <f>+C105*D105</f>
        <v>1000</v>
      </c>
      <c r="F105"/>
      <c r="G105"/>
      <c r="H105" s="181"/>
      <c r="I105" s="181"/>
      <c r="J105" s="181"/>
      <c r="K105" s="181"/>
      <c r="L105" s="181"/>
      <c r="M105" s="184"/>
      <c r="N105" s="180"/>
      <c r="O105" s="180"/>
      <c r="P105" s="181"/>
      <c r="Q105" s="181"/>
      <c r="R105" s="181"/>
      <c r="S105"/>
      <c r="V105"/>
    </row>
    <row r="106" spans="1:22" x14ac:dyDescent="0.35">
      <c r="B106" s="1439" t="s">
        <v>99</v>
      </c>
      <c r="C106" s="1440"/>
      <c r="D106" s="1441"/>
      <c r="E106" s="599">
        <f>SUM(E100:E105)</f>
        <v>77461.767499999987</v>
      </c>
    </row>
    <row r="107" spans="1:22" s="106" customFormat="1" x14ac:dyDescent="0.35">
      <c r="B107" s="633"/>
      <c r="C107" s="633"/>
      <c r="D107" s="633"/>
      <c r="E107" s="421"/>
    </row>
    <row r="108" spans="1:22" s="106" customFormat="1" x14ac:dyDescent="0.35">
      <c r="B108" s="633"/>
      <c r="C108" s="633"/>
      <c r="D108" s="633"/>
      <c r="E108" s="421"/>
    </row>
    <row r="109" spans="1:22" s="106" customFormat="1" x14ac:dyDescent="0.35">
      <c r="B109" s="1434"/>
      <c r="C109" s="1434"/>
      <c r="D109" s="1434"/>
      <c r="E109" s="421"/>
    </row>
    <row r="110" spans="1:22" ht="23.5" x14ac:dyDescent="0.35">
      <c r="B110" s="1431" t="s">
        <v>264</v>
      </c>
      <c r="C110" s="1431"/>
      <c r="D110" s="1431"/>
      <c r="E110" s="1431"/>
    </row>
    <row r="111" spans="1:22" x14ac:dyDescent="0.35">
      <c r="B111" s="2" t="s">
        <v>7</v>
      </c>
      <c r="C111" s="270" t="s">
        <v>8</v>
      </c>
      <c r="D111" s="217" t="s">
        <v>4</v>
      </c>
      <c r="E111" s="597" t="s">
        <v>9</v>
      </c>
    </row>
    <row r="112" spans="1:22" x14ac:dyDescent="0.35">
      <c r="B112" s="3" t="s">
        <v>3</v>
      </c>
      <c r="C112" s="258">
        <v>171</v>
      </c>
      <c r="D112" s="227">
        <v>230.17500000000001</v>
      </c>
      <c r="E112" s="598">
        <f>C112*D112</f>
        <v>39359.925000000003</v>
      </c>
      <c r="F112" s="202"/>
    </row>
    <row r="113" spans="2:5" x14ac:dyDescent="0.35">
      <c r="B113" s="3" t="s">
        <v>295</v>
      </c>
      <c r="C113" s="258">
        <v>4</v>
      </c>
      <c r="D113" s="227">
        <v>230.18</v>
      </c>
      <c r="E113" s="598">
        <f>C113*D113</f>
        <v>920.72</v>
      </c>
    </row>
    <row r="114" spans="2:5" x14ac:dyDescent="0.35">
      <c r="B114" s="3" t="s">
        <v>298</v>
      </c>
      <c r="C114" s="258">
        <v>8</v>
      </c>
      <c r="D114" s="227">
        <v>230.18</v>
      </c>
      <c r="E114" s="598">
        <f>+C114*D114</f>
        <v>1841.44</v>
      </c>
    </row>
    <row r="115" spans="2:5" x14ac:dyDescent="0.35">
      <c r="B115" s="3" t="s">
        <v>196</v>
      </c>
      <c r="C115" s="258"/>
      <c r="D115" s="227"/>
      <c r="E115" s="598">
        <v>2500</v>
      </c>
    </row>
    <row r="116" spans="2:5" x14ac:dyDescent="0.35">
      <c r="B116" s="3" t="s">
        <v>195</v>
      </c>
      <c r="C116" s="258">
        <v>24.5</v>
      </c>
      <c r="D116" s="227">
        <f>+D112*1.5</f>
        <v>345.26250000000005</v>
      </c>
      <c r="E116" s="598">
        <f>+D116*C116</f>
        <v>8458.9312500000015</v>
      </c>
    </row>
    <row r="117" spans="2:5" x14ac:dyDescent="0.35">
      <c r="B117" s="3" t="s">
        <v>6</v>
      </c>
      <c r="C117" s="258"/>
      <c r="D117" s="227"/>
      <c r="E117" s="598">
        <v>8000</v>
      </c>
    </row>
    <row r="118" spans="2:5" x14ac:dyDescent="0.35">
      <c r="B118" s="3" t="s">
        <v>283</v>
      </c>
      <c r="C118" s="258">
        <v>2</v>
      </c>
      <c r="D118" s="227">
        <v>1000</v>
      </c>
      <c r="E118" s="598">
        <f>+C118*D118</f>
        <v>2000</v>
      </c>
    </row>
    <row r="119" spans="2:5" x14ac:dyDescent="0.35">
      <c r="B119" s="1432" t="s">
        <v>99</v>
      </c>
      <c r="C119" s="1432"/>
      <c r="D119" s="1432"/>
      <c r="E119" s="599">
        <f>SUM(E112:E118)</f>
        <v>63081.016250000008</v>
      </c>
    </row>
    <row r="120" spans="2:5" x14ac:dyDescent="0.35">
      <c r="B120" s="1387" t="s">
        <v>19</v>
      </c>
      <c r="C120" s="1387"/>
      <c r="D120" s="1387"/>
      <c r="E120" s="600">
        <v>-5000</v>
      </c>
    </row>
    <row r="121" spans="2:5" ht="15.5" x14ac:dyDescent="0.35">
      <c r="B121" s="1433" t="s">
        <v>11</v>
      </c>
      <c r="C121" s="1433"/>
      <c r="D121" s="1433"/>
      <c r="E121" s="603">
        <f>+E119+E120</f>
        <v>58081.016250000008</v>
      </c>
    </row>
    <row r="122" spans="2:5" x14ac:dyDescent="0.35">
      <c r="E122" s="203" t="s">
        <v>63</v>
      </c>
    </row>
    <row r="124" spans="2:5" ht="23.5" x14ac:dyDescent="0.35">
      <c r="B124" s="1431" t="s">
        <v>276</v>
      </c>
      <c r="C124" s="1431"/>
      <c r="D124" s="1431"/>
      <c r="E124" s="1431"/>
    </row>
    <row r="125" spans="2:5" x14ac:dyDescent="0.35">
      <c r="B125" s="2" t="s">
        <v>7</v>
      </c>
      <c r="C125" s="270" t="s">
        <v>8</v>
      </c>
      <c r="D125" s="217" t="s">
        <v>4</v>
      </c>
      <c r="E125" s="597" t="s">
        <v>9</v>
      </c>
    </row>
    <row r="126" spans="2:5" x14ac:dyDescent="0.35">
      <c r="B126" s="3" t="s">
        <v>21</v>
      </c>
      <c r="C126" s="258">
        <v>106.5</v>
      </c>
      <c r="D126" s="194">
        <v>310</v>
      </c>
      <c r="E126" s="598">
        <f>+C126*D126</f>
        <v>33015</v>
      </c>
    </row>
    <row r="127" spans="2:5" x14ac:dyDescent="0.35">
      <c r="B127" s="3"/>
      <c r="C127" s="258"/>
      <c r="D127" s="194" t="s">
        <v>63</v>
      </c>
      <c r="E127" s="609" t="s">
        <v>63</v>
      </c>
    </row>
    <row r="128" spans="2:5" x14ac:dyDescent="0.35">
      <c r="B128" s="3" t="s">
        <v>63</v>
      </c>
      <c r="C128" s="258" t="s">
        <v>63</v>
      </c>
      <c r="D128" s="194" t="s">
        <v>63</v>
      </c>
      <c r="E128" s="609" t="s">
        <v>63</v>
      </c>
    </row>
    <row r="129" spans="2:5" x14ac:dyDescent="0.35">
      <c r="B129" s="615"/>
      <c r="C129" s="258" t="s">
        <v>63</v>
      </c>
      <c r="D129" s="258" t="s">
        <v>63</v>
      </c>
      <c r="E129" s="258"/>
    </row>
    <row r="130" spans="2:5" x14ac:dyDescent="0.35">
      <c r="B130" s="615" t="s">
        <v>200</v>
      </c>
      <c r="C130" s="258"/>
      <c r="D130" s="258"/>
      <c r="E130" s="258">
        <v>2500</v>
      </c>
    </row>
    <row r="131" spans="2:5" ht="15.5" x14ac:dyDescent="0.35">
      <c r="B131" s="611" t="s">
        <v>11</v>
      </c>
      <c r="C131" s="612"/>
      <c r="D131" s="613"/>
      <c r="E131" s="603">
        <f>+E126+E130</f>
        <v>35515</v>
      </c>
    </row>
    <row r="136" spans="2:5" ht="23.5" x14ac:dyDescent="0.35">
      <c r="B136" s="1431" t="s">
        <v>260</v>
      </c>
      <c r="C136" s="1431"/>
      <c r="D136" s="1431"/>
      <c r="E136" s="1431"/>
    </row>
    <row r="137" spans="2:5" x14ac:dyDescent="0.35">
      <c r="B137" s="2" t="s">
        <v>7</v>
      </c>
      <c r="C137" s="270" t="s">
        <v>8</v>
      </c>
      <c r="D137" s="217" t="s">
        <v>4</v>
      </c>
      <c r="E137" s="597" t="s">
        <v>9</v>
      </c>
    </row>
    <row r="138" spans="2:5" x14ac:dyDescent="0.35">
      <c r="B138" s="3" t="s">
        <v>3</v>
      </c>
      <c r="C138" s="258">
        <v>168</v>
      </c>
      <c r="D138" s="194">
        <v>400</v>
      </c>
      <c r="E138" s="598">
        <f>+C138*D138</f>
        <v>67200</v>
      </c>
    </row>
    <row r="139" spans="2:5" x14ac:dyDescent="0.35">
      <c r="B139" s="3"/>
      <c r="C139" s="258"/>
      <c r="D139" s="194"/>
      <c r="E139" s="609"/>
    </row>
    <row r="140" spans="2:5" x14ac:dyDescent="0.35">
      <c r="B140" s="3" t="s">
        <v>270</v>
      </c>
      <c r="C140" s="258">
        <v>5</v>
      </c>
      <c r="D140" s="194">
        <f>+D138*1.5</f>
        <v>600</v>
      </c>
      <c r="E140" s="609">
        <f>+C140*D140</f>
        <v>3000</v>
      </c>
    </row>
    <row r="141" spans="2:5" x14ac:dyDescent="0.35">
      <c r="B141" s="614" t="s">
        <v>200</v>
      </c>
      <c r="C141" s="617"/>
      <c r="D141" s="227"/>
      <c r="E141" s="609">
        <v>5000</v>
      </c>
    </row>
    <row r="142" spans="2:5" x14ac:dyDescent="0.35">
      <c r="B142" s="621" t="s">
        <v>99</v>
      </c>
      <c r="C142" s="622"/>
      <c r="D142" s="622"/>
      <c r="E142" s="634">
        <f>SUM(E138:E141)</f>
        <v>75200</v>
      </c>
    </row>
    <row r="143" spans="2:5" x14ac:dyDescent="0.35">
      <c r="B143" s="615" t="s">
        <v>19</v>
      </c>
      <c r="C143" s="619"/>
      <c r="D143" s="619"/>
      <c r="E143" s="619">
        <v>-28000</v>
      </c>
    </row>
    <row r="144" spans="2:5" ht="15.5" x14ac:dyDescent="0.35">
      <c r="B144" s="611" t="s">
        <v>11</v>
      </c>
      <c r="C144" s="612"/>
      <c r="D144" s="613"/>
      <c r="E144" s="603">
        <f>+E142+E143</f>
        <v>47200</v>
      </c>
    </row>
  </sheetData>
  <mergeCells count="30">
    <mergeCell ref="B42:D42"/>
    <mergeCell ref="B2:E2"/>
    <mergeCell ref="B10:D10"/>
    <mergeCell ref="B13:D13"/>
    <mergeCell ref="B16:E16"/>
    <mergeCell ref="B25:D25"/>
    <mergeCell ref="B26:D26"/>
    <mergeCell ref="B28:D28"/>
    <mergeCell ref="B31:E31"/>
    <mergeCell ref="B40:D40"/>
    <mergeCell ref="B41:D41"/>
    <mergeCell ref="B98:E98"/>
    <mergeCell ref="B46:E46"/>
    <mergeCell ref="B55:D55"/>
    <mergeCell ref="B57:D57"/>
    <mergeCell ref="B60:E60"/>
    <mergeCell ref="B70:D70"/>
    <mergeCell ref="B72:D72"/>
    <mergeCell ref="B76:E76"/>
    <mergeCell ref="B84:D84"/>
    <mergeCell ref="B85:D85"/>
    <mergeCell ref="B86:D86"/>
    <mergeCell ref="B124:E124"/>
    <mergeCell ref="B136:E136"/>
    <mergeCell ref="B106:D106"/>
    <mergeCell ref="B109:D109"/>
    <mergeCell ref="B110:E110"/>
    <mergeCell ref="B119:D119"/>
    <mergeCell ref="B120:D120"/>
    <mergeCell ref="B121:D121"/>
  </mergeCells>
  <pageMargins left="0.31496062992125984" right="0.11811023622047245" top="0" bottom="0" header="0.31496062992125984" footer="0.31496062992125984"/>
  <pageSetup paperSize="9" fitToWidth="0" orientation="portrait" r:id="rId1"/>
  <colBreaks count="1" manualBreakCount="1">
    <brk id="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D35"/>
  <sheetViews>
    <sheetView topLeftCell="A19" workbookViewId="0">
      <selection activeCell="A6" sqref="A6"/>
    </sheetView>
  </sheetViews>
  <sheetFormatPr baseColWidth="10" defaultRowHeight="14.5" x14ac:dyDescent="0.35"/>
  <cols>
    <col min="2" max="2" width="31.26953125" customWidth="1"/>
    <col min="3" max="3" width="21.7265625" customWidth="1"/>
    <col min="4" max="4" width="15.7265625" customWidth="1"/>
  </cols>
  <sheetData>
    <row r="2" spans="2:3" ht="21" x14ac:dyDescent="0.5">
      <c r="B2" s="564"/>
      <c r="C2" s="636">
        <v>44743</v>
      </c>
    </row>
    <row r="4" spans="2:3" x14ac:dyDescent="0.35">
      <c r="B4" s="563" t="s">
        <v>7</v>
      </c>
      <c r="C4" s="563" t="s">
        <v>268</v>
      </c>
    </row>
    <row r="5" spans="2:3" x14ac:dyDescent="0.35">
      <c r="B5" s="3" t="s">
        <v>10</v>
      </c>
      <c r="C5" s="3">
        <v>35476.11</v>
      </c>
    </row>
    <row r="6" spans="2:3" x14ac:dyDescent="0.35">
      <c r="B6" s="3" t="s">
        <v>15</v>
      </c>
      <c r="C6" s="3">
        <v>91066.04</v>
      </c>
    </row>
    <row r="7" spans="2:3" x14ac:dyDescent="0.35">
      <c r="B7" s="3" t="s">
        <v>16</v>
      </c>
      <c r="C7" s="3">
        <v>55730.89</v>
      </c>
    </row>
    <row r="8" spans="2:3" x14ac:dyDescent="0.35">
      <c r="B8" s="3" t="s">
        <v>0</v>
      </c>
      <c r="C8" s="3">
        <v>66314.92</v>
      </c>
    </row>
    <row r="9" spans="2:3" x14ac:dyDescent="0.35">
      <c r="B9" s="3" t="s">
        <v>28</v>
      </c>
      <c r="C9" s="3">
        <v>47149.41</v>
      </c>
    </row>
    <row r="10" spans="2:3" x14ac:dyDescent="0.35">
      <c r="B10" s="3" t="s">
        <v>174</v>
      </c>
      <c r="C10" s="3">
        <v>56784.800000000003</v>
      </c>
    </row>
    <row r="11" spans="2:3" x14ac:dyDescent="0.35">
      <c r="B11" s="3" t="s">
        <v>245</v>
      </c>
      <c r="C11" s="3">
        <v>58081.02</v>
      </c>
    </row>
    <row r="12" spans="2:3" x14ac:dyDescent="0.35">
      <c r="B12" s="3" t="s">
        <v>267</v>
      </c>
      <c r="C12" s="3">
        <v>77461.77</v>
      </c>
    </row>
    <row r="13" spans="2:3" x14ac:dyDescent="0.35">
      <c r="B13" s="3" t="s">
        <v>260</v>
      </c>
      <c r="C13" s="3">
        <v>47200</v>
      </c>
    </row>
    <row r="14" spans="2:3" x14ac:dyDescent="0.35">
      <c r="B14" s="3" t="s">
        <v>276</v>
      </c>
      <c r="C14" s="3">
        <v>35515</v>
      </c>
    </row>
    <row r="15" spans="2:3" ht="23.5" x14ac:dyDescent="0.55000000000000004">
      <c r="B15" s="637" t="s">
        <v>269</v>
      </c>
      <c r="C15" s="635">
        <f>SUM(C5:C14)</f>
        <v>570779.96</v>
      </c>
    </row>
    <row r="16" spans="2:3" x14ac:dyDescent="0.35">
      <c r="B16" s="90"/>
      <c r="C16" s="90"/>
    </row>
    <row r="21" spans="2:4" x14ac:dyDescent="0.35">
      <c r="B21" s="585">
        <v>44713</v>
      </c>
    </row>
    <row r="22" spans="2:4" x14ac:dyDescent="0.35">
      <c r="B22" s="568" t="s">
        <v>271</v>
      </c>
      <c r="C22" s="568" t="s">
        <v>272</v>
      </c>
      <c r="D22" s="568" t="s">
        <v>200</v>
      </c>
    </row>
    <row r="23" spans="2:4" x14ac:dyDescent="0.35">
      <c r="B23" s="3" t="s">
        <v>10</v>
      </c>
      <c r="C23" s="3">
        <f>291.6*1.1</f>
        <v>320.76000000000005</v>
      </c>
      <c r="D23" s="3">
        <v>5000</v>
      </c>
    </row>
    <row r="24" spans="2:4" x14ac:dyDescent="0.35">
      <c r="B24" s="3" t="s">
        <v>15</v>
      </c>
      <c r="C24" s="3">
        <f>334.3*1.1</f>
        <v>367.73</v>
      </c>
      <c r="D24" s="3">
        <v>5000</v>
      </c>
    </row>
    <row r="25" spans="2:4" x14ac:dyDescent="0.35">
      <c r="B25" s="3" t="s">
        <v>16</v>
      </c>
      <c r="C25" s="3">
        <v>272.97000000000003</v>
      </c>
      <c r="D25" s="3">
        <v>5000</v>
      </c>
    </row>
    <row r="26" spans="2:4" x14ac:dyDescent="0.35">
      <c r="B26" s="3" t="s">
        <v>0</v>
      </c>
      <c r="C26" s="3">
        <f>334.3*1.1</f>
        <v>367.73</v>
      </c>
      <c r="D26" s="3">
        <v>5000</v>
      </c>
    </row>
    <row r="27" spans="2:4" x14ac:dyDescent="0.35">
      <c r="B27" s="3" t="s">
        <v>28</v>
      </c>
      <c r="C27" s="3">
        <v>341.17</v>
      </c>
      <c r="D27" s="3">
        <v>5000</v>
      </c>
    </row>
    <row r="28" spans="2:4" x14ac:dyDescent="0.35">
      <c r="B28" s="3" t="s">
        <v>174</v>
      </c>
      <c r="C28" s="3">
        <f>232*1.1</f>
        <v>255.20000000000002</v>
      </c>
      <c r="D28" s="3">
        <v>5000</v>
      </c>
    </row>
    <row r="29" spans="2:4" x14ac:dyDescent="0.35">
      <c r="B29" s="3" t="s">
        <v>245</v>
      </c>
      <c r="C29" s="3">
        <v>230.18</v>
      </c>
      <c r="D29" s="3">
        <v>5000</v>
      </c>
    </row>
    <row r="30" spans="2:4" x14ac:dyDescent="0.35">
      <c r="B30" s="3" t="s">
        <v>267</v>
      </c>
      <c r="C30" s="3">
        <v>272.97000000000003</v>
      </c>
      <c r="D30" s="3">
        <v>5000</v>
      </c>
    </row>
    <row r="31" spans="2:4" x14ac:dyDescent="0.35">
      <c r="B31" s="3" t="s">
        <v>260</v>
      </c>
      <c r="C31" s="3">
        <v>400</v>
      </c>
      <c r="D31" s="3">
        <v>5000</v>
      </c>
    </row>
    <row r="32" spans="2:4" x14ac:dyDescent="0.35">
      <c r="B32" s="588" t="s">
        <v>276</v>
      </c>
      <c r="C32" s="588">
        <v>310</v>
      </c>
      <c r="D32" s="3">
        <v>2500</v>
      </c>
    </row>
    <row r="33" spans="2:4" x14ac:dyDescent="0.35">
      <c r="B33" s="588"/>
      <c r="C33" s="3"/>
      <c r="D33" s="3"/>
    </row>
    <row r="34" spans="2:4" x14ac:dyDescent="0.35">
      <c r="B34" s="176"/>
      <c r="C34" s="4"/>
      <c r="D34" s="4"/>
    </row>
    <row r="35" spans="2:4" x14ac:dyDescent="0.35">
      <c r="B35" s="176"/>
      <c r="C35" s="4"/>
      <c r="D35" s="4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D33"/>
  <sheetViews>
    <sheetView workbookViewId="0">
      <selection activeCell="E33" sqref="E33"/>
    </sheetView>
  </sheetViews>
  <sheetFormatPr baseColWidth="10" defaultRowHeight="14.5" x14ac:dyDescent="0.35"/>
  <cols>
    <col min="2" max="2" width="31.26953125" customWidth="1"/>
    <col min="3" max="3" width="29.453125" style="49" customWidth="1"/>
    <col min="4" max="4" width="15.7265625" customWidth="1"/>
    <col min="5" max="5" width="19.26953125" customWidth="1"/>
  </cols>
  <sheetData>
    <row r="1" spans="2:3" s="658" customFormat="1" ht="28.5" x14ac:dyDescent="0.65">
      <c r="B1" s="582">
        <v>44774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3" t="s">
        <v>10</v>
      </c>
      <c r="C4" s="75">
        <v>68700</v>
      </c>
    </row>
    <row r="5" spans="2:3" x14ac:dyDescent="0.35">
      <c r="B5" s="3" t="s">
        <v>15</v>
      </c>
      <c r="C5" s="75">
        <v>135700</v>
      </c>
    </row>
    <row r="6" spans="2:3" x14ac:dyDescent="0.35">
      <c r="B6" s="3" t="s">
        <v>16</v>
      </c>
      <c r="C6" s="75">
        <v>77900</v>
      </c>
    </row>
    <row r="7" spans="2:3" x14ac:dyDescent="0.35">
      <c r="B7" s="3" t="s">
        <v>0</v>
      </c>
      <c r="C7" s="75">
        <v>88700</v>
      </c>
    </row>
    <row r="8" spans="2:3" x14ac:dyDescent="0.35">
      <c r="B8" s="3" t="s">
        <v>28</v>
      </c>
      <c r="C8" s="75">
        <v>95900</v>
      </c>
    </row>
    <row r="9" spans="2:3" x14ac:dyDescent="0.35">
      <c r="B9" s="3" t="s">
        <v>174</v>
      </c>
      <c r="C9" s="75">
        <v>52300</v>
      </c>
    </row>
    <row r="10" spans="2:3" x14ac:dyDescent="0.35">
      <c r="B10" s="3" t="s">
        <v>245</v>
      </c>
      <c r="C10" s="75">
        <v>68200</v>
      </c>
    </row>
    <row r="11" spans="2:3" x14ac:dyDescent="0.35">
      <c r="B11" s="3" t="s">
        <v>267</v>
      </c>
      <c r="C11" s="75">
        <v>76500</v>
      </c>
    </row>
    <row r="12" spans="2:3" x14ac:dyDescent="0.35">
      <c r="B12" s="3" t="s">
        <v>260</v>
      </c>
      <c r="C12" s="75">
        <v>65200</v>
      </c>
    </row>
    <row r="13" spans="2:3" x14ac:dyDescent="0.35">
      <c r="B13" s="3" t="s">
        <v>276</v>
      </c>
      <c r="C13" s="75">
        <v>40800</v>
      </c>
    </row>
    <row r="14" spans="2:3" x14ac:dyDescent="0.35">
      <c r="B14" s="3" t="s">
        <v>277</v>
      </c>
      <c r="C14" s="75">
        <v>59900</v>
      </c>
    </row>
    <row r="15" spans="2:3" s="646" customFormat="1" ht="26" x14ac:dyDescent="0.6">
      <c r="B15" s="650" t="s">
        <v>302</v>
      </c>
      <c r="C15" s="652">
        <f>SUM(C4:C14)</f>
        <v>829800</v>
      </c>
    </row>
    <row r="20" spans="2:4" s="648" customFormat="1" ht="46" x14ac:dyDescent="1">
      <c r="B20" s="647">
        <v>44774</v>
      </c>
      <c r="C20" s="653"/>
    </row>
    <row r="21" spans="2:4" ht="18.5" x14ac:dyDescent="0.45">
      <c r="B21" s="643" t="s">
        <v>306</v>
      </c>
      <c r="C21" s="654" t="s">
        <v>272</v>
      </c>
      <c r="D21" s="643" t="s">
        <v>200</v>
      </c>
    </row>
    <row r="22" spans="2:4" ht="18.5" x14ac:dyDescent="0.45">
      <c r="B22" s="644" t="s">
        <v>10</v>
      </c>
      <c r="C22" s="655">
        <v>400</v>
      </c>
      <c r="D22" s="644">
        <v>10000</v>
      </c>
    </row>
    <row r="23" spans="2:4" ht="18.5" x14ac:dyDescent="0.45">
      <c r="B23" s="644" t="s">
        <v>15</v>
      </c>
      <c r="C23" s="655">
        <v>600</v>
      </c>
      <c r="D23" s="644">
        <v>10000</v>
      </c>
    </row>
    <row r="24" spans="2:4" ht="18.5" x14ac:dyDescent="0.45">
      <c r="B24" s="644" t="s">
        <v>16</v>
      </c>
      <c r="C24" s="655">
        <v>350</v>
      </c>
      <c r="D24" s="644">
        <v>10000</v>
      </c>
    </row>
    <row r="25" spans="2:4" ht="18.5" x14ac:dyDescent="0.45">
      <c r="B25" s="644" t="s">
        <v>0</v>
      </c>
      <c r="C25" s="655">
        <v>500</v>
      </c>
      <c r="D25" s="644">
        <v>10000</v>
      </c>
    </row>
    <row r="26" spans="2:4" ht="18.5" x14ac:dyDescent="0.45">
      <c r="B26" s="644" t="s">
        <v>28</v>
      </c>
      <c r="C26" s="655">
        <v>500</v>
      </c>
      <c r="D26" s="644">
        <v>10000</v>
      </c>
    </row>
    <row r="27" spans="2:4" ht="18.5" x14ac:dyDescent="0.45">
      <c r="B27" s="644" t="s">
        <v>174</v>
      </c>
      <c r="C27" s="655"/>
      <c r="D27" s="644"/>
    </row>
    <row r="28" spans="2:4" ht="18.5" x14ac:dyDescent="0.45">
      <c r="B28" s="644" t="s">
        <v>245</v>
      </c>
      <c r="C28" s="655">
        <v>248.6</v>
      </c>
      <c r="D28" s="644">
        <v>5000</v>
      </c>
    </row>
    <row r="29" spans="2:4" ht="18.5" x14ac:dyDescent="0.45">
      <c r="B29" s="644" t="s">
        <v>267</v>
      </c>
      <c r="C29" s="655">
        <v>295</v>
      </c>
      <c r="D29" s="644">
        <v>5000</v>
      </c>
    </row>
    <row r="30" spans="2:4" ht="18.5" x14ac:dyDescent="0.45">
      <c r="B30" s="644" t="s">
        <v>260</v>
      </c>
      <c r="C30" s="655">
        <v>432</v>
      </c>
      <c r="D30" s="644">
        <v>5000</v>
      </c>
    </row>
    <row r="31" spans="2:4" ht="18.5" x14ac:dyDescent="0.45">
      <c r="B31" s="645" t="s">
        <v>276</v>
      </c>
      <c r="C31" s="656">
        <v>334.8</v>
      </c>
      <c r="D31" s="644">
        <v>2500</v>
      </c>
    </row>
    <row r="32" spans="2:4" ht="18.5" x14ac:dyDescent="0.45">
      <c r="B32" s="645" t="s">
        <v>277</v>
      </c>
      <c r="C32" s="655">
        <v>245</v>
      </c>
      <c r="D32" s="644">
        <v>5000</v>
      </c>
    </row>
    <row r="33" spans="2:4" x14ac:dyDescent="0.35">
      <c r="B33" s="176"/>
      <c r="C33" s="50"/>
      <c r="D33" s="4"/>
    </row>
  </sheetData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160"/>
  <sheetViews>
    <sheetView topLeftCell="A60" workbookViewId="0">
      <selection activeCell="F32" sqref="F32"/>
    </sheetView>
  </sheetViews>
  <sheetFormatPr baseColWidth="10" defaultRowHeight="14.5" x14ac:dyDescent="0.35"/>
  <cols>
    <col min="2" max="2" width="23.453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1:21" ht="18" customHeight="1" x14ac:dyDescent="0.35"/>
    <row r="2" spans="1:21" ht="25.5" customHeight="1" x14ac:dyDescent="0.35">
      <c r="B2" s="1431" t="s">
        <v>10</v>
      </c>
      <c r="C2" s="1431"/>
      <c r="D2" s="1431"/>
      <c r="E2" s="1431"/>
    </row>
    <row r="3" spans="1:21" s="639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1:21" ht="18" customHeight="1" x14ac:dyDescent="0.35">
      <c r="B4" s="3" t="s">
        <v>3</v>
      </c>
      <c r="C4" s="258">
        <v>194</v>
      </c>
      <c r="D4" s="227">
        <v>400</v>
      </c>
      <c r="E4" s="598">
        <f>+C4*D4</f>
        <v>77600</v>
      </c>
      <c r="F4" s="202"/>
      <c r="T4" s="639"/>
    </row>
    <row r="5" spans="1:21" ht="18" customHeight="1" x14ac:dyDescent="0.35">
      <c r="B5" s="3" t="s">
        <v>282</v>
      </c>
      <c r="C5" s="258">
        <v>8</v>
      </c>
      <c r="D5" s="227">
        <f>+D4</f>
        <v>400</v>
      </c>
      <c r="E5" s="598">
        <f>+C5*D5</f>
        <v>3200</v>
      </c>
      <c r="T5" s="202"/>
    </row>
    <row r="6" spans="1:21" ht="18" customHeight="1" x14ac:dyDescent="0.35">
      <c r="B6" s="3" t="s">
        <v>196</v>
      </c>
      <c r="C6" s="258"/>
      <c r="D6" s="227"/>
      <c r="E6" s="598">
        <v>10000</v>
      </c>
    </row>
    <row r="7" spans="1:21" ht="18" customHeight="1" x14ac:dyDescent="0.35">
      <c r="B7" s="3" t="s">
        <v>215</v>
      </c>
      <c r="C7" s="258"/>
      <c r="D7" s="194"/>
      <c r="E7" s="598"/>
    </row>
    <row r="8" spans="1:21" ht="18" customHeight="1" x14ac:dyDescent="0.35">
      <c r="B8" s="3" t="s">
        <v>6</v>
      </c>
      <c r="C8" s="258">
        <v>16000</v>
      </c>
      <c r="D8" s="194"/>
      <c r="E8" s="598">
        <f>+C8</f>
        <v>16000</v>
      </c>
      <c r="U8" s="639"/>
    </row>
    <row r="9" spans="1:21" ht="18" customHeight="1" x14ac:dyDescent="0.35">
      <c r="B9" s="3" t="s">
        <v>300</v>
      </c>
      <c r="C9" s="258">
        <v>1</v>
      </c>
      <c r="D9" s="194">
        <v>3000</v>
      </c>
      <c r="E9" s="598">
        <f>+C9*D9</f>
        <v>3000</v>
      </c>
      <c r="U9" s="639"/>
    </row>
    <row r="10" spans="1:21" ht="18" customHeight="1" x14ac:dyDescent="0.35">
      <c r="B10" s="3" t="s">
        <v>283</v>
      </c>
      <c r="C10" s="258"/>
      <c r="D10" s="194"/>
      <c r="E10" s="598"/>
      <c r="U10" s="639"/>
    </row>
    <row r="11" spans="1:21" ht="18" customHeight="1" x14ac:dyDescent="0.35">
      <c r="B11" s="1432" t="s">
        <v>99</v>
      </c>
      <c r="C11" s="1432"/>
      <c r="D11" s="1432"/>
      <c r="E11" s="599">
        <f>SUM(E4:E10)</f>
        <v>109800</v>
      </c>
      <c r="F11" s="202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639"/>
    </row>
    <row r="12" spans="1:21" ht="18" customHeight="1" x14ac:dyDescent="0.35">
      <c r="B12" s="640" t="s">
        <v>292</v>
      </c>
      <c r="C12" s="640"/>
      <c r="D12" s="640"/>
      <c r="E12" s="600">
        <v>-41071.42</v>
      </c>
      <c r="M12" s="51"/>
      <c r="N12" s="66"/>
      <c r="O12" s="66"/>
      <c r="P12" s="49"/>
      <c r="Q12" s="639"/>
    </row>
    <row r="13" spans="1:21" ht="18" customHeight="1" x14ac:dyDescent="0.35">
      <c r="B13" s="640"/>
      <c r="C13" s="640"/>
      <c r="D13" s="640"/>
      <c r="E13" s="600"/>
      <c r="M13" s="51"/>
      <c r="N13" s="66"/>
      <c r="O13" s="66"/>
      <c r="P13" s="49"/>
      <c r="Q13" s="639"/>
    </row>
    <row r="14" spans="1:21" ht="18" customHeight="1" x14ac:dyDescent="0.35">
      <c r="A14" s="639"/>
      <c r="B14" s="1433" t="s">
        <v>11</v>
      </c>
      <c r="C14" s="1433"/>
      <c r="D14" s="1433"/>
      <c r="E14" s="603">
        <f>+E11+E12+E13</f>
        <v>68728.58</v>
      </c>
      <c r="H14" s="321"/>
      <c r="I14" s="321"/>
      <c r="J14" s="321"/>
      <c r="K14" s="473"/>
      <c r="L14" s="321"/>
      <c r="M14" s="321"/>
      <c r="T14" s="639"/>
    </row>
    <row r="15" spans="1:21" ht="18" customHeight="1" x14ac:dyDescent="0.35">
      <c r="A15" s="639"/>
      <c r="B15" s="455"/>
      <c r="C15" s="455"/>
      <c r="D15" s="455"/>
      <c r="E15" s="456"/>
      <c r="H15" s="321"/>
      <c r="I15" s="321"/>
      <c r="J15" s="321"/>
      <c r="K15" s="473"/>
      <c r="L15" s="321"/>
      <c r="M15" s="321"/>
      <c r="T15" s="639"/>
    </row>
    <row r="16" spans="1:21" ht="18" customHeight="1" x14ac:dyDescent="0.35">
      <c r="F16" s="106"/>
      <c r="G16" s="4"/>
      <c r="N16" s="4"/>
      <c r="T16" s="639"/>
    </row>
    <row r="17" spans="1:22" ht="18" customHeight="1" x14ac:dyDescent="0.35">
      <c r="B17" s="1431" t="s">
        <v>15</v>
      </c>
      <c r="C17" s="1431"/>
      <c r="D17" s="1431"/>
      <c r="E17" s="1431"/>
      <c r="F17" s="406"/>
      <c r="K17" s="465"/>
      <c r="L17" s="465"/>
      <c r="M17" s="465"/>
    </row>
    <row r="18" spans="1:22" ht="18" customHeight="1" x14ac:dyDescent="0.35">
      <c r="B18" s="2" t="s">
        <v>7</v>
      </c>
      <c r="C18" s="270" t="s">
        <v>8</v>
      </c>
      <c r="D18" s="217" t="s">
        <v>4</v>
      </c>
      <c r="E18" s="597" t="s">
        <v>9</v>
      </c>
      <c r="F18" s="639"/>
      <c r="K18" s="101"/>
      <c r="L18" s="101"/>
      <c r="M18" s="101"/>
    </row>
    <row r="19" spans="1:22" ht="18" customHeight="1" x14ac:dyDescent="0.35">
      <c r="B19" s="3" t="s">
        <v>3</v>
      </c>
      <c r="C19" s="315">
        <v>194</v>
      </c>
      <c r="D19" s="194">
        <v>600</v>
      </c>
      <c r="E19" s="598">
        <f>+C19*D19</f>
        <v>116400</v>
      </c>
      <c r="F19" s="202"/>
      <c r="K19" s="101"/>
      <c r="L19" s="101"/>
      <c r="M19" s="101"/>
    </row>
    <row r="20" spans="1:22" ht="18" customHeight="1" x14ac:dyDescent="0.35">
      <c r="B20" s="3" t="s">
        <v>299</v>
      </c>
      <c r="C20" s="258">
        <v>8</v>
      </c>
      <c r="D20" s="194">
        <f>+D19</f>
        <v>600</v>
      </c>
      <c r="E20" s="598">
        <f>+C20*D20</f>
        <v>4800</v>
      </c>
      <c r="F20" s="202"/>
      <c r="K20" s="101"/>
      <c r="L20" s="101"/>
      <c r="M20" s="101"/>
    </row>
    <row r="21" spans="1:22" ht="18" customHeight="1" x14ac:dyDescent="0.35">
      <c r="B21" s="3" t="s">
        <v>196</v>
      </c>
      <c r="C21" s="258"/>
      <c r="D21" s="194"/>
      <c r="E21" s="598">
        <v>10000</v>
      </c>
      <c r="F21" s="639"/>
      <c r="H21" s="641"/>
      <c r="N21" s="51"/>
      <c r="O21" s="51"/>
      <c r="P21" s="66"/>
      <c r="Q21" s="49"/>
      <c r="R21" s="49"/>
    </row>
    <row r="22" spans="1:22" ht="18" customHeight="1" x14ac:dyDescent="0.35">
      <c r="B22" s="3" t="s">
        <v>195</v>
      </c>
      <c r="C22" s="315"/>
      <c r="D22" s="194"/>
      <c r="E22" s="598"/>
      <c r="G22" s="4"/>
      <c r="L22" s="180"/>
      <c r="M22" s="184"/>
    </row>
    <row r="23" spans="1:22" s="639" customFormat="1" ht="18" customHeight="1" x14ac:dyDescent="0.35">
      <c r="A23" s="4"/>
      <c r="B23" s="3" t="s">
        <v>6</v>
      </c>
      <c r="C23" s="258"/>
      <c r="D23" s="194"/>
      <c r="E23" s="598">
        <v>20000</v>
      </c>
      <c r="F23"/>
      <c r="G23"/>
      <c r="L23" s="184"/>
      <c r="M23" s="184"/>
      <c r="N23"/>
      <c r="O23"/>
      <c r="P23"/>
      <c r="Q23"/>
      <c r="R23"/>
      <c r="S23"/>
      <c r="V23"/>
    </row>
    <row r="24" spans="1:22" s="639" customFormat="1" ht="18" customHeight="1" x14ac:dyDescent="0.35">
      <c r="A24" s="4"/>
      <c r="B24" s="3" t="s">
        <v>283</v>
      </c>
      <c r="C24" s="258"/>
      <c r="D24" s="194"/>
      <c r="E24" s="598"/>
      <c r="F24"/>
      <c r="G24"/>
      <c r="L24" s="181"/>
      <c r="M24" s="184"/>
      <c r="N24" s="180"/>
      <c r="O24" s="180"/>
      <c r="P24" s="181"/>
      <c r="Q24" s="181"/>
      <c r="R24" s="181"/>
      <c r="S24"/>
      <c r="V24"/>
    </row>
    <row r="25" spans="1:22" s="639" customFormat="1" ht="18" customHeight="1" x14ac:dyDescent="0.35">
      <c r="A25" s="4"/>
      <c r="B25" s="3" t="s">
        <v>296</v>
      </c>
      <c r="C25" s="258">
        <v>1</v>
      </c>
      <c r="D25" s="194">
        <v>3000</v>
      </c>
      <c r="E25" s="598">
        <f>+C25*D25</f>
        <v>3000</v>
      </c>
      <c r="F25"/>
      <c r="G25"/>
      <c r="L25" s="181"/>
      <c r="M25" s="184"/>
      <c r="N25" s="180"/>
      <c r="O25" s="180"/>
      <c r="P25" s="181"/>
      <c r="Q25" s="181"/>
      <c r="R25" s="181"/>
      <c r="S25"/>
      <c r="V25"/>
    </row>
    <row r="26" spans="1:22" s="639" customFormat="1" ht="18" customHeight="1" x14ac:dyDescent="0.35">
      <c r="A26"/>
      <c r="B26" s="1432" t="s">
        <v>99</v>
      </c>
      <c r="C26" s="1432"/>
      <c r="D26" s="1432"/>
      <c r="E26" s="599">
        <f>+E19+E20+E21+E23+E25</f>
        <v>154200</v>
      </c>
      <c r="F26"/>
      <c r="G26"/>
      <c r="L26" s="181"/>
      <c r="M26" s="184"/>
      <c r="N26" s="180"/>
      <c r="O26" s="180"/>
      <c r="P26" s="181"/>
      <c r="Q26" s="181"/>
      <c r="R26" s="181"/>
      <c r="S26"/>
      <c r="V26"/>
    </row>
    <row r="27" spans="1:22" ht="18" customHeight="1" x14ac:dyDescent="0.35">
      <c r="A27" s="639"/>
      <c r="B27" s="1387" t="s">
        <v>79</v>
      </c>
      <c r="C27" s="1387"/>
      <c r="D27" s="1387"/>
      <c r="E27" s="600">
        <v>-1524</v>
      </c>
      <c r="F27" s="181"/>
      <c r="L27" s="181"/>
      <c r="M27" s="185"/>
      <c r="N27" s="180"/>
      <c r="O27" s="180"/>
      <c r="P27" s="181"/>
      <c r="Q27" s="181"/>
      <c r="R27" s="181"/>
      <c r="S27" s="639"/>
      <c r="U27" s="639"/>
    </row>
    <row r="28" spans="1:22" ht="18" customHeight="1" x14ac:dyDescent="0.35">
      <c r="A28" s="639"/>
      <c r="B28" s="640" t="s">
        <v>19</v>
      </c>
      <c r="C28" s="640"/>
      <c r="D28" s="640"/>
      <c r="E28" s="600">
        <v>-15000</v>
      </c>
      <c r="F28" s="181"/>
      <c r="L28" s="181"/>
      <c r="M28" s="185"/>
      <c r="N28" s="180"/>
      <c r="O28" s="180"/>
      <c r="P28" s="181"/>
      <c r="Q28" s="181"/>
      <c r="R28" s="181"/>
      <c r="S28" s="639"/>
      <c r="U28" s="639"/>
    </row>
    <row r="29" spans="1:22" ht="18" customHeight="1" x14ac:dyDescent="0.35">
      <c r="B29" s="1435" t="s">
        <v>11</v>
      </c>
      <c r="C29" s="1435"/>
      <c r="D29" s="1435"/>
      <c r="E29" s="602">
        <f>+E26+E27+E28</f>
        <v>137676</v>
      </c>
      <c r="F29" s="409"/>
      <c r="G29" s="115"/>
      <c r="M29" s="189"/>
      <c r="N29" s="180"/>
      <c r="O29" s="180"/>
      <c r="P29" s="181"/>
      <c r="Q29" s="181"/>
      <c r="R29" s="181"/>
    </row>
    <row r="30" spans="1:22" ht="18" customHeight="1" x14ac:dyDescent="0.35">
      <c r="B30" s="455"/>
      <c r="C30" s="455"/>
      <c r="D30" s="455"/>
      <c r="E30" s="456"/>
      <c r="F30" s="409"/>
      <c r="G30" s="115"/>
      <c r="M30" s="189"/>
      <c r="N30" s="180"/>
      <c r="O30" s="180"/>
      <c r="P30" s="181"/>
      <c r="Q30" s="181"/>
      <c r="R30" s="181"/>
    </row>
    <row r="31" spans="1:22" ht="19.5" customHeight="1" x14ac:dyDescent="0.35">
      <c r="F31" s="409"/>
      <c r="G31" s="115"/>
      <c r="M31" s="185"/>
      <c r="N31" s="181"/>
      <c r="O31" s="181"/>
      <c r="P31" s="181"/>
      <c r="Q31" s="181"/>
    </row>
    <row r="32" spans="1:22" ht="18" customHeight="1" x14ac:dyDescent="0.45">
      <c r="B32" s="1436" t="s">
        <v>265</v>
      </c>
      <c r="C32" s="1436"/>
      <c r="D32" s="1436"/>
      <c r="E32" s="1436"/>
      <c r="F32" s="409"/>
      <c r="G32" s="115"/>
      <c r="M32" s="185"/>
      <c r="N32" s="181"/>
      <c r="O32" s="181"/>
      <c r="P32" s="181"/>
      <c r="Q32" s="181"/>
    </row>
    <row r="33" spans="1:16" ht="18" customHeight="1" x14ac:dyDescent="0.35">
      <c r="B33" s="604" t="s">
        <v>7</v>
      </c>
      <c r="C33" s="605" t="s">
        <v>8</v>
      </c>
      <c r="D33" s="606" t="s">
        <v>4</v>
      </c>
      <c r="E33" s="606" t="s">
        <v>9</v>
      </c>
      <c r="M33" s="185"/>
      <c r="N33" s="181"/>
      <c r="O33" s="181"/>
      <c r="P33" s="184"/>
    </row>
    <row r="34" spans="1:16" ht="18" customHeight="1" x14ac:dyDescent="0.35">
      <c r="B34" s="607" t="s">
        <v>3</v>
      </c>
      <c r="C34" s="267">
        <v>194</v>
      </c>
      <c r="D34" s="211">
        <v>350</v>
      </c>
      <c r="E34" s="211">
        <f>C34*D34</f>
        <v>67900</v>
      </c>
      <c r="M34" s="182"/>
    </row>
    <row r="35" spans="1:16" ht="18" customHeight="1" x14ac:dyDescent="0.35">
      <c r="B35" s="3" t="s">
        <v>299</v>
      </c>
      <c r="C35" s="267">
        <v>8</v>
      </c>
      <c r="D35" s="211">
        <v>350</v>
      </c>
      <c r="E35" s="211">
        <f>+C35*D35</f>
        <v>2800</v>
      </c>
      <c r="F35" s="202"/>
      <c r="I35" s="639"/>
      <c r="J35" s="639"/>
      <c r="K35" s="639"/>
    </row>
    <row r="36" spans="1:16" ht="18" customHeight="1" x14ac:dyDescent="0.35">
      <c r="B36" s="3" t="s">
        <v>196</v>
      </c>
      <c r="C36" s="267"/>
      <c r="D36" s="211"/>
      <c r="E36" s="211">
        <v>10000</v>
      </c>
      <c r="F36" s="202"/>
      <c r="L36" s="639"/>
    </row>
    <row r="37" spans="1:16" ht="18" customHeight="1" x14ac:dyDescent="0.35">
      <c r="A37" s="155"/>
      <c r="B37" s="3" t="s">
        <v>195</v>
      </c>
      <c r="C37" s="267">
        <v>8</v>
      </c>
      <c r="D37" s="211">
        <f>+D34*1.5</f>
        <v>525</v>
      </c>
      <c r="E37" s="211">
        <f>C37*D37</f>
        <v>4200</v>
      </c>
      <c r="F37" s="649"/>
      <c r="G37" s="180"/>
      <c r="H37" s="180"/>
      <c r="I37" s="181"/>
      <c r="J37" s="187"/>
      <c r="K37" s="188"/>
      <c r="L37" s="639"/>
      <c r="O37" s="639"/>
    </row>
    <row r="38" spans="1:16" ht="18" customHeight="1" x14ac:dyDescent="0.35">
      <c r="A38" s="155"/>
      <c r="B38" s="3" t="s">
        <v>6</v>
      </c>
      <c r="C38" s="267">
        <v>11000</v>
      </c>
      <c r="D38" s="211"/>
      <c r="E38" s="211">
        <f>+C38</f>
        <v>11000</v>
      </c>
      <c r="G38" s="180"/>
      <c r="H38" s="180"/>
      <c r="I38" s="181"/>
      <c r="J38" s="181"/>
      <c r="K38" s="184"/>
      <c r="O38" s="639"/>
    </row>
    <row r="39" spans="1:16" ht="18" customHeight="1" x14ac:dyDescent="0.35">
      <c r="A39" s="155"/>
      <c r="B39" s="3" t="s">
        <v>283</v>
      </c>
      <c r="C39" s="267">
        <v>2</v>
      </c>
      <c r="D39" s="211">
        <v>1000</v>
      </c>
      <c r="E39" s="211">
        <f>+C39*D39</f>
        <v>2000</v>
      </c>
      <c r="G39" s="180"/>
      <c r="H39" s="180"/>
      <c r="I39" s="181"/>
      <c r="J39" s="181"/>
      <c r="K39" s="184"/>
      <c r="O39" s="639"/>
    </row>
    <row r="40" spans="1:16" s="639" customFormat="1" ht="18" customHeight="1" x14ac:dyDescent="0.35">
      <c r="A40" s="155"/>
      <c r="B40" s="1432" t="s">
        <v>99</v>
      </c>
      <c r="C40" s="1432"/>
      <c r="D40" s="1432"/>
      <c r="E40" s="599">
        <f>SUM(E34:E39)</f>
        <v>97900</v>
      </c>
      <c r="F40"/>
      <c r="G40" s="180"/>
      <c r="H40" s="180"/>
      <c r="I40" s="181"/>
      <c r="J40" s="181"/>
      <c r="K40" s="184"/>
      <c r="L40"/>
      <c r="N40"/>
      <c r="O40"/>
    </row>
    <row r="41" spans="1:16" s="639" customFormat="1" ht="18" customHeight="1" x14ac:dyDescent="0.35">
      <c r="A41" s="155"/>
      <c r="B41" s="1437" t="s">
        <v>19</v>
      </c>
      <c r="C41" s="1437"/>
      <c r="D41" s="1437"/>
      <c r="E41" s="213">
        <v>-20000</v>
      </c>
      <c r="F41"/>
      <c r="G41" s="180"/>
      <c r="H41" s="180"/>
      <c r="I41" s="181"/>
      <c r="J41" s="181"/>
      <c r="K41" s="184"/>
      <c r="L41"/>
      <c r="N41"/>
      <c r="O41"/>
    </row>
    <row r="42" spans="1:16" ht="18" customHeight="1" x14ac:dyDescent="0.35">
      <c r="A42" s="156"/>
      <c r="B42" s="1438" t="s">
        <v>11</v>
      </c>
      <c r="C42" s="1438"/>
      <c r="D42" s="1438"/>
      <c r="E42" s="608">
        <f>+E40+E41</f>
        <v>77900</v>
      </c>
      <c r="G42" s="180"/>
      <c r="H42" s="180"/>
      <c r="I42" s="181"/>
      <c r="J42" s="181"/>
      <c r="K42" s="184"/>
    </row>
    <row r="43" spans="1:16" ht="18" customHeight="1" x14ac:dyDescent="0.35">
      <c r="A43" s="156"/>
      <c r="B43" s="594"/>
      <c r="C43" s="594"/>
      <c r="D43" s="594"/>
      <c r="E43" s="595"/>
      <c r="G43" s="180"/>
      <c r="H43" s="180"/>
      <c r="I43" s="181"/>
      <c r="J43" s="181"/>
      <c r="K43" s="184"/>
    </row>
    <row r="44" spans="1:16" ht="18" customHeight="1" x14ac:dyDescent="0.35">
      <c r="A44" s="156"/>
      <c r="B44" s="594"/>
      <c r="C44" s="594"/>
      <c r="D44" s="594"/>
      <c r="E44" s="595"/>
      <c r="G44" s="180"/>
      <c r="H44" s="180"/>
      <c r="I44" s="181"/>
      <c r="J44" s="181"/>
      <c r="K44" s="184"/>
    </row>
    <row r="45" spans="1:16" ht="18" customHeight="1" x14ac:dyDescent="0.35">
      <c r="A45" s="156"/>
      <c r="B45" s="594"/>
      <c r="C45" s="594"/>
      <c r="D45" s="594"/>
      <c r="E45" s="595"/>
      <c r="G45" s="180"/>
      <c r="H45" s="180"/>
      <c r="I45" s="181"/>
      <c r="J45" s="181"/>
      <c r="K45" s="184"/>
    </row>
    <row r="46" spans="1:16" ht="15" customHeight="1" x14ac:dyDescent="0.35">
      <c r="A46" s="155"/>
      <c r="B46" s="1431" t="s">
        <v>0</v>
      </c>
      <c r="C46" s="1431"/>
      <c r="D46" s="1431"/>
      <c r="E46" s="1431"/>
      <c r="G46" s="180"/>
      <c r="H46" s="180"/>
      <c r="I46" s="181"/>
      <c r="J46" s="181"/>
      <c r="K46" s="184"/>
      <c r="L46" s="639"/>
    </row>
    <row r="47" spans="1:16" ht="15" customHeight="1" x14ac:dyDescent="0.35">
      <c r="A47" s="155"/>
      <c r="B47" s="2" t="s">
        <v>7</v>
      </c>
      <c r="C47" s="270" t="s">
        <v>8</v>
      </c>
      <c r="D47" s="217" t="s">
        <v>4</v>
      </c>
      <c r="E47" s="597" t="s">
        <v>9</v>
      </c>
      <c r="G47" s="180"/>
      <c r="H47" s="180"/>
      <c r="I47" s="181"/>
      <c r="J47" s="181"/>
      <c r="K47" s="184"/>
      <c r="L47" s="639"/>
    </row>
    <row r="48" spans="1:16" ht="15" customHeight="1" x14ac:dyDescent="0.35">
      <c r="A48" s="155"/>
      <c r="B48" s="3" t="s">
        <v>253</v>
      </c>
      <c r="C48" s="258">
        <v>194</v>
      </c>
      <c r="D48" s="194">
        <v>500</v>
      </c>
      <c r="E48" s="598">
        <f>C48*D48</f>
        <v>97000</v>
      </c>
      <c r="F48" s="202"/>
      <c r="G48" s="180"/>
      <c r="H48" s="180"/>
      <c r="I48" s="181"/>
      <c r="J48" s="181"/>
      <c r="K48" s="184"/>
    </row>
    <row r="49" spans="1:22" ht="15" customHeight="1" x14ac:dyDescent="0.35">
      <c r="A49" s="155"/>
      <c r="B49" s="3" t="s">
        <v>299</v>
      </c>
      <c r="C49" s="258">
        <v>8</v>
      </c>
      <c r="D49" s="194">
        <f>+D48</f>
        <v>500</v>
      </c>
      <c r="E49" s="598">
        <f>C49*D49</f>
        <v>4000</v>
      </c>
      <c r="F49" s="202"/>
      <c r="G49" s="180"/>
      <c r="H49" s="180"/>
      <c r="I49" s="181"/>
      <c r="J49" s="181"/>
      <c r="K49" s="184"/>
    </row>
    <row r="50" spans="1:22" ht="15" customHeight="1" x14ac:dyDescent="0.35">
      <c r="A50" s="155"/>
      <c r="B50" s="3" t="s">
        <v>196</v>
      </c>
      <c r="C50" s="258"/>
      <c r="D50" s="194"/>
      <c r="E50" s="598">
        <v>10000</v>
      </c>
      <c r="F50" s="639"/>
      <c r="M50" s="176"/>
      <c r="N50" s="180"/>
      <c r="O50" s="180"/>
      <c r="P50" s="181"/>
      <c r="Q50" s="181"/>
      <c r="R50" s="184"/>
    </row>
    <row r="51" spans="1:22" ht="15" customHeight="1" x14ac:dyDescent="0.35">
      <c r="B51" s="3" t="s">
        <v>195</v>
      </c>
      <c r="C51" s="315"/>
      <c r="D51" s="194"/>
      <c r="E51" s="598"/>
      <c r="M51" s="176"/>
      <c r="N51" s="176"/>
      <c r="O51" s="176"/>
      <c r="P51" s="181"/>
      <c r="Q51" s="181"/>
      <c r="R51" s="184"/>
      <c r="T51" s="639"/>
    </row>
    <row r="52" spans="1:22" s="639" customFormat="1" ht="15" customHeight="1" x14ac:dyDescent="0.35">
      <c r="A52"/>
      <c r="B52" s="3" t="s">
        <v>6</v>
      </c>
      <c r="C52" s="258">
        <v>16500</v>
      </c>
      <c r="D52" s="194"/>
      <c r="E52" s="598">
        <f>+C52</f>
        <v>16500</v>
      </c>
      <c r="F52"/>
      <c r="G52"/>
      <c r="H52"/>
      <c r="I52"/>
      <c r="J52"/>
      <c r="K52"/>
      <c r="L52"/>
      <c r="M52" s="176"/>
      <c r="N52" s="176"/>
      <c r="O52" s="176"/>
      <c r="P52" s="176"/>
      <c r="Q52" s="176"/>
      <c r="R52" s="176"/>
      <c r="S52"/>
      <c r="T52"/>
      <c r="U52"/>
      <c r="V52"/>
    </row>
    <row r="53" spans="1:22" s="639" customFormat="1" ht="15" customHeight="1" x14ac:dyDescent="0.35">
      <c r="A53"/>
      <c r="B53" s="3" t="s">
        <v>283</v>
      </c>
      <c r="C53" s="258"/>
      <c r="D53" s="194"/>
      <c r="E53" s="598"/>
      <c r="F53"/>
      <c r="G53"/>
      <c r="H53"/>
      <c r="I53"/>
      <c r="J53"/>
      <c r="K53"/>
      <c r="L53"/>
      <c r="M53" s="176"/>
      <c r="N53" s="176"/>
      <c r="O53" s="176"/>
      <c r="P53" s="176"/>
      <c r="Q53" s="176"/>
      <c r="R53" s="176"/>
      <c r="S53"/>
      <c r="T53"/>
      <c r="U53"/>
      <c r="V53"/>
    </row>
    <row r="54" spans="1:22" s="639" customFormat="1" ht="15" customHeight="1" x14ac:dyDescent="0.35">
      <c r="A54"/>
      <c r="B54" s="3" t="s">
        <v>300</v>
      </c>
      <c r="C54" s="258">
        <v>1</v>
      </c>
      <c r="D54" s="194">
        <v>3000</v>
      </c>
      <c r="E54" s="598">
        <f>+C54+D54</f>
        <v>3001</v>
      </c>
      <c r="F54" s="202"/>
      <c r="G54"/>
      <c r="H54"/>
      <c r="I54"/>
      <c r="J54"/>
      <c r="K54"/>
      <c r="L54"/>
      <c r="M54" s="176"/>
      <c r="N54" s="176"/>
      <c r="O54" s="176"/>
      <c r="P54" s="176"/>
      <c r="Q54" s="176"/>
      <c r="R54" s="176"/>
      <c r="S54"/>
      <c r="T54"/>
      <c r="U54"/>
      <c r="V54"/>
    </row>
    <row r="55" spans="1:22" ht="15" customHeight="1" x14ac:dyDescent="0.35">
      <c r="B55" s="1432" t="s">
        <v>99</v>
      </c>
      <c r="C55" s="1432"/>
      <c r="D55" s="1432"/>
      <c r="E55" s="599">
        <f>SUM(E48:E54)</f>
        <v>130501</v>
      </c>
      <c r="N55" s="183"/>
      <c r="O55" s="183"/>
      <c r="P55" s="176"/>
      <c r="Q55" s="176"/>
      <c r="R55" s="176"/>
      <c r="T55" s="639"/>
    </row>
    <row r="56" spans="1:22" s="639" customFormat="1" ht="15" customHeight="1" x14ac:dyDescent="0.35">
      <c r="A56"/>
      <c r="B56" s="3" t="s">
        <v>293</v>
      </c>
      <c r="C56" s="258"/>
      <c r="D56" s="194"/>
      <c r="E56" s="598">
        <v>-41863.17</v>
      </c>
      <c r="F56"/>
      <c r="G56"/>
      <c r="H56"/>
      <c r="I56"/>
      <c r="J56"/>
      <c r="K56"/>
      <c r="L56"/>
      <c r="M56" s="176"/>
      <c r="N56" s="176"/>
      <c r="O56" s="176"/>
      <c r="P56" s="176"/>
      <c r="Q56" s="176"/>
      <c r="R56" s="176"/>
      <c r="S56"/>
      <c r="T56"/>
      <c r="U56"/>
      <c r="V56"/>
    </row>
    <row r="57" spans="1:22" s="639" customFormat="1" ht="15" customHeight="1" x14ac:dyDescent="0.35">
      <c r="B57" s="1433" t="s">
        <v>11</v>
      </c>
      <c r="C57" s="1433"/>
      <c r="D57" s="1433"/>
      <c r="E57" s="603">
        <f>SUM(E55:E56)</f>
        <v>88637.83</v>
      </c>
      <c r="F57"/>
      <c r="G57"/>
      <c r="H57"/>
      <c r="I57"/>
      <c r="J57"/>
      <c r="K57"/>
      <c r="L57"/>
      <c r="M57"/>
      <c r="N57" s="176"/>
      <c r="O57" s="176"/>
      <c r="P57" s="176"/>
      <c r="Q57" s="176"/>
      <c r="R57" s="176"/>
      <c r="S57"/>
      <c r="U57"/>
    </row>
    <row r="58" spans="1:22" s="639" customFormat="1" ht="15" customHeight="1" x14ac:dyDescent="0.35">
      <c r="B58" s="455"/>
      <c r="C58" s="455"/>
      <c r="D58" s="455"/>
      <c r="E58" s="456"/>
      <c r="F58"/>
      <c r="G58"/>
      <c r="H58"/>
      <c r="I58"/>
      <c r="J58"/>
      <c r="K58"/>
      <c r="L58"/>
      <c r="M58"/>
      <c r="N58" s="176"/>
      <c r="O58" s="176"/>
      <c r="P58" s="176"/>
      <c r="Q58" s="176"/>
      <c r="R58" s="176"/>
      <c r="S58"/>
      <c r="U58"/>
    </row>
    <row r="59" spans="1:22" s="639" customFormat="1" ht="15" customHeight="1" x14ac:dyDescent="0.35">
      <c r="B59" s="455"/>
      <c r="C59" s="455"/>
      <c r="D59" s="455"/>
      <c r="E59" s="456"/>
      <c r="F59"/>
      <c r="G59"/>
      <c r="H59"/>
      <c r="I59"/>
      <c r="J59"/>
      <c r="K59"/>
      <c r="L59"/>
      <c r="M59"/>
      <c r="N59" s="176"/>
      <c r="O59" s="176"/>
      <c r="P59" s="176"/>
      <c r="Q59" s="176"/>
      <c r="R59" s="176"/>
      <c r="S59"/>
      <c r="U59"/>
    </row>
    <row r="60" spans="1:22" ht="15" customHeight="1" x14ac:dyDescent="0.35">
      <c r="B60" s="1431" t="s">
        <v>28</v>
      </c>
      <c r="C60" s="1431"/>
      <c r="D60" s="1431"/>
      <c r="E60" s="1431"/>
      <c r="N60" s="176"/>
      <c r="O60" s="176"/>
      <c r="P60" s="176"/>
      <c r="Q60" s="176"/>
      <c r="R60" s="176"/>
    </row>
    <row r="61" spans="1:22" ht="15" customHeight="1" x14ac:dyDescent="0.35">
      <c r="B61" s="2" t="s">
        <v>7</v>
      </c>
      <c r="C61" s="270" t="s">
        <v>8</v>
      </c>
      <c r="D61" s="217" t="s">
        <v>4</v>
      </c>
      <c r="E61" s="597" t="s">
        <v>9</v>
      </c>
      <c r="N61" s="176"/>
      <c r="O61" s="176"/>
      <c r="P61" s="176"/>
      <c r="Q61" s="176"/>
      <c r="R61" s="176"/>
    </row>
    <row r="62" spans="1:22" ht="15" customHeight="1" x14ac:dyDescent="0.35">
      <c r="B62" s="3" t="s">
        <v>3</v>
      </c>
      <c r="C62" s="315">
        <v>194</v>
      </c>
      <c r="D62" s="194">
        <v>500</v>
      </c>
      <c r="E62" s="598">
        <f>+C62*D62</f>
        <v>97000</v>
      </c>
      <c r="N62" s="176"/>
      <c r="O62" s="176"/>
      <c r="P62" s="176"/>
      <c r="Q62" s="176"/>
      <c r="R62" s="176"/>
    </row>
    <row r="63" spans="1:22" ht="15" customHeight="1" x14ac:dyDescent="0.35">
      <c r="B63" s="3" t="s">
        <v>299</v>
      </c>
      <c r="C63" s="315">
        <v>8</v>
      </c>
      <c r="D63" s="194">
        <f>+D62</f>
        <v>500</v>
      </c>
      <c r="E63" s="598">
        <f>+C63*D63</f>
        <v>4000</v>
      </c>
      <c r="F63" s="202"/>
      <c r="N63" s="176"/>
      <c r="O63" s="176"/>
      <c r="P63" s="176"/>
      <c r="Q63" s="176"/>
      <c r="R63" s="176"/>
    </row>
    <row r="64" spans="1:22" ht="15" customHeight="1" x14ac:dyDescent="0.35">
      <c r="B64" s="3" t="s">
        <v>200</v>
      </c>
      <c r="C64" s="315"/>
      <c r="D64" s="194"/>
      <c r="E64" s="598">
        <v>10000</v>
      </c>
      <c r="F64" s="202"/>
      <c r="N64" s="176"/>
      <c r="O64" s="176"/>
      <c r="P64" s="176"/>
      <c r="Q64" s="176"/>
      <c r="R64" s="176"/>
    </row>
    <row r="65" spans="2:22" ht="15" customHeight="1" x14ac:dyDescent="0.35">
      <c r="B65" s="3" t="s">
        <v>195</v>
      </c>
      <c r="C65" s="315">
        <v>6</v>
      </c>
      <c r="D65" s="194">
        <f>+D62*1.5</f>
        <v>750</v>
      </c>
      <c r="E65" s="598">
        <f>+D65*C65</f>
        <v>4500</v>
      </c>
      <c r="N65" s="176"/>
      <c r="O65" s="176"/>
      <c r="P65" s="176"/>
      <c r="Q65" s="176"/>
      <c r="R65" s="176"/>
    </row>
    <row r="66" spans="2:22" ht="15" customHeight="1" x14ac:dyDescent="0.35">
      <c r="B66" s="3" t="s">
        <v>6</v>
      </c>
      <c r="C66" s="315">
        <v>16000</v>
      </c>
      <c r="D66" s="194"/>
      <c r="E66" s="598">
        <f>+C66</f>
        <v>16000</v>
      </c>
      <c r="N66" s="176"/>
      <c r="O66" s="176"/>
      <c r="P66" s="176"/>
      <c r="Q66" s="176"/>
      <c r="R66" s="176"/>
    </row>
    <row r="67" spans="2:22" ht="15" customHeight="1" x14ac:dyDescent="0.35">
      <c r="B67" s="3" t="s">
        <v>283</v>
      </c>
      <c r="C67" s="315">
        <v>1</v>
      </c>
      <c r="D67" s="194">
        <v>1000</v>
      </c>
      <c r="E67" s="598">
        <f>+C67*D67</f>
        <v>1000</v>
      </c>
      <c r="N67" s="176"/>
      <c r="O67" s="176"/>
      <c r="P67" s="176"/>
      <c r="Q67" s="176"/>
      <c r="R67" s="176"/>
    </row>
    <row r="68" spans="2:22" ht="15" customHeight="1" x14ac:dyDescent="0.35">
      <c r="B68" s="3" t="s">
        <v>300</v>
      </c>
      <c r="C68" s="315">
        <v>1</v>
      </c>
      <c r="D68" s="194">
        <v>3000</v>
      </c>
      <c r="E68" s="598">
        <f>+C68*D68</f>
        <v>3000</v>
      </c>
      <c r="N68" s="176"/>
      <c r="O68" s="176"/>
      <c r="P68" s="176"/>
      <c r="Q68" s="176"/>
      <c r="R68" s="176"/>
    </row>
    <row r="69" spans="2:22" ht="15" customHeight="1" x14ac:dyDescent="0.35">
      <c r="B69" s="1432" t="s">
        <v>99</v>
      </c>
      <c r="C69" s="1432"/>
      <c r="D69" s="1432"/>
      <c r="E69" s="599">
        <f>SUM(E62:E68)</f>
        <v>135500</v>
      </c>
      <c r="V69" s="639"/>
    </row>
    <row r="70" spans="2:22" ht="15" customHeight="1" x14ac:dyDescent="0.35">
      <c r="B70" s="640" t="s">
        <v>293</v>
      </c>
      <c r="C70" s="640"/>
      <c r="D70" s="640"/>
      <c r="E70" s="600">
        <v>-39587.9</v>
      </c>
    </row>
    <row r="71" spans="2:22" ht="15" customHeight="1" x14ac:dyDescent="0.35">
      <c r="B71" s="1435" t="s">
        <v>11</v>
      </c>
      <c r="C71" s="1435"/>
      <c r="D71" s="1435"/>
      <c r="E71" s="602">
        <f>SUM(E69:E70)</f>
        <v>95912.1</v>
      </c>
      <c r="V71" s="639"/>
    </row>
    <row r="72" spans="2:22" ht="15" customHeight="1" x14ac:dyDescent="0.35">
      <c r="B72" s="455"/>
      <c r="C72" s="455"/>
      <c r="D72" s="455"/>
      <c r="E72" s="456"/>
      <c r="V72" s="639"/>
    </row>
    <row r="74" spans="2:22" ht="15.5" x14ac:dyDescent="0.35">
      <c r="B74" s="638"/>
      <c r="C74" s="262"/>
      <c r="D74" s="204"/>
      <c r="E74" s="456"/>
    </row>
    <row r="75" spans="2:22" ht="23.5" x14ac:dyDescent="0.35">
      <c r="B75" s="1431" t="s">
        <v>174</v>
      </c>
      <c r="C75" s="1431"/>
      <c r="D75" s="1431"/>
      <c r="E75" s="1431"/>
    </row>
    <row r="76" spans="2:22" x14ac:dyDescent="0.35">
      <c r="B76" s="2" t="s">
        <v>7</v>
      </c>
      <c r="C76" s="270" t="s">
        <v>8</v>
      </c>
      <c r="D76" s="217" t="s">
        <v>4</v>
      </c>
      <c r="E76" s="597" t="s">
        <v>9</v>
      </c>
    </row>
    <row r="77" spans="2:22" x14ac:dyDescent="0.35">
      <c r="B77" s="3" t="s">
        <v>3</v>
      </c>
      <c r="C77" s="258">
        <v>194</v>
      </c>
      <c r="D77" s="227">
        <v>275.64999999999998</v>
      </c>
      <c r="E77" s="598">
        <f>C77*D77</f>
        <v>53476.1</v>
      </c>
    </row>
    <row r="78" spans="2:22" x14ac:dyDescent="0.35">
      <c r="B78" s="3" t="s">
        <v>299</v>
      </c>
      <c r="C78" s="258">
        <v>8</v>
      </c>
      <c r="D78" s="227">
        <f>+D77</f>
        <v>275.64999999999998</v>
      </c>
      <c r="E78" s="598">
        <f>C78*D78</f>
        <v>2205.1999999999998</v>
      </c>
    </row>
    <row r="79" spans="2:22" x14ac:dyDescent="0.35">
      <c r="B79" s="3" t="s">
        <v>196</v>
      </c>
      <c r="C79" s="258"/>
      <c r="D79" s="227">
        <v>5000</v>
      </c>
      <c r="E79" s="598">
        <v>5000</v>
      </c>
    </row>
    <row r="80" spans="2:22" x14ac:dyDescent="0.35">
      <c r="B80" s="3" t="s">
        <v>195</v>
      </c>
      <c r="C80" s="258">
        <v>1.5</v>
      </c>
      <c r="D80" s="227">
        <f>+D77*1.5</f>
        <v>413.47499999999997</v>
      </c>
      <c r="E80" s="598">
        <f>+C80*D80</f>
        <v>620.21249999999998</v>
      </c>
    </row>
    <row r="81" spans="2:6" x14ac:dyDescent="0.35">
      <c r="B81" s="3" t="s">
        <v>6</v>
      </c>
      <c r="C81" s="258">
        <v>11000</v>
      </c>
      <c r="D81" s="227"/>
      <c r="E81" s="598">
        <f>+C81</f>
        <v>11000</v>
      </c>
    </row>
    <row r="82" spans="2:6" x14ac:dyDescent="0.35">
      <c r="B82" s="3"/>
      <c r="C82" s="258"/>
      <c r="D82" s="227"/>
      <c r="E82" s="598"/>
    </row>
    <row r="83" spans="2:6" x14ac:dyDescent="0.35">
      <c r="B83" s="1432" t="s">
        <v>99</v>
      </c>
      <c r="C83" s="1432"/>
      <c r="D83" s="1432"/>
      <c r="E83" s="598">
        <f>SUM(E77:E82)</f>
        <v>72301.512499999997</v>
      </c>
      <c r="F83" s="202"/>
    </row>
    <row r="84" spans="2:6" x14ac:dyDescent="0.35">
      <c r="B84" s="1387" t="s">
        <v>19</v>
      </c>
      <c r="C84" s="1387"/>
      <c r="D84" s="1387"/>
      <c r="E84" s="600">
        <v>-20000</v>
      </c>
    </row>
    <row r="85" spans="2:6" ht="15.5" x14ac:dyDescent="0.35">
      <c r="B85" s="1433" t="s">
        <v>11</v>
      </c>
      <c r="C85" s="1433"/>
      <c r="D85" s="1433"/>
      <c r="E85" s="603">
        <f>+E83+E84</f>
        <v>52301.512499999997</v>
      </c>
    </row>
    <row r="86" spans="2:6" ht="15.5" x14ac:dyDescent="0.35">
      <c r="B86" s="455"/>
      <c r="C86" s="455"/>
      <c r="D86" s="455"/>
      <c r="E86" s="456"/>
    </row>
    <row r="87" spans="2:6" ht="15.5" x14ac:dyDescent="0.35">
      <c r="B87" s="455"/>
      <c r="C87" s="455"/>
      <c r="D87" s="455"/>
      <c r="E87" s="456"/>
    </row>
    <row r="88" spans="2:6" ht="15.5" x14ac:dyDescent="0.35">
      <c r="B88" s="455"/>
      <c r="C88" s="455"/>
      <c r="D88" s="455"/>
      <c r="E88" s="456"/>
    </row>
    <row r="89" spans="2:6" ht="15.5" x14ac:dyDescent="0.35">
      <c r="B89" s="455"/>
      <c r="C89" s="455"/>
      <c r="D89" s="455"/>
      <c r="E89" s="456"/>
    </row>
    <row r="90" spans="2:6" ht="15.5" x14ac:dyDescent="0.35">
      <c r="B90" s="455"/>
      <c r="C90" s="455"/>
      <c r="D90" s="455"/>
      <c r="E90" s="456"/>
    </row>
    <row r="91" spans="2:6" ht="15.5" x14ac:dyDescent="0.35">
      <c r="B91" s="455"/>
      <c r="C91" s="455"/>
      <c r="D91" s="455"/>
      <c r="E91" s="456"/>
    </row>
    <row r="92" spans="2:6" ht="15.5" x14ac:dyDescent="0.35">
      <c r="B92" s="455"/>
      <c r="C92" s="455"/>
      <c r="D92" s="455"/>
      <c r="E92" s="456"/>
    </row>
    <row r="93" spans="2:6" ht="15.5" x14ac:dyDescent="0.35">
      <c r="B93" s="455"/>
      <c r="C93" s="455"/>
      <c r="D93" s="455"/>
      <c r="E93" s="456"/>
    </row>
    <row r="94" spans="2:6" ht="15.5" x14ac:dyDescent="0.35">
      <c r="B94" s="455"/>
      <c r="C94" s="455"/>
      <c r="D94" s="455"/>
      <c r="E94" s="456"/>
    </row>
    <row r="95" spans="2:6" ht="15.5" x14ac:dyDescent="0.35">
      <c r="B95" s="455"/>
      <c r="C95" s="455"/>
      <c r="D95" s="455"/>
      <c r="E95" s="456"/>
    </row>
    <row r="97" spans="1:22" ht="23.15" customHeight="1" x14ac:dyDescent="0.35">
      <c r="B97" s="1442" t="s">
        <v>263</v>
      </c>
      <c r="C97" s="1443"/>
      <c r="D97" s="1443"/>
      <c r="E97" s="1444"/>
    </row>
    <row r="98" spans="1:22" ht="14.65" customHeight="1" x14ac:dyDescent="0.35">
      <c r="B98" s="2" t="s">
        <v>7</v>
      </c>
      <c r="C98" s="270" t="s">
        <v>8</v>
      </c>
      <c r="D98" s="217" t="s">
        <v>4</v>
      </c>
      <c r="E98" s="597" t="s">
        <v>9</v>
      </c>
    </row>
    <row r="99" spans="1:22" ht="14.65" customHeight="1" x14ac:dyDescent="0.35">
      <c r="B99" s="3" t="s">
        <v>3</v>
      </c>
      <c r="C99" s="258">
        <v>194</v>
      </c>
      <c r="D99" s="227">
        <v>295</v>
      </c>
      <c r="E99" s="598">
        <f>+C99*D99</f>
        <v>57230</v>
      </c>
    </row>
    <row r="100" spans="1:22" ht="14.65" customHeight="1" x14ac:dyDescent="0.35">
      <c r="B100" s="3" t="s">
        <v>299</v>
      </c>
      <c r="C100" s="258">
        <v>8</v>
      </c>
      <c r="D100" s="227">
        <v>295</v>
      </c>
      <c r="E100" s="598">
        <f>+C100*D100</f>
        <v>2360</v>
      </c>
    </row>
    <row r="101" spans="1:22" ht="14.65" customHeight="1" x14ac:dyDescent="0.35">
      <c r="B101" s="3" t="s">
        <v>266</v>
      </c>
      <c r="C101" s="258"/>
      <c r="D101" s="227"/>
      <c r="E101" s="598">
        <v>5000</v>
      </c>
    </row>
    <row r="102" spans="1:22" x14ac:dyDescent="0.35">
      <c r="B102" s="3" t="s">
        <v>195</v>
      </c>
      <c r="C102" s="258">
        <v>2</v>
      </c>
      <c r="D102" s="194">
        <f>+D99*1.5</f>
        <v>442.5</v>
      </c>
      <c r="E102" s="598">
        <f>+C102*D102</f>
        <v>885</v>
      </c>
      <c r="F102" s="202"/>
    </row>
    <row r="103" spans="1:22" ht="14.65" customHeight="1" x14ac:dyDescent="0.35">
      <c r="B103" s="3" t="s">
        <v>6</v>
      </c>
      <c r="C103" s="258"/>
      <c r="D103" s="194"/>
      <c r="E103" s="598">
        <v>11000</v>
      </c>
    </row>
    <row r="104" spans="1:22" s="639" customFormat="1" ht="14.65" customHeight="1" x14ac:dyDescent="0.35">
      <c r="A104" s="4"/>
      <c r="B104" s="3" t="s">
        <v>283</v>
      </c>
      <c r="C104" s="258"/>
      <c r="D104" s="194"/>
      <c r="E104" s="598"/>
      <c r="F104"/>
      <c r="G104"/>
      <c r="H104" s="181"/>
      <c r="I104" s="181"/>
      <c r="J104" s="181"/>
      <c r="K104" s="181"/>
      <c r="L104" s="181"/>
      <c r="M104" s="184"/>
      <c r="N104" s="180"/>
      <c r="O104" s="180"/>
      <c r="P104" s="181"/>
      <c r="Q104" s="181"/>
      <c r="R104" s="181"/>
      <c r="S104"/>
      <c r="V104"/>
    </row>
    <row r="105" spans="1:22" x14ac:dyDescent="0.35">
      <c r="B105" s="1439" t="s">
        <v>99</v>
      </c>
      <c r="C105" s="1440"/>
      <c r="D105" s="1441"/>
      <c r="E105" s="599">
        <f>SUM(E99:E104)</f>
        <v>76475</v>
      </c>
    </row>
    <row r="106" spans="1:22" s="106" customFormat="1" x14ac:dyDescent="0.35">
      <c r="B106" s="642"/>
      <c r="C106" s="642"/>
      <c r="D106" s="642"/>
      <c r="E106" s="421"/>
    </row>
    <row r="107" spans="1:22" s="106" customFormat="1" x14ac:dyDescent="0.35">
      <c r="B107" s="642"/>
      <c r="C107" s="642"/>
      <c r="D107" s="642"/>
      <c r="E107" s="421"/>
    </row>
    <row r="108" spans="1:22" s="106" customFormat="1" x14ac:dyDescent="0.35">
      <c r="B108" s="1449"/>
      <c r="C108" s="1449"/>
      <c r="D108" s="1449"/>
      <c r="E108" s="421"/>
    </row>
    <row r="109" spans="1:22" ht="23.5" x14ac:dyDescent="0.35">
      <c r="B109" s="1442" t="s">
        <v>264</v>
      </c>
      <c r="C109" s="1443"/>
      <c r="D109" s="1443"/>
      <c r="E109" s="1444"/>
    </row>
    <row r="110" spans="1:22" x14ac:dyDescent="0.35">
      <c r="B110" s="2" t="s">
        <v>7</v>
      </c>
      <c r="C110" s="270" t="s">
        <v>8</v>
      </c>
      <c r="D110" s="217" t="s">
        <v>4</v>
      </c>
      <c r="E110" s="597" t="s">
        <v>9</v>
      </c>
    </row>
    <row r="111" spans="1:22" x14ac:dyDescent="0.35">
      <c r="B111" s="3" t="s">
        <v>3</v>
      </c>
      <c r="C111" s="258">
        <v>194</v>
      </c>
      <c r="D111" s="227">
        <v>248.6</v>
      </c>
      <c r="E111" s="598">
        <f>C111*D111</f>
        <v>48228.4</v>
      </c>
      <c r="F111" s="202"/>
    </row>
    <row r="112" spans="1:22" x14ac:dyDescent="0.35">
      <c r="B112" s="3" t="s">
        <v>299</v>
      </c>
      <c r="C112" s="258">
        <v>8</v>
      </c>
      <c r="D112" s="227">
        <v>248.6</v>
      </c>
      <c r="E112" s="598">
        <f>C112*D112</f>
        <v>1988.8</v>
      </c>
    </row>
    <row r="113" spans="2:6" x14ac:dyDescent="0.35">
      <c r="B113" s="3" t="s">
        <v>196</v>
      </c>
      <c r="C113" s="258"/>
      <c r="D113" s="227"/>
      <c r="E113" s="598">
        <v>5000</v>
      </c>
    </row>
    <row r="114" spans="2:6" x14ac:dyDescent="0.35">
      <c r="B114" s="3" t="s">
        <v>195</v>
      </c>
      <c r="C114" s="258">
        <v>8</v>
      </c>
      <c r="D114" s="227">
        <f>+D111*1.5</f>
        <v>372.9</v>
      </c>
      <c r="E114" s="598">
        <f>+D114*C114</f>
        <v>2983.2</v>
      </c>
    </row>
    <row r="115" spans="2:6" x14ac:dyDescent="0.35">
      <c r="B115" s="3" t="s">
        <v>6</v>
      </c>
      <c r="C115" s="258"/>
      <c r="D115" s="227"/>
      <c r="E115" s="598">
        <v>8000</v>
      </c>
    </row>
    <row r="116" spans="2:6" x14ac:dyDescent="0.35">
      <c r="B116" s="3" t="s">
        <v>283</v>
      </c>
      <c r="C116" s="258">
        <v>2</v>
      </c>
      <c r="D116" s="227">
        <v>1000</v>
      </c>
      <c r="E116" s="598">
        <f>+C116*D116</f>
        <v>2000</v>
      </c>
    </row>
    <row r="117" spans="2:6" x14ac:dyDescent="0.35">
      <c r="B117" s="1439" t="s">
        <v>99</v>
      </c>
      <c r="C117" s="1440"/>
      <c r="D117" s="1441"/>
      <c r="E117" s="599">
        <f>SUM(E111:E116)</f>
        <v>68200.399999999994</v>
      </c>
    </row>
    <row r="118" spans="2:6" x14ac:dyDescent="0.35">
      <c r="B118" s="1445" t="s">
        <v>19</v>
      </c>
      <c r="C118" s="1392"/>
      <c r="D118" s="1393"/>
      <c r="E118" s="600"/>
    </row>
    <row r="119" spans="2:6" ht="15.5" x14ac:dyDescent="0.35">
      <c r="B119" s="1446" t="s">
        <v>11</v>
      </c>
      <c r="C119" s="1447"/>
      <c r="D119" s="1448"/>
      <c r="E119" s="603">
        <f>+E117+E118</f>
        <v>68200.399999999994</v>
      </c>
    </row>
    <row r="120" spans="2:6" x14ac:dyDescent="0.35">
      <c r="E120" s="203" t="s">
        <v>63</v>
      </c>
    </row>
    <row r="122" spans="2:6" ht="23.5" x14ac:dyDescent="0.35">
      <c r="B122" s="1442" t="s">
        <v>276</v>
      </c>
      <c r="C122" s="1443"/>
      <c r="D122" s="1443"/>
      <c r="E122" s="1444"/>
    </row>
    <row r="123" spans="2:6" ht="14.65" customHeight="1" x14ac:dyDescent="0.35">
      <c r="B123" s="2" t="s">
        <v>7</v>
      </c>
      <c r="C123" s="270" t="s">
        <v>8</v>
      </c>
      <c r="D123" s="217" t="s">
        <v>4</v>
      </c>
      <c r="E123" s="597" t="s">
        <v>9</v>
      </c>
    </row>
    <row r="124" spans="2:6" x14ac:dyDescent="0.35">
      <c r="B124" s="3" t="s">
        <v>21</v>
      </c>
      <c r="C124" s="258">
        <v>114.5</v>
      </c>
      <c r="D124" s="194">
        <v>334.8</v>
      </c>
      <c r="E124" s="598">
        <f>+C124*D124</f>
        <v>38334.6</v>
      </c>
    </row>
    <row r="125" spans="2:6" x14ac:dyDescent="0.35">
      <c r="B125" s="3" t="s">
        <v>303</v>
      </c>
      <c r="C125" s="258"/>
      <c r="D125" s="194" t="s">
        <v>63</v>
      </c>
      <c r="E125" s="609">
        <v>10000</v>
      </c>
      <c r="F125" s="202"/>
    </row>
    <row r="126" spans="2:6" x14ac:dyDescent="0.35">
      <c r="B126" s="615" t="s">
        <v>200</v>
      </c>
      <c r="C126" s="258" t="s">
        <v>63</v>
      </c>
      <c r="D126" s="194" t="s">
        <v>63</v>
      </c>
      <c r="E126" s="194">
        <v>2500</v>
      </c>
    </row>
    <row r="127" spans="2:6" x14ac:dyDescent="0.35">
      <c r="B127" s="615" t="s">
        <v>19</v>
      </c>
      <c r="C127" s="258" t="s">
        <v>63</v>
      </c>
      <c r="D127" s="258" t="s">
        <v>63</v>
      </c>
      <c r="E127" s="194">
        <v>-10000</v>
      </c>
    </row>
    <row r="128" spans="2:6" x14ac:dyDescent="0.35">
      <c r="C128" s="258"/>
      <c r="D128" s="258"/>
    </row>
    <row r="129" spans="2:6" ht="15.5" x14ac:dyDescent="0.35">
      <c r="B129" s="611" t="s">
        <v>11</v>
      </c>
      <c r="C129" s="612"/>
      <c r="D129" s="613"/>
      <c r="E129" s="603">
        <f>+E124+E125+E126+E127</f>
        <v>40834.6</v>
      </c>
    </row>
    <row r="134" spans="2:6" ht="23.15" customHeight="1" x14ac:dyDescent="0.35">
      <c r="B134" s="1442" t="s">
        <v>260</v>
      </c>
      <c r="C134" s="1443"/>
      <c r="D134" s="1443"/>
      <c r="E134" s="1444"/>
    </row>
    <row r="135" spans="2:6" ht="14.65" customHeight="1" x14ac:dyDescent="0.35">
      <c r="B135" s="2" t="s">
        <v>7</v>
      </c>
      <c r="C135" s="270" t="s">
        <v>8</v>
      </c>
      <c r="D135" s="217" t="s">
        <v>4</v>
      </c>
      <c r="E135" s="597" t="s">
        <v>9</v>
      </c>
    </row>
    <row r="136" spans="2:6" x14ac:dyDescent="0.35">
      <c r="B136" s="3" t="s">
        <v>3</v>
      </c>
      <c r="C136" s="258">
        <v>184</v>
      </c>
      <c r="D136" s="194">
        <v>432</v>
      </c>
      <c r="E136" s="598">
        <f>+C136*D136</f>
        <v>79488</v>
      </c>
      <c r="F136" s="202"/>
    </row>
    <row r="137" spans="2:6" x14ac:dyDescent="0.35">
      <c r="B137" s="3"/>
      <c r="C137" s="258"/>
      <c r="D137" s="194"/>
      <c r="E137" s="609"/>
    </row>
    <row r="138" spans="2:6" x14ac:dyDescent="0.35">
      <c r="B138" s="3" t="s">
        <v>270</v>
      </c>
      <c r="C138" s="258">
        <v>16.5</v>
      </c>
      <c r="D138" s="194">
        <f>+D136*1.5</f>
        <v>648</v>
      </c>
      <c r="E138" s="609">
        <f>+C138*D138</f>
        <v>10692</v>
      </c>
    </row>
    <row r="139" spans="2:6" x14ac:dyDescent="0.35">
      <c r="B139" s="614" t="s">
        <v>200</v>
      </c>
      <c r="C139" s="617"/>
      <c r="D139" s="227"/>
      <c r="E139" s="609">
        <v>5000</v>
      </c>
    </row>
    <row r="140" spans="2:6" x14ac:dyDescent="0.35">
      <c r="B140" s="621" t="s">
        <v>99</v>
      </c>
      <c r="C140" s="622"/>
      <c r="D140" s="622"/>
      <c r="E140" s="634">
        <f>SUM(E136:E139)</f>
        <v>95180</v>
      </c>
    </row>
    <row r="141" spans="2:6" x14ac:dyDescent="0.35">
      <c r="B141" s="615" t="s">
        <v>19</v>
      </c>
      <c r="C141" s="619"/>
      <c r="D141" s="619"/>
      <c r="E141" s="659">
        <v>-30020</v>
      </c>
    </row>
    <row r="142" spans="2:6" ht="15.5" x14ac:dyDescent="0.35">
      <c r="B142" s="611" t="s">
        <v>11</v>
      </c>
      <c r="C142" s="612"/>
      <c r="D142" s="613"/>
      <c r="E142" s="603">
        <f>+E140+E141</f>
        <v>65160</v>
      </c>
    </row>
    <row r="151" spans="2:5" ht="23.5" x14ac:dyDescent="0.35">
      <c r="B151" s="1442" t="s">
        <v>301</v>
      </c>
      <c r="C151" s="1443"/>
      <c r="D151" s="1443"/>
      <c r="E151" s="1444"/>
    </row>
    <row r="152" spans="2:5" x14ac:dyDescent="0.35">
      <c r="B152" s="2" t="s">
        <v>7</v>
      </c>
      <c r="C152" s="270" t="s">
        <v>8</v>
      </c>
      <c r="D152" s="217" t="s">
        <v>4</v>
      </c>
      <c r="E152" s="597" t="s">
        <v>9</v>
      </c>
    </row>
    <row r="153" spans="2:5" x14ac:dyDescent="0.35">
      <c r="B153" s="3" t="s">
        <v>3</v>
      </c>
      <c r="C153" s="258">
        <v>194</v>
      </c>
      <c r="D153" s="227">
        <v>245</v>
      </c>
      <c r="E153" s="598">
        <f>+C153*D153</f>
        <v>47530</v>
      </c>
    </row>
    <row r="154" spans="2:5" x14ac:dyDescent="0.35">
      <c r="B154" s="3" t="s">
        <v>299</v>
      </c>
      <c r="C154" s="258">
        <v>8</v>
      </c>
      <c r="D154" s="227">
        <v>245</v>
      </c>
      <c r="E154" s="598">
        <f>+C154*D154</f>
        <v>1960</v>
      </c>
    </row>
    <row r="155" spans="2:5" x14ac:dyDescent="0.35">
      <c r="B155" s="3" t="s">
        <v>200</v>
      </c>
      <c r="C155" s="258"/>
      <c r="D155" s="227"/>
      <c r="E155" s="598">
        <v>5000</v>
      </c>
    </row>
    <row r="156" spans="2:5" x14ac:dyDescent="0.35">
      <c r="B156" s="3" t="s">
        <v>195</v>
      </c>
      <c r="C156" s="258">
        <v>1</v>
      </c>
      <c r="D156" s="194">
        <f>+D153*1.5</f>
        <v>367.5</v>
      </c>
      <c r="E156" s="598">
        <f>+C156*D156</f>
        <v>367.5</v>
      </c>
    </row>
    <row r="157" spans="2:5" x14ac:dyDescent="0.35">
      <c r="B157" s="3" t="s">
        <v>6</v>
      </c>
      <c r="C157" s="258"/>
      <c r="D157" s="194"/>
      <c r="E157" s="598">
        <v>5000</v>
      </c>
    </row>
    <row r="158" spans="2:5" x14ac:dyDescent="0.35">
      <c r="B158" s="3" t="s">
        <v>283</v>
      </c>
      <c r="C158" s="258"/>
      <c r="D158" s="194"/>
      <c r="E158" s="598"/>
    </row>
    <row r="159" spans="2:5" x14ac:dyDescent="0.35">
      <c r="B159" s="3"/>
      <c r="C159" s="258"/>
      <c r="D159" s="194"/>
      <c r="E159" s="598"/>
    </row>
    <row r="160" spans="2:5" x14ac:dyDescent="0.35">
      <c r="B160" s="1439" t="s">
        <v>99</v>
      </c>
      <c r="C160" s="1440"/>
      <c r="D160" s="1441"/>
      <c r="E160" s="599">
        <f>SUM(E153:E158)</f>
        <v>59857.5</v>
      </c>
    </row>
  </sheetData>
  <mergeCells count="32">
    <mergeCell ref="B46:E46"/>
    <mergeCell ref="B2:E2"/>
    <mergeCell ref="B11:D11"/>
    <mergeCell ref="B14:D14"/>
    <mergeCell ref="B17:E17"/>
    <mergeCell ref="B26:D26"/>
    <mergeCell ref="B27:D27"/>
    <mergeCell ref="B29:D29"/>
    <mergeCell ref="B32:E32"/>
    <mergeCell ref="B40:D40"/>
    <mergeCell ref="B41:D41"/>
    <mergeCell ref="B42:D42"/>
    <mergeCell ref="B108:D108"/>
    <mergeCell ref="B55:D55"/>
    <mergeCell ref="B57:D57"/>
    <mergeCell ref="B60:E60"/>
    <mergeCell ref="B69:D69"/>
    <mergeCell ref="B71:D71"/>
    <mergeCell ref="B75:E75"/>
    <mergeCell ref="B83:D83"/>
    <mergeCell ref="B84:D84"/>
    <mergeCell ref="B85:D85"/>
    <mergeCell ref="B97:E97"/>
    <mergeCell ref="B105:D105"/>
    <mergeCell ref="B151:E151"/>
    <mergeCell ref="B160:D160"/>
    <mergeCell ref="B109:E109"/>
    <mergeCell ref="B117:D117"/>
    <mergeCell ref="B118:D118"/>
    <mergeCell ref="B119:D119"/>
    <mergeCell ref="B122:E122"/>
    <mergeCell ref="B134:E134"/>
  </mergeCells>
  <pageMargins left="0.31496062992125984" right="0.11811023622047245" top="0" bottom="0" header="0.31496062992125984" footer="0.31496062992125984"/>
  <pageSetup paperSize="9" fitToWidth="0" orientation="portrait" r:id="rId1"/>
  <colBreaks count="1" manualBreakCount="1">
    <brk id="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68"/>
  <sheetViews>
    <sheetView topLeftCell="A121" workbookViewId="0">
      <selection activeCell="A140" sqref="A140:XFD140"/>
    </sheetView>
  </sheetViews>
  <sheetFormatPr baseColWidth="10" defaultRowHeight="14.5" x14ac:dyDescent="0.35"/>
  <cols>
    <col min="1" max="1" width="4.08984375" customWidth="1"/>
    <col min="2" max="2" width="27.6328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1:21" ht="18" customHeight="1" x14ac:dyDescent="0.35"/>
    <row r="2" spans="1:21" ht="25.5" customHeight="1" x14ac:dyDescent="0.35">
      <c r="B2" s="1431" t="s">
        <v>10</v>
      </c>
      <c r="C2" s="1431"/>
      <c r="D2" s="1431"/>
      <c r="E2" s="1431"/>
    </row>
    <row r="3" spans="1:21" s="660" customFormat="1" ht="18" customHeight="1" x14ac:dyDescent="0.35">
      <c r="A3" s="663"/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1:21" ht="18" customHeight="1" x14ac:dyDescent="0.35">
      <c r="B4" s="3" t="s">
        <v>3</v>
      </c>
      <c r="C4" s="258">
        <v>184</v>
      </c>
      <c r="D4" s="227">
        <v>400</v>
      </c>
      <c r="E4" s="598">
        <f>+C4*D4</f>
        <v>73600</v>
      </c>
      <c r="F4" s="202"/>
      <c r="T4" s="660"/>
    </row>
    <row r="5" spans="1:21" ht="18" customHeight="1" x14ac:dyDescent="0.35">
      <c r="B5" s="3" t="s">
        <v>282</v>
      </c>
      <c r="C5" s="258">
        <v>8</v>
      </c>
      <c r="D5" s="227">
        <f>+D4</f>
        <v>400</v>
      </c>
      <c r="E5" s="598">
        <f>+C5*D5</f>
        <v>3200</v>
      </c>
      <c r="T5" s="202"/>
    </row>
    <row r="6" spans="1:21" ht="18" customHeight="1" x14ac:dyDescent="0.35">
      <c r="B6" s="3" t="s">
        <v>196</v>
      </c>
      <c r="C6" s="258"/>
      <c r="D6" s="227"/>
      <c r="E6" s="598">
        <v>10000</v>
      </c>
    </row>
    <row r="7" spans="1:21" ht="18" customHeight="1" x14ac:dyDescent="0.35">
      <c r="B7" s="3" t="s">
        <v>215</v>
      </c>
      <c r="C7" s="258">
        <v>8.5</v>
      </c>
      <c r="D7" s="194">
        <f>+D4*1.5</f>
        <v>600</v>
      </c>
      <c r="E7" s="598">
        <f>+C7*D7</f>
        <v>5100</v>
      </c>
    </row>
    <row r="8" spans="1:21" ht="18" customHeight="1" x14ac:dyDescent="0.35">
      <c r="B8" s="3" t="s">
        <v>6</v>
      </c>
      <c r="C8" s="258">
        <v>16000</v>
      </c>
      <c r="D8" s="194"/>
      <c r="E8" s="598">
        <f>+C8</f>
        <v>16000</v>
      </c>
      <c r="U8" s="660"/>
    </row>
    <row r="9" spans="1:21" ht="18" customHeight="1" x14ac:dyDescent="0.35">
      <c r="B9" s="3" t="s">
        <v>307</v>
      </c>
      <c r="C9" s="258">
        <v>1</v>
      </c>
      <c r="D9" s="194">
        <v>3000</v>
      </c>
      <c r="E9" s="598">
        <f>+C9*D9</f>
        <v>3000</v>
      </c>
      <c r="F9" s="202"/>
      <c r="U9" s="660"/>
    </row>
    <row r="10" spans="1:21" ht="18" customHeight="1" x14ac:dyDescent="0.35">
      <c r="B10" s="3" t="s">
        <v>283</v>
      </c>
      <c r="C10" s="258">
        <v>1</v>
      </c>
      <c r="D10" s="194">
        <v>1000</v>
      </c>
      <c r="E10" s="598">
        <f>+C10*D10</f>
        <v>1000</v>
      </c>
      <c r="U10" s="660"/>
    </row>
    <row r="11" spans="1:21" ht="18" customHeight="1" x14ac:dyDescent="0.35">
      <c r="B11" s="1432" t="s">
        <v>99</v>
      </c>
      <c r="C11" s="1432"/>
      <c r="D11" s="1432"/>
      <c r="E11" s="599">
        <f>SUM(E4:E10)</f>
        <v>111900</v>
      </c>
      <c r="F11" s="202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660"/>
    </row>
    <row r="12" spans="1:21" ht="18" customHeight="1" x14ac:dyDescent="0.35">
      <c r="B12" s="661" t="s">
        <v>292</v>
      </c>
      <c r="C12" s="661"/>
      <c r="D12" s="661"/>
      <c r="E12" s="600">
        <v>-43576.78</v>
      </c>
      <c r="M12" s="51"/>
      <c r="N12" s="66"/>
      <c r="O12" s="66"/>
      <c r="P12" s="49"/>
      <c r="Q12" s="660"/>
    </row>
    <row r="13" spans="1:21" ht="18" customHeight="1" x14ac:dyDescent="0.35">
      <c r="B13" s="661" t="s">
        <v>304</v>
      </c>
      <c r="C13" s="661"/>
      <c r="D13" s="661"/>
      <c r="E13" s="600">
        <v>-560</v>
      </c>
      <c r="M13" s="51"/>
      <c r="N13" s="66"/>
      <c r="O13" s="66"/>
      <c r="P13" s="49"/>
      <c r="Q13" s="660"/>
    </row>
    <row r="14" spans="1:21" ht="18" customHeight="1" x14ac:dyDescent="0.35">
      <c r="B14" s="1433" t="s">
        <v>11</v>
      </c>
      <c r="C14" s="1433"/>
      <c r="D14" s="1433"/>
      <c r="E14" s="603">
        <f>+E11+E12+E13</f>
        <v>67763.22</v>
      </c>
      <c r="H14" s="321"/>
      <c r="I14" s="321"/>
      <c r="J14" s="321"/>
      <c r="K14" s="473"/>
      <c r="L14" s="321"/>
      <c r="M14" s="321"/>
      <c r="T14" s="660"/>
    </row>
    <row r="15" spans="1:21" ht="18" customHeight="1" x14ac:dyDescent="0.35">
      <c r="B15" s="455"/>
      <c r="C15" s="455"/>
      <c r="D15" s="455"/>
      <c r="E15" s="456"/>
      <c r="H15" s="321"/>
      <c r="I15" s="321"/>
      <c r="J15" s="321"/>
      <c r="K15" s="473"/>
      <c r="L15" s="321"/>
      <c r="M15" s="321"/>
      <c r="T15" s="660"/>
    </row>
    <row r="16" spans="1:21" ht="18" customHeight="1" x14ac:dyDescent="0.35">
      <c r="F16" s="106"/>
      <c r="G16" s="4"/>
      <c r="N16" s="4"/>
      <c r="T16" s="660"/>
    </row>
    <row r="17" spans="1:22" ht="18" customHeight="1" x14ac:dyDescent="0.35">
      <c r="B17" s="1431" t="s">
        <v>15</v>
      </c>
      <c r="C17" s="1431"/>
      <c r="D17" s="1431"/>
      <c r="E17" s="1431"/>
      <c r="F17" s="406"/>
      <c r="K17" s="465"/>
      <c r="L17" s="465"/>
      <c r="M17" s="465"/>
    </row>
    <row r="18" spans="1:22" ht="18" customHeight="1" x14ac:dyDescent="0.35">
      <c r="B18" s="2" t="s">
        <v>7</v>
      </c>
      <c r="C18" s="270" t="s">
        <v>8</v>
      </c>
      <c r="D18" s="217" t="s">
        <v>4</v>
      </c>
      <c r="E18" s="597" t="s">
        <v>9</v>
      </c>
      <c r="F18" s="660"/>
      <c r="K18" s="101"/>
      <c r="L18" s="101"/>
      <c r="M18" s="101"/>
    </row>
    <row r="19" spans="1:22" ht="18" customHeight="1" x14ac:dyDescent="0.35">
      <c r="B19" s="3" t="s">
        <v>3</v>
      </c>
      <c r="C19" s="315">
        <v>184</v>
      </c>
      <c r="D19" s="194">
        <v>660</v>
      </c>
      <c r="E19" s="598">
        <f>+C19*D19</f>
        <v>121440</v>
      </c>
      <c r="F19" s="202"/>
      <c r="K19" s="101"/>
      <c r="L19" s="101"/>
      <c r="M19" s="101"/>
    </row>
    <row r="20" spans="1:22" ht="18" customHeight="1" x14ac:dyDescent="0.35">
      <c r="B20" s="3" t="s">
        <v>299</v>
      </c>
      <c r="C20" s="258">
        <v>8</v>
      </c>
      <c r="D20" s="194">
        <f>+D19</f>
        <v>660</v>
      </c>
      <c r="E20" s="598">
        <f>+C20*D20</f>
        <v>5280</v>
      </c>
      <c r="F20" s="202"/>
      <c r="K20" s="101"/>
      <c r="L20" s="101"/>
      <c r="M20" s="101"/>
    </row>
    <row r="21" spans="1:22" ht="18" customHeight="1" x14ac:dyDescent="0.35">
      <c r="B21" s="3" t="s">
        <v>196</v>
      </c>
      <c r="C21" s="258"/>
      <c r="D21" s="194"/>
      <c r="E21" s="598">
        <v>10000</v>
      </c>
      <c r="F21" s="660"/>
      <c r="H21" s="662"/>
      <c r="N21" s="51"/>
      <c r="O21" s="51"/>
      <c r="P21" s="66"/>
      <c r="Q21" s="49"/>
      <c r="R21" s="49"/>
    </row>
    <row r="22" spans="1:22" ht="18" customHeight="1" x14ac:dyDescent="0.35">
      <c r="B22" s="3" t="s">
        <v>195</v>
      </c>
      <c r="C22" s="315">
        <v>13</v>
      </c>
      <c r="D22" s="194">
        <f>+D20*1.5</f>
        <v>990</v>
      </c>
      <c r="E22" s="598">
        <f>+C22*D22</f>
        <v>12870</v>
      </c>
      <c r="F22" s="202"/>
      <c r="G22" s="4"/>
      <c r="L22" s="180"/>
      <c r="M22" s="184"/>
    </row>
    <row r="23" spans="1:22" s="660" customFormat="1" ht="18" customHeight="1" x14ac:dyDescent="0.35">
      <c r="A23" s="663"/>
      <c r="B23" s="3" t="s">
        <v>6</v>
      </c>
      <c r="C23" s="258"/>
      <c r="D23" s="194"/>
      <c r="E23" s="598">
        <v>20000</v>
      </c>
      <c r="F23"/>
      <c r="G23"/>
      <c r="L23" s="184"/>
      <c r="M23" s="184"/>
      <c r="N23"/>
      <c r="O23"/>
      <c r="P23"/>
      <c r="Q23"/>
      <c r="R23"/>
      <c r="S23"/>
      <c r="V23"/>
    </row>
    <row r="24" spans="1:22" s="660" customFormat="1" ht="18" customHeight="1" x14ac:dyDescent="0.35">
      <c r="A24" s="663"/>
      <c r="B24" s="3" t="s">
        <v>283</v>
      </c>
      <c r="C24" s="258">
        <v>1</v>
      </c>
      <c r="D24" s="194">
        <v>1000</v>
      </c>
      <c r="E24" s="598">
        <f>+C24*D24</f>
        <v>1000</v>
      </c>
      <c r="F24"/>
      <c r="G24"/>
      <c r="L24" s="181"/>
      <c r="M24" s="184"/>
      <c r="N24" s="180"/>
      <c r="O24" s="180"/>
      <c r="P24" s="181"/>
      <c r="Q24" s="181"/>
      <c r="R24" s="181"/>
      <c r="S24"/>
      <c r="V24"/>
    </row>
    <row r="25" spans="1:22" s="660" customFormat="1" ht="18" customHeight="1" x14ac:dyDescent="0.35">
      <c r="A25" s="663"/>
      <c r="B25" s="3" t="s">
        <v>296</v>
      </c>
      <c r="C25" s="258">
        <v>3</v>
      </c>
      <c r="D25" s="194">
        <v>3000</v>
      </c>
      <c r="E25" s="598">
        <f>+C25*D25</f>
        <v>9000</v>
      </c>
      <c r="F25" s="202"/>
      <c r="G25"/>
      <c r="L25" s="181"/>
      <c r="M25" s="184"/>
      <c r="N25" s="180"/>
      <c r="O25" s="180"/>
      <c r="P25" s="181"/>
      <c r="Q25" s="181"/>
      <c r="R25" s="181"/>
      <c r="S25"/>
      <c r="V25"/>
    </row>
    <row r="26" spans="1:22" s="660" customFormat="1" ht="18" customHeight="1" x14ac:dyDescent="0.35">
      <c r="A26" s="663"/>
      <c r="B26" s="1432" t="s">
        <v>99</v>
      </c>
      <c r="C26" s="1432"/>
      <c r="D26" s="1432"/>
      <c r="E26" s="599">
        <f>+E19+E20+E21+E22+E23+E24+E25</f>
        <v>179590</v>
      </c>
      <c r="F26" s="202"/>
      <c r="G26"/>
      <c r="L26" s="181"/>
      <c r="M26" s="184"/>
      <c r="N26" s="180"/>
      <c r="O26" s="180"/>
      <c r="P26" s="181"/>
      <c r="Q26" s="181"/>
      <c r="R26" s="181"/>
      <c r="S26"/>
      <c r="V26"/>
    </row>
    <row r="27" spans="1:22" ht="18" customHeight="1" x14ac:dyDescent="0.35">
      <c r="B27" s="1387" t="s">
        <v>79</v>
      </c>
      <c r="C27" s="1387"/>
      <c r="D27" s="1387"/>
      <c r="E27" s="600">
        <v>-1540</v>
      </c>
      <c r="F27" s="181"/>
      <c r="L27" s="181"/>
      <c r="M27" s="185"/>
      <c r="N27" s="180"/>
      <c r="O27" s="180"/>
      <c r="P27" s="181"/>
      <c r="Q27" s="181"/>
      <c r="R27" s="181"/>
      <c r="S27" s="660"/>
      <c r="U27" s="660"/>
    </row>
    <row r="28" spans="1:22" ht="18" customHeight="1" x14ac:dyDescent="0.35">
      <c r="B28" s="664" t="s">
        <v>304</v>
      </c>
      <c r="C28" s="664"/>
      <c r="D28" s="664"/>
      <c r="E28" s="600">
        <v>-560</v>
      </c>
      <c r="F28" s="181"/>
      <c r="L28" s="181"/>
      <c r="M28" s="185"/>
      <c r="N28" s="180"/>
      <c r="O28" s="180"/>
      <c r="P28" s="181"/>
      <c r="Q28" s="181"/>
      <c r="R28" s="181"/>
      <c r="S28" s="663"/>
      <c r="U28" s="663"/>
    </row>
    <row r="29" spans="1:22" ht="18" customHeight="1" x14ac:dyDescent="0.35">
      <c r="B29" s="661" t="s">
        <v>19</v>
      </c>
      <c r="C29" s="661"/>
      <c r="D29" s="661"/>
      <c r="E29" s="600">
        <v>-15000</v>
      </c>
      <c r="F29" s="181"/>
      <c r="L29" s="181"/>
      <c r="M29" s="185"/>
      <c r="N29" s="180"/>
      <c r="O29" s="180"/>
      <c r="P29" s="181"/>
      <c r="Q29" s="181"/>
      <c r="R29" s="181"/>
      <c r="S29" s="660"/>
      <c r="U29" s="660"/>
    </row>
    <row r="30" spans="1:22" ht="18" customHeight="1" x14ac:dyDescent="0.35">
      <c r="B30" s="1435" t="s">
        <v>11</v>
      </c>
      <c r="C30" s="1435"/>
      <c r="D30" s="1435"/>
      <c r="E30" s="602">
        <f>+E26+E27+E28+E29</f>
        <v>162490</v>
      </c>
      <c r="F30" s="409"/>
      <c r="G30" s="115"/>
      <c r="M30" s="189"/>
      <c r="N30" s="180"/>
      <c r="O30" s="180"/>
      <c r="P30" s="181"/>
      <c r="Q30" s="181"/>
      <c r="R30" s="181"/>
    </row>
    <row r="31" spans="1:22" ht="18" customHeight="1" x14ac:dyDescent="0.35">
      <c r="B31" s="455"/>
      <c r="C31" s="455"/>
      <c r="D31" s="455"/>
      <c r="E31" s="456"/>
      <c r="F31" s="409"/>
      <c r="G31" s="115"/>
      <c r="M31" s="189"/>
      <c r="N31" s="180"/>
      <c r="O31" s="180"/>
      <c r="P31" s="181"/>
      <c r="Q31" s="181"/>
      <c r="R31" s="181"/>
    </row>
    <row r="32" spans="1:22" ht="19.5" customHeight="1" x14ac:dyDescent="0.35">
      <c r="F32" s="409"/>
      <c r="G32" s="115"/>
      <c r="M32" s="185"/>
      <c r="N32" s="181"/>
      <c r="O32" s="181"/>
      <c r="P32" s="181"/>
      <c r="Q32" s="181"/>
    </row>
    <row r="33" spans="1:17" ht="18" customHeight="1" x14ac:dyDescent="0.45">
      <c r="B33" s="1450" t="s">
        <v>265</v>
      </c>
      <c r="C33" s="1451"/>
      <c r="D33" s="1451"/>
      <c r="E33" s="1452"/>
      <c r="F33" s="409"/>
      <c r="G33" s="115"/>
      <c r="M33" s="185"/>
      <c r="N33" s="181"/>
      <c r="O33" s="181"/>
      <c r="P33" s="181"/>
      <c r="Q33" s="181"/>
    </row>
    <row r="34" spans="1:17" ht="18" customHeight="1" x14ac:dyDescent="0.35">
      <c r="B34" s="604" t="s">
        <v>7</v>
      </c>
      <c r="C34" s="605" t="s">
        <v>8</v>
      </c>
      <c r="D34" s="606" t="s">
        <v>4</v>
      </c>
      <c r="E34" s="606" t="s">
        <v>9</v>
      </c>
      <c r="M34" s="185"/>
      <c r="N34" s="181"/>
      <c r="O34" s="181"/>
      <c r="P34" s="184"/>
    </row>
    <row r="35" spans="1:17" ht="18" customHeight="1" x14ac:dyDescent="0.35">
      <c r="B35" s="607" t="s">
        <v>3</v>
      </c>
      <c r="C35" s="267">
        <v>184</v>
      </c>
      <c r="D35" s="211">
        <v>350</v>
      </c>
      <c r="E35" s="211">
        <f>C35*D35</f>
        <v>64400</v>
      </c>
      <c r="M35" s="182"/>
    </row>
    <row r="36" spans="1:17" ht="18" customHeight="1" x14ac:dyDescent="0.35">
      <c r="B36" s="3" t="s">
        <v>299</v>
      </c>
      <c r="C36" s="267">
        <v>8</v>
      </c>
      <c r="D36" s="211">
        <v>350</v>
      </c>
      <c r="E36" s="211">
        <f>+C36*D36</f>
        <v>2800</v>
      </c>
      <c r="F36" s="202"/>
      <c r="I36" s="660"/>
      <c r="J36" s="660"/>
      <c r="K36" s="660"/>
    </row>
    <row r="37" spans="1:17" ht="18" customHeight="1" x14ac:dyDescent="0.35">
      <c r="B37" s="3" t="s">
        <v>196</v>
      </c>
      <c r="C37" s="267"/>
      <c r="D37" s="211"/>
      <c r="E37" s="211">
        <v>10000</v>
      </c>
      <c r="F37" s="202"/>
      <c r="L37" s="660"/>
    </row>
    <row r="38" spans="1:17" ht="18" customHeight="1" x14ac:dyDescent="0.35">
      <c r="B38" s="3" t="s">
        <v>195</v>
      </c>
      <c r="C38" s="267">
        <v>14</v>
      </c>
      <c r="D38" s="211">
        <f>+D35*1.5</f>
        <v>525</v>
      </c>
      <c r="E38" s="211">
        <f>C38*D38</f>
        <v>7350</v>
      </c>
      <c r="F38" s="649"/>
      <c r="G38" s="180"/>
      <c r="H38" s="180"/>
      <c r="I38" s="181"/>
      <c r="J38" s="187"/>
      <c r="K38" s="188"/>
      <c r="L38" s="660"/>
      <c r="O38" s="660"/>
    </row>
    <row r="39" spans="1:17" ht="18" customHeight="1" x14ac:dyDescent="0.35">
      <c r="B39" s="3" t="s">
        <v>6</v>
      </c>
      <c r="C39" s="267">
        <v>11000</v>
      </c>
      <c r="D39" s="211"/>
      <c r="E39" s="211">
        <f>+C39</f>
        <v>11000</v>
      </c>
      <c r="G39" s="180"/>
      <c r="H39" s="180"/>
      <c r="I39" s="181"/>
      <c r="J39" s="181"/>
      <c r="K39" s="184"/>
      <c r="O39" s="660"/>
    </row>
    <row r="40" spans="1:17" ht="18" customHeight="1" x14ac:dyDescent="0.35">
      <c r="B40" s="3"/>
      <c r="C40" s="267"/>
      <c r="D40" s="211"/>
      <c r="E40" s="211"/>
      <c r="G40" s="180"/>
      <c r="H40" s="180"/>
      <c r="I40" s="181"/>
      <c r="J40" s="181"/>
      <c r="K40" s="184"/>
      <c r="O40" s="663"/>
    </row>
    <row r="41" spans="1:17" ht="18" customHeight="1" x14ac:dyDescent="0.35">
      <c r="B41" s="3" t="s">
        <v>283</v>
      </c>
      <c r="C41" s="267">
        <v>2</v>
      </c>
      <c r="D41" s="211">
        <v>1000</v>
      </c>
      <c r="E41" s="211">
        <f>+C41*D41</f>
        <v>2000</v>
      </c>
      <c r="G41" s="180"/>
      <c r="H41" s="180"/>
      <c r="I41" s="181"/>
      <c r="J41" s="181"/>
      <c r="K41" s="184"/>
      <c r="O41" s="660"/>
    </row>
    <row r="42" spans="1:17" s="660" customFormat="1" ht="18" customHeight="1" x14ac:dyDescent="0.35">
      <c r="A42" s="663"/>
      <c r="B42" s="1439" t="s">
        <v>99</v>
      </c>
      <c r="C42" s="1440"/>
      <c r="D42" s="1441"/>
      <c r="E42" s="599">
        <f>SUM(E35:E41)</f>
        <v>97550</v>
      </c>
      <c r="F42"/>
      <c r="G42" s="180"/>
      <c r="H42" s="180"/>
      <c r="I42" s="181"/>
      <c r="J42" s="181"/>
      <c r="K42" s="184"/>
      <c r="L42"/>
      <c r="N42"/>
      <c r="O42"/>
    </row>
    <row r="43" spans="1:17" s="660" customFormat="1" ht="18" customHeight="1" x14ac:dyDescent="0.35">
      <c r="A43" s="663"/>
      <c r="B43" s="1423" t="s">
        <v>19</v>
      </c>
      <c r="C43" s="1400"/>
      <c r="D43" s="1424"/>
      <c r="E43" s="213">
        <v>-20000</v>
      </c>
      <c r="F43"/>
      <c r="G43" s="180"/>
      <c r="H43" s="180"/>
      <c r="I43" s="181"/>
      <c r="J43" s="181"/>
      <c r="K43" s="184"/>
      <c r="L43"/>
      <c r="N43"/>
      <c r="O43"/>
    </row>
    <row r="44" spans="1:17" s="663" customFormat="1" ht="18" customHeight="1" x14ac:dyDescent="0.35">
      <c r="B44" s="1423" t="s">
        <v>304</v>
      </c>
      <c r="C44" s="1400"/>
      <c r="D44" s="1424"/>
      <c r="E44" s="213">
        <v>-560</v>
      </c>
      <c r="F44"/>
      <c r="G44" s="180"/>
      <c r="H44" s="180"/>
      <c r="I44" s="181"/>
      <c r="J44" s="181"/>
      <c r="K44" s="184"/>
      <c r="L44"/>
      <c r="N44"/>
      <c r="O44"/>
    </row>
    <row r="45" spans="1:17" ht="18" customHeight="1" x14ac:dyDescent="0.35">
      <c r="B45" s="1453" t="s">
        <v>11</v>
      </c>
      <c r="C45" s="1454"/>
      <c r="D45" s="1455"/>
      <c r="E45" s="608">
        <f>+E42+E43+E44</f>
        <v>76990</v>
      </c>
      <c r="G45" s="180"/>
      <c r="H45" s="180"/>
      <c r="I45" s="181"/>
      <c r="J45" s="181"/>
      <c r="K45" s="184"/>
    </row>
    <row r="46" spans="1:17" ht="18" customHeight="1" x14ac:dyDescent="0.35">
      <c r="B46" s="594"/>
      <c r="C46" s="594"/>
      <c r="D46" s="594"/>
      <c r="E46" s="595"/>
      <c r="G46" s="180"/>
      <c r="H46" s="180"/>
      <c r="I46" s="181"/>
      <c r="J46" s="181"/>
      <c r="K46" s="184"/>
    </row>
    <row r="47" spans="1:17" ht="18" customHeight="1" x14ac:dyDescent="0.35">
      <c r="B47" s="594"/>
      <c r="C47" s="594"/>
      <c r="D47" s="594"/>
      <c r="E47" s="595"/>
      <c r="G47" s="180"/>
      <c r="H47" s="180"/>
      <c r="I47" s="181"/>
      <c r="J47" s="181"/>
      <c r="K47" s="184"/>
    </row>
    <row r="48" spans="1:17" ht="18" customHeight="1" x14ac:dyDescent="0.35">
      <c r="B48" s="594"/>
      <c r="C48" s="594"/>
      <c r="D48" s="594"/>
      <c r="E48" s="595"/>
      <c r="G48" s="180"/>
      <c r="H48" s="180"/>
      <c r="I48" s="181"/>
      <c r="J48" s="181"/>
      <c r="K48" s="184"/>
    </row>
    <row r="49" spans="1:22" ht="15" customHeight="1" x14ac:dyDescent="0.35">
      <c r="B49" s="1431" t="s">
        <v>0</v>
      </c>
      <c r="C49" s="1431"/>
      <c r="D49" s="1431"/>
      <c r="E49" s="1431"/>
      <c r="G49" s="180"/>
      <c r="H49" s="180"/>
      <c r="I49" s="181"/>
      <c r="J49" s="181"/>
      <c r="K49" s="184"/>
      <c r="L49" s="660"/>
    </row>
    <row r="50" spans="1:22" ht="15" customHeight="1" x14ac:dyDescent="0.35">
      <c r="B50" s="2" t="s">
        <v>7</v>
      </c>
      <c r="C50" s="270" t="s">
        <v>8</v>
      </c>
      <c r="D50" s="217" t="s">
        <v>4</v>
      </c>
      <c r="E50" s="597" t="s">
        <v>9</v>
      </c>
      <c r="G50" s="180"/>
      <c r="H50" s="180"/>
      <c r="I50" s="181"/>
      <c r="J50" s="181"/>
      <c r="K50" s="184"/>
      <c r="L50" s="660"/>
    </row>
    <row r="51" spans="1:22" ht="15" customHeight="1" x14ac:dyDescent="0.35">
      <c r="B51" s="3" t="s">
        <v>253</v>
      </c>
      <c r="C51" s="258">
        <v>184</v>
      </c>
      <c r="D51" s="194">
        <v>500</v>
      </c>
      <c r="E51" s="598">
        <f>C51*D51</f>
        <v>92000</v>
      </c>
      <c r="F51" s="202"/>
      <c r="G51" s="180"/>
      <c r="H51" s="180"/>
      <c r="I51" s="181"/>
      <c r="J51" s="181"/>
      <c r="K51" s="184"/>
    </row>
    <row r="52" spans="1:22" ht="15" customHeight="1" x14ac:dyDescent="0.35">
      <c r="B52" s="3" t="s">
        <v>299</v>
      </c>
      <c r="C52" s="258">
        <v>8</v>
      </c>
      <c r="D52" s="194">
        <f>+D51</f>
        <v>500</v>
      </c>
      <c r="E52" s="598">
        <f>C52*D52</f>
        <v>4000</v>
      </c>
      <c r="F52" s="202"/>
      <c r="G52" s="180"/>
      <c r="H52" s="180"/>
      <c r="I52" s="181"/>
      <c r="J52" s="181"/>
      <c r="K52" s="184"/>
    </row>
    <row r="53" spans="1:22" ht="15" customHeight="1" x14ac:dyDescent="0.35">
      <c r="B53" s="3" t="s">
        <v>196</v>
      </c>
      <c r="C53" s="258"/>
      <c r="D53" s="194"/>
      <c r="E53" s="598">
        <v>10000</v>
      </c>
      <c r="F53" s="660"/>
      <c r="M53" s="176"/>
      <c r="N53" s="180"/>
      <c r="O53" s="180"/>
      <c r="P53" s="181"/>
      <c r="Q53" s="181"/>
      <c r="R53" s="184"/>
    </row>
    <row r="54" spans="1:22" ht="15" customHeight="1" x14ac:dyDescent="0.35">
      <c r="B54" s="3" t="s">
        <v>195</v>
      </c>
      <c r="C54" s="315">
        <v>6.5</v>
      </c>
      <c r="D54" s="194">
        <f>+D52*1.5</f>
        <v>750</v>
      </c>
      <c r="E54" s="598">
        <f>+C54*D54</f>
        <v>4875</v>
      </c>
      <c r="M54" s="176"/>
      <c r="N54" s="176"/>
      <c r="O54" s="176"/>
      <c r="P54" s="181"/>
      <c r="Q54" s="181"/>
      <c r="R54" s="184"/>
      <c r="T54" s="660"/>
    </row>
    <row r="55" spans="1:22" s="660" customFormat="1" ht="15" customHeight="1" x14ac:dyDescent="0.35">
      <c r="A55" s="663"/>
      <c r="B55" s="3" t="s">
        <v>6</v>
      </c>
      <c r="C55" s="258">
        <v>16500</v>
      </c>
      <c r="D55" s="194"/>
      <c r="E55" s="598">
        <f>+C55</f>
        <v>16500</v>
      </c>
      <c r="F55"/>
      <c r="G55"/>
      <c r="H55"/>
      <c r="I55"/>
      <c r="J55"/>
      <c r="K55"/>
      <c r="L55"/>
      <c r="M55" s="176"/>
      <c r="N55" s="176"/>
      <c r="O55" s="176"/>
      <c r="P55" s="176"/>
      <c r="Q55" s="176"/>
      <c r="R55" s="176"/>
      <c r="S55"/>
      <c r="T55"/>
      <c r="U55"/>
      <c r="V55"/>
    </row>
    <row r="56" spans="1:22" s="660" customFormat="1" ht="15" customHeight="1" x14ac:dyDescent="0.35">
      <c r="A56" s="663"/>
      <c r="B56" s="3" t="s">
        <v>283</v>
      </c>
      <c r="C56" s="258">
        <v>1</v>
      </c>
      <c r="D56" s="194">
        <v>1000</v>
      </c>
      <c r="E56" s="598">
        <f>+C56*D56</f>
        <v>1000</v>
      </c>
      <c r="F56"/>
      <c r="G56"/>
      <c r="H56"/>
      <c r="I56"/>
      <c r="J56"/>
      <c r="K56"/>
      <c r="L56"/>
      <c r="M56" s="176"/>
      <c r="N56" s="176"/>
      <c r="O56" s="176"/>
      <c r="P56" s="176"/>
      <c r="Q56" s="176"/>
      <c r="R56" s="176"/>
      <c r="S56"/>
      <c r="T56"/>
      <c r="U56"/>
      <c r="V56"/>
    </row>
    <row r="57" spans="1:22" s="660" customFormat="1" ht="15" customHeight="1" x14ac:dyDescent="0.35">
      <c r="A57" s="663"/>
      <c r="B57" s="3" t="s">
        <v>300</v>
      </c>
      <c r="C57" s="258">
        <v>2</v>
      </c>
      <c r="D57" s="194">
        <v>3000</v>
      </c>
      <c r="E57" s="598">
        <f>+C57*D57</f>
        <v>6000</v>
      </c>
      <c r="F57" s="202"/>
      <c r="G57"/>
      <c r="H57"/>
      <c r="I57"/>
      <c r="J57"/>
      <c r="K57"/>
      <c r="L57"/>
      <c r="M57" s="176"/>
      <c r="N57" s="176"/>
      <c r="O57" s="176"/>
      <c r="P57" s="176"/>
      <c r="Q57" s="176"/>
      <c r="R57" s="176"/>
      <c r="S57"/>
      <c r="T57"/>
      <c r="U57"/>
      <c r="V57"/>
    </row>
    <row r="58" spans="1:22" ht="15" customHeight="1" x14ac:dyDescent="0.35">
      <c r="B58" s="1432" t="s">
        <v>99</v>
      </c>
      <c r="C58" s="1432"/>
      <c r="D58" s="1432"/>
      <c r="E58" s="599">
        <f>SUM(E51:E57)</f>
        <v>134375</v>
      </c>
      <c r="F58" s="202"/>
      <c r="N58" s="183"/>
      <c r="O58" s="183"/>
      <c r="P58" s="176"/>
      <c r="Q58" s="176"/>
      <c r="R58" s="176"/>
      <c r="T58" s="660"/>
    </row>
    <row r="59" spans="1:22" s="660" customFormat="1" ht="15" customHeight="1" x14ac:dyDescent="0.35">
      <c r="A59" s="663"/>
      <c r="B59" s="3" t="s">
        <v>293</v>
      </c>
      <c r="C59" s="258"/>
      <c r="D59" s="194"/>
      <c r="E59" s="598">
        <v>-44416.71</v>
      </c>
      <c r="F59" s="202"/>
      <c r="G59"/>
      <c r="H59"/>
      <c r="I59"/>
      <c r="J59"/>
      <c r="K59"/>
      <c r="L59"/>
      <c r="M59" s="176"/>
      <c r="N59" s="176"/>
      <c r="O59" s="176"/>
      <c r="P59" s="176"/>
      <c r="Q59" s="176"/>
      <c r="R59" s="176"/>
      <c r="S59"/>
      <c r="T59"/>
      <c r="U59"/>
      <c r="V59"/>
    </row>
    <row r="60" spans="1:22" s="663" customFormat="1" ht="15" customHeight="1" x14ac:dyDescent="0.35">
      <c r="B60" s="3" t="s">
        <v>304</v>
      </c>
      <c r="C60" s="458"/>
      <c r="D60" s="194"/>
      <c r="E60" s="598">
        <v>-560</v>
      </c>
      <c r="F60"/>
      <c r="G60"/>
      <c r="H60"/>
      <c r="I60"/>
      <c r="J60"/>
      <c r="K60"/>
      <c r="L60"/>
      <c r="M60" s="176"/>
      <c r="N60" s="176"/>
      <c r="O60" s="176"/>
      <c r="P60" s="176"/>
      <c r="Q60" s="176"/>
      <c r="R60" s="176"/>
      <c r="S60"/>
      <c r="T60"/>
      <c r="U60"/>
      <c r="V60"/>
    </row>
    <row r="61" spans="1:22" s="690" customFormat="1" ht="15" customHeight="1" x14ac:dyDescent="0.35">
      <c r="B61" s="672"/>
      <c r="C61" s="673" t="s">
        <v>11</v>
      </c>
      <c r="D61" s="674"/>
      <c r="E61" s="675">
        <f>+E58+E59+E60</f>
        <v>89398.290000000008</v>
      </c>
      <c r="F61" s="671"/>
      <c r="G61" s="671"/>
      <c r="H61" s="671"/>
      <c r="I61" s="671"/>
      <c r="J61" s="671"/>
      <c r="K61" s="671"/>
      <c r="L61" s="671"/>
      <c r="M61" s="691"/>
      <c r="N61" s="691"/>
      <c r="O61" s="691"/>
      <c r="P61" s="691"/>
      <c r="Q61" s="691"/>
      <c r="R61" s="691"/>
      <c r="S61" s="671"/>
      <c r="T61" s="671"/>
      <c r="U61" s="671"/>
      <c r="V61" s="671"/>
    </row>
    <row r="62" spans="1:22" s="660" customFormat="1" ht="15" customHeight="1" x14ac:dyDescent="0.35">
      <c r="A62" s="663"/>
      <c r="B62" s="455"/>
      <c r="C62" s="455"/>
      <c r="D62" s="455"/>
      <c r="E62" s="456"/>
      <c r="F62"/>
      <c r="G62"/>
      <c r="H62"/>
      <c r="I62"/>
      <c r="J62"/>
      <c r="K62"/>
      <c r="L62"/>
      <c r="M62"/>
      <c r="N62" s="176"/>
      <c r="O62" s="176"/>
      <c r="P62" s="176"/>
      <c r="Q62" s="176"/>
      <c r="R62" s="176"/>
      <c r="S62"/>
      <c r="U62"/>
    </row>
    <row r="63" spans="1:22" s="660" customFormat="1" ht="15" customHeight="1" x14ac:dyDescent="0.35">
      <c r="A63" s="663"/>
      <c r="B63" s="455"/>
      <c r="C63" s="455"/>
      <c r="D63" s="455"/>
      <c r="E63" s="456"/>
      <c r="F63"/>
      <c r="G63"/>
      <c r="H63"/>
      <c r="I63"/>
      <c r="J63"/>
      <c r="K63"/>
      <c r="L63"/>
      <c r="M63"/>
      <c r="N63" s="176"/>
      <c r="O63" s="176"/>
      <c r="P63" s="176"/>
      <c r="Q63" s="176"/>
      <c r="R63" s="176"/>
      <c r="S63"/>
      <c r="U63"/>
    </row>
    <row r="64" spans="1:22" ht="15" customHeight="1" x14ac:dyDescent="0.35">
      <c r="B64" s="1431" t="s">
        <v>28</v>
      </c>
      <c r="C64" s="1431"/>
      <c r="D64" s="1431"/>
      <c r="E64" s="1431"/>
      <c r="N64" s="176"/>
      <c r="O64" s="176"/>
      <c r="P64" s="176"/>
      <c r="Q64" s="176"/>
      <c r="R64" s="176"/>
    </row>
    <row r="65" spans="2:22" ht="15" customHeight="1" x14ac:dyDescent="0.35">
      <c r="B65" s="2" t="s">
        <v>7</v>
      </c>
      <c r="C65" s="270" t="s">
        <v>8</v>
      </c>
      <c r="D65" s="217" t="s">
        <v>4</v>
      </c>
      <c r="E65" s="597" t="s">
        <v>9</v>
      </c>
      <c r="N65" s="176"/>
      <c r="O65" s="176"/>
      <c r="P65" s="176"/>
      <c r="Q65" s="176"/>
      <c r="R65" s="176"/>
    </row>
    <row r="66" spans="2:22" ht="15" customHeight="1" x14ac:dyDescent="0.35">
      <c r="B66" s="3" t="s">
        <v>3</v>
      </c>
      <c r="C66" s="315">
        <v>184</v>
      </c>
      <c r="D66" s="194">
        <v>500</v>
      </c>
      <c r="E66" s="598">
        <f>+C66*D66</f>
        <v>92000</v>
      </c>
      <c r="N66" s="176"/>
      <c r="O66" s="176"/>
      <c r="P66" s="176"/>
      <c r="Q66" s="176"/>
      <c r="R66" s="176"/>
    </row>
    <row r="67" spans="2:22" ht="15" customHeight="1" x14ac:dyDescent="0.35">
      <c r="B67" s="3" t="s">
        <v>299</v>
      </c>
      <c r="C67" s="315">
        <v>8</v>
      </c>
      <c r="D67" s="194">
        <f>+D66</f>
        <v>500</v>
      </c>
      <c r="E67" s="598">
        <f>+C67*D67</f>
        <v>4000</v>
      </c>
      <c r="F67" s="202"/>
      <c r="N67" s="176"/>
      <c r="O67" s="176"/>
      <c r="P67" s="176"/>
      <c r="Q67" s="176"/>
      <c r="R67" s="176"/>
    </row>
    <row r="68" spans="2:22" ht="15" customHeight="1" x14ac:dyDescent="0.35">
      <c r="B68" s="3"/>
      <c r="C68" s="315"/>
      <c r="D68" s="194"/>
      <c r="E68" s="598"/>
      <c r="F68" s="202"/>
      <c r="N68" s="176"/>
      <c r="O68" s="176"/>
      <c r="P68" s="176"/>
      <c r="Q68" s="176"/>
      <c r="R68" s="176"/>
    </row>
    <row r="69" spans="2:22" ht="15" customHeight="1" x14ac:dyDescent="0.35">
      <c r="B69" s="3" t="s">
        <v>195</v>
      </c>
      <c r="C69" s="315">
        <v>11</v>
      </c>
      <c r="D69" s="194">
        <f>+D66*1.5</f>
        <v>750</v>
      </c>
      <c r="E69" s="598">
        <f>+D69*C69</f>
        <v>8250</v>
      </c>
      <c r="N69" s="176"/>
      <c r="O69" s="176"/>
      <c r="P69" s="176"/>
      <c r="Q69" s="176"/>
      <c r="R69" s="176"/>
    </row>
    <row r="70" spans="2:22" ht="15" customHeight="1" x14ac:dyDescent="0.35">
      <c r="B70" s="3" t="s">
        <v>6</v>
      </c>
      <c r="C70" s="315">
        <v>16000</v>
      </c>
      <c r="D70" s="194"/>
      <c r="E70" s="598">
        <f>+C70</f>
        <v>16000</v>
      </c>
      <c r="N70" s="176"/>
      <c r="O70" s="176"/>
      <c r="P70" s="176"/>
      <c r="Q70" s="176"/>
      <c r="R70" s="176"/>
    </row>
    <row r="71" spans="2:22" ht="15" customHeight="1" x14ac:dyDescent="0.35">
      <c r="B71" s="3" t="s">
        <v>283</v>
      </c>
      <c r="C71" s="315">
        <v>1</v>
      </c>
      <c r="D71" s="194">
        <v>1000</v>
      </c>
      <c r="E71" s="598">
        <f>+C71*D71</f>
        <v>1000</v>
      </c>
      <c r="N71" s="176"/>
      <c r="O71" s="176"/>
      <c r="P71" s="176"/>
      <c r="Q71" s="176"/>
      <c r="R71" s="176"/>
    </row>
    <row r="72" spans="2:22" ht="15" customHeight="1" x14ac:dyDescent="0.35">
      <c r="B72" s="3" t="s">
        <v>300</v>
      </c>
      <c r="C72" s="315">
        <v>1</v>
      </c>
      <c r="D72" s="194">
        <v>3000</v>
      </c>
      <c r="E72" s="598">
        <f>+C72*D72</f>
        <v>3000</v>
      </c>
      <c r="N72" s="176"/>
      <c r="O72" s="176"/>
      <c r="P72" s="176"/>
      <c r="Q72" s="176"/>
      <c r="R72" s="176"/>
    </row>
    <row r="73" spans="2:22" ht="15" customHeight="1" x14ac:dyDescent="0.35">
      <c r="B73" s="1432" t="s">
        <v>99</v>
      </c>
      <c r="C73" s="1432"/>
      <c r="D73" s="1432"/>
      <c r="E73" s="599">
        <f>+E66+E67+E69+E70+E71+E72</f>
        <v>124250</v>
      </c>
      <c r="F73" s="202"/>
      <c r="V73" s="660"/>
    </row>
    <row r="74" spans="2:22" ht="15" customHeight="1" x14ac:dyDescent="0.35">
      <c r="B74" s="661" t="s">
        <v>293</v>
      </c>
      <c r="C74" s="661"/>
      <c r="D74" s="661"/>
      <c r="E74" s="600">
        <v>-41996.9</v>
      </c>
    </row>
    <row r="75" spans="2:22" ht="15" customHeight="1" x14ac:dyDescent="0.35">
      <c r="B75" s="664" t="s">
        <v>19</v>
      </c>
      <c r="C75" s="683"/>
      <c r="D75" s="664"/>
      <c r="E75" s="600">
        <v>-20000</v>
      </c>
    </row>
    <row r="76" spans="2:22" ht="15" customHeight="1" x14ac:dyDescent="0.35">
      <c r="B76" s="684"/>
      <c r="C76" s="685" t="s">
        <v>11</v>
      </c>
      <c r="D76" s="686"/>
      <c r="E76" s="687">
        <f>+E73+E74+E75</f>
        <v>62253.100000000006</v>
      </c>
    </row>
    <row r="77" spans="2:22" ht="15" customHeight="1" x14ac:dyDescent="0.35">
      <c r="B77" s="455"/>
      <c r="C77" s="455"/>
      <c r="D77" s="455"/>
      <c r="E77" s="456"/>
      <c r="V77" s="660"/>
    </row>
    <row r="79" spans="2:22" ht="23.5" x14ac:dyDescent="0.35">
      <c r="B79" s="1442" t="s">
        <v>263</v>
      </c>
      <c r="C79" s="1443"/>
      <c r="D79" s="1443"/>
      <c r="E79" s="1444"/>
    </row>
    <row r="80" spans="2:22" x14ac:dyDescent="0.35">
      <c r="B80" s="2" t="s">
        <v>7</v>
      </c>
      <c r="C80" s="270" t="s">
        <v>8</v>
      </c>
      <c r="D80" s="217" t="s">
        <v>4</v>
      </c>
      <c r="E80" s="597" t="s">
        <v>9</v>
      </c>
    </row>
    <row r="81" spans="2:6" x14ac:dyDescent="0.35">
      <c r="B81" s="3" t="s">
        <v>3</v>
      </c>
      <c r="C81" s="258">
        <v>184</v>
      </c>
      <c r="D81" s="227">
        <v>295</v>
      </c>
      <c r="E81" s="598">
        <f>+C81*D81</f>
        <v>54280</v>
      </c>
    </row>
    <row r="82" spans="2:6" x14ac:dyDescent="0.35">
      <c r="B82" s="3" t="s">
        <v>299</v>
      </c>
      <c r="C82" s="258">
        <v>8</v>
      </c>
      <c r="D82" s="227">
        <v>295</v>
      </c>
      <c r="E82" s="598">
        <f>+C82*D82</f>
        <v>2360</v>
      </c>
    </row>
    <row r="83" spans="2:6" x14ac:dyDescent="0.35">
      <c r="B83" s="3" t="s">
        <v>266</v>
      </c>
      <c r="C83" s="258"/>
      <c r="D83" s="227"/>
      <c r="E83" s="598">
        <v>5000</v>
      </c>
    </row>
    <row r="84" spans="2:6" x14ac:dyDescent="0.35">
      <c r="B84" s="3" t="s">
        <v>195</v>
      </c>
      <c r="C84" s="258">
        <v>17.5</v>
      </c>
      <c r="D84" s="194">
        <f>+D81*1.5</f>
        <v>442.5</v>
      </c>
      <c r="E84" s="598">
        <f>+C84*D84</f>
        <v>7743.75</v>
      </c>
    </row>
    <row r="85" spans="2:6" x14ac:dyDescent="0.35">
      <c r="B85" s="3" t="s">
        <v>6</v>
      </c>
      <c r="C85" s="258"/>
      <c r="D85" s="194"/>
      <c r="E85" s="598">
        <v>11000</v>
      </c>
    </row>
    <row r="86" spans="2:6" x14ac:dyDescent="0.35">
      <c r="B86" s="3" t="s">
        <v>283</v>
      </c>
      <c r="C86" s="258">
        <v>3</v>
      </c>
      <c r="D86" s="194">
        <v>1000</v>
      </c>
      <c r="E86" s="598">
        <f>+C86*D86</f>
        <v>3000</v>
      </c>
    </row>
    <row r="87" spans="2:6" x14ac:dyDescent="0.35">
      <c r="B87" s="1439" t="s">
        <v>99</v>
      </c>
      <c r="C87" s="1440"/>
      <c r="D87" s="1441"/>
      <c r="E87" s="599">
        <f>SUM(E81:E86)</f>
        <v>83383.75</v>
      </c>
    </row>
    <row r="88" spans="2:6" x14ac:dyDescent="0.35">
      <c r="B88" s="676" t="s">
        <v>304</v>
      </c>
      <c r="C88" s="678"/>
      <c r="D88" s="676"/>
      <c r="E88" s="677">
        <v>-560</v>
      </c>
    </row>
    <row r="89" spans="2:6" x14ac:dyDescent="0.35">
      <c r="B89" s="667"/>
      <c r="C89" s="668" t="s">
        <v>11</v>
      </c>
      <c r="D89" s="669"/>
      <c r="E89" s="599">
        <f>+E87+E88</f>
        <v>82823.75</v>
      </c>
    </row>
    <row r="91" spans="2:6" ht="23.15" customHeight="1" x14ac:dyDescent="0.35"/>
    <row r="92" spans="2:6" ht="14.65" customHeight="1" x14ac:dyDescent="0.35"/>
    <row r="93" spans="2:6" ht="14.65" customHeight="1" x14ac:dyDescent="0.35"/>
    <row r="94" spans="2:6" ht="14.65" customHeight="1" x14ac:dyDescent="0.35"/>
    <row r="95" spans="2:6" ht="14.65" customHeight="1" x14ac:dyDescent="0.35"/>
    <row r="96" spans="2:6" x14ac:dyDescent="0.35">
      <c r="F96" s="202"/>
    </row>
    <row r="97" spans="1:22" ht="14.65" customHeight="1" x14ac:dyDescent="0.35"/>
    <row r="98" spans="1:22" s="660" customFormat="1" ht="14.65" customHeight="1" x14ac:dyDescent="0.35">
      <c r="A98" s="663"/>
      <c r="F98"/>
      <c r="G98"/>
      <c r="H98" s="181"/>
      <c r="I98" s="181"/>
      <c r="J98" s="181"/>
      <c r="K98" s="181"/>
      <c r="L98" s="181"/>
      <c r="M98" s="184"/>
      <c r="N98" s="180"/>
      <c r="O98" s="180"/>
      <c r="P98" s="181"/>
      <c r="Q98" s="181"/>
      <c r="R98" s="181"/>
      <c r="S98"/>
      <c r="V98"/>
    </row>
    <row r="100" spans="1:22" s="106" customFormat="1" x14ac:dyDescent="0.35"/>
    <row r="101" spans="1:22" s="679" customFormat="1" x14ac:dyDescent="0.35"/>
    <row r="102" spans="1:22" s="679" customFormat="1" x14ac:dyDescent="0.35">
      <c r="B102" s="689"/>
      <c r="C102" s="689"/>
      <c r="D102" s="689"/>
      <c r="E102" s="688"/>
    </row>
    <row r="103" spans="1:22" s="679" customFormat="1" x14ac:dyDescent="0.35">
      <c r="B103" s="689"/>
      <c r="C103" s="689"/>
      <c r="D103" s="689"/>
      <c r="E103" s="688"/>
    </row>
    <row r="104" spans="1:22" s="679" customFormat="1" x14ac:dyDescent="0.35">
      <c r="B104" s="689"/>
      <c r="C104" s="689"/>
      <c r="D104" s="689"/>
      <c r="E104" s="688"/>
    </row>
    <row r="105" spans="1:22" s="106" customFormat="1" x14ac:dyDescent="0.35">
      <c r="B105" s="1434"/>
      <c r="C105" s="1434"/>
      <c r="D105" s="1434"/>
      <c r="E105" s="421"/>
    </row>
    <row r="106" spans="1:22" ht="23.5" x14ac:dyDescent="0.35">
      <c r="B106" s="1442" t="s">
        <v>264</v>
      </c>
      <c r="C106" s="1443"/>
      <c r="D106" s="1443"/>
      <c r="E106" s="1444"/>
    </row>
    <row r="107" spans="1:22" x14ac:dyDescent="0.35">
      <c r="B107" s="2" t="s">
        <v>7</v>
      </c>
      <c r="C107" s="270" t="s">
        <v>8</v>
      </c>
      <c r="D107" s="217" t="s">
        <v>4</v>
      </c>
      <c r="E107" s="597" t="s">
        <v>9</v>
      </c>
    </row>
    <row r="108" spans="1:22" x14ac:dyDescent="0.35">
      <c r="B108" s="3" t="s">
        <v>3</v>
      </c>
      <c r="C108" s="258">
        <v>184</v>
      </c>
      <c r="D108" s="227">
        <v>248.6</v>
      </c>
      <c r="E108" s="598">
        <f>C108*D108</f>
        <v>45742.400000000001</v>
      </c>
      <c r="F108" s="202"/>
    </row>
    <row r="109" spans="1:22" x14ac:dyDescent="0.35">
      <c r="B109" s="3" t="s">
        <v>299</v>
      </c>
      <c r="C109" s="258">
        <v>8</v>
      </c>
      <c r="D109" s="227">
        <v>248.6</v>
      </c>
      <c r="E109" s="598">
        <f>C109*D109</f>
        <v>1988.8</v>
      </c>
    </row>
    <row r="110" spans="1:22" x14ac:dyDescent="0.35">
      <c r="B110" s="3" t="s">
        <v>196</v>
      </c>
      <c r="C110" s="258"/>
      <c r="D110" s="227"/>
      <c r="E110" s="598">
        <v>5000</v>
      </c>
    </row>
    <row r="111" spans="1:22" x14ac:dyDescent="0.35">
      <c r="B111" s="3" t="s">
        <v>195</v>
      </c>
      <c r="C111" s="258">
        <v>11.5</v>
      </c>
      <c r="D111" s="227">
        <f>+D108*1.5</f>
        <v>372.9</v>
      </c>
      <c r="E111" s="598">
        <f>+D111*C111</f>
        <v>4288.3499999999995</v>
      </c>
    </row>
    <row r="112" spans="1:22" x14ac:dyDescent="0.35">
      <c r="B112" s="3" t="s">
        <v>6</v>
      </c>
      <c r="C112" s="258"/>
      <c r="D112" s="227"/>
      <c r="E112" s="598">
        <v>8000</v>
      </c>
    </row>
    <row r="113" spans="2:6" x14ac:dyDescent="0.35">
      <c r="B113" s="3" t="s">
        <v>283</v>
      </c>
      <c r="C113" s="258">
        <v>2</v>
      </c>
      <c r="D113" s="227">
        <v>1000</v>
      </c>
      <c r="E113" s="598">
        <f>+C113*D113</f>
        <v>2000</v>
      </c>
    </row>
    <row r="114" spans="2:6" x14ac:dyDescent="0.35">
      <c r="B114" s="3"/>
      <c r="C114" s="258"/>
      <c r="D114" s="227"/>
      <c r="E114" s="598"/>
    </row>
    <row r="115" spans="2:6" x14ac:dyDescent="0.35">
      <c r="B115" s="1439" t="s">
        <v>99</v>
      </c>
      <c r="C115" s="1440"/>
      <c r="D115" s="1441"/>
      <c r="E115" s="599">
        <f>SUM(E108:E113)</f>
        <v>67019.55</v>
      </c>
    </row>
    <row r="116" spans="2:6" x14ac:dyDescent="0.35">
      <c r="B116" s="1445" t="s">
        <v>19</v>
      </c>
      <c r="C116" s="1392"/>
      <c r="D116" s="1393"/>
      <c r="E116" s="600">
        <v>-20000</v>
      </c>
    </row>
    <row r="117" spans="2:6" x14ac:dyDescent="0.35">
      <c r="B117" s="670" t="s">
        <v>304</v>
      </c>
      <c r="C117" s="665"/>
      <c r="D117" s="666"/>
      <c r="E117" s="600">
        <v>-560</v>
      </c>
    </row>
    <row r="118" spans="2:6" x14ac:dyDescent="0.35">
      <c r="B118" s="670"/>
      <c r="C118" s="665"/>
      <c r="D118" s="666"/>
      <c r="E118" s="600"/>
    </row>
    <row r="119" spans="2:6" ht="15.5" x14ac:dyDescent="0.35">
      <c r="B119" s="1446" t="s">
        <v>11</v>
      </c>
      <c r="C119" s="1447"/>
      <c r="D119" s="1448"/>
      <c r="E119" s="603">
        <f>+E115+E116+E117</f>
        <v>46459.55</v>
      </c>
    </row>
    <row r="120" spans="2:6" x14ac:dyDescent="0.35">
      <c r="E120" s="203" t="s">
        <v>63</v>
      </c>
    </row>
    <row r="123" spans="2:6" ht="23.5" x14ac:dyDescent="0.35">
      <c r="B123" s="1442" t="s">
        <v>276</v>
      </c>
      <c r="C123" s="1443"/>
      <c r="D123" s="1443"/>
      <c r="E123" s="1444"/>
    </row>
    <row r="124" spans="2:6" ht="14.65" customHeight="1" x14ac:dyDescent="0.35">
      <c r="B124" s="2" t="s">
        <v>7</v>
      </c>
      <c r="C124" s="270" t="s">
        <v>8</v>
      </c>
      <c r="D124" s="217" t="s">
        <v>4</v>
      </c>
      <c r="E124" s="597" t="s">
        <v>9</v>
      </c>
    </row>
    <row r="125" spans="2:6" x14ac:dyDescent="0.35">
      <c r="B125" s="3" t="s">
        <v>21</v>
      </c>
      <c r="C125" s="258">
        <v>110</v>
      </c>
      <c r="D125" s="194">
        <v>334.8</v>
      </c>
      <c r="E125" s="598">
        <f>+C125*D125</f>
        <v>36828</v>
      </c>
    </row>
    <row r="126" spans="2:6" x14ac:dyDescent="0.35">
      <c r="B126" s="3" t="s">
        <v>303</v>
      </c>
      <c r="C126" s="258"/>
      <c r="D126" s="194" t="s">
        <v>63</v>
      </c>
      <c r="E126" s="609">
        <v>10000</v>
      </c>
      <c r="F126" s="202"/>
    </row>
    <row r="127" spans="2:6" x14ac:dyDescent="0.35">
      <c r="B127" s="615" t="s">
        <v>200</v>
      </c>
      <c r="C127" s="258" t="s">
        <v>63</v>
      </c>
      <c r="D127" s="194" t="s">
        <v>63</v>
      </c>
      <c r="E127" s="194">
        <v>2500</v>
      </c>
    </row>
    <row r="128" spans="2:6" x14ac:dyDescent="0.35">
      <c r="B128" s="680"/>
      <c r="C128" s="681" t="s">
        <v>99</v>
      </c>
      <c r="D128" s="682"/>
      <c r="E128" s="682">
        <f>+E125+E126+E127</f>
        <v>49328</v>
      </c>
    </row>
    <row r="129" spans="2:6" x14ac:dyDescent="0.35">
      <c r="B129" s="615" t="s">
        <v>19</v>
      </c>
      <c r="C129" s="258" t="s">
        <v>63</v>
      </c>
      <c r="D129" s="258" t="s">
        <v>63</v>
      </c>
      <c r="E129" s="194">
        <v>-1000</v>
      </c>
    </row>
    <row r="130" spans="2:6" x14ac:dyDescent="0.35">
      <c r="B130" t="s">
        <v>304</v>
      </c>
      <c r="C130" s="258"/>
      <c r="D130" s="258"/>
      <c r="E130" s="203">
        <v>-560</v>
      </c>
      <c r="F130" s="202"/>
    </row>
    <row r="131" spans="2:6" ht="15.5" x14ac:dyDescent="0.35">
      <c r="B131" s="611" t="s">
        <v>11</v>
      </c>
      <c r="C131" s="612"/>
      <c r="D131" s="613"/>
      <c r="E131" s="603">
        <f>+E128+E129+E130</f>
        <v>47768</v>
      </c>
    </row>
    <row r="134" spans="2:6" ht="23.5" x14ac:dyDescent="0.35">
      <c r="B134" s="1442" t="s">
        <v>260</v>
      </c>
      <c r="C134" s="1443"/>
      <c r="D134" s="1443"/>
      <c r="E134" s="1444"/>
    </row>
    <row r="135" spans="2:6" x14ac:dyDescent="0.35">
      <c r="B135" s="2" t="s">
        <v>7</v>
      </c>
      <c r="C135" s="270" t="s">
        <v>8</v>
      </c>
      <c r="D135" s="217" t="s">
        <v>4</v>
      </c>
      <c r="E135" s="597" t="s">
        <v>9</v>
      </c>
    </row>
    <row r="136" spans="2:6" x14ac:dyDescent="0.35">
      <c r="B136" s="3" t="s">
        <v>3</v>
      </c>
      <c r="C136" s="258">
        <v>159.5</v>
      </c>
      <c r="D136" s="194">
        <v>500</v>
      </c>
      <c r="E136" s="598">
        <f>+C136*D136</f>
        <v>79750</v>
      </c>
    </row>
    <row r="137" spans="2:6" x14ac:dyDescent="0.35">
      <c r="B137" s="3" t="s">
        <v>111</v>
      </c>
      <c r="C137" s="258">
        <v>8</v>
      </c>
      <c r="D137" s="194">
        <v>500</v>
      </c>
      <c r="E137" s="609">
        <f>+C137*D137</f>
        <v>4000</v>
      </c>
    </row>
    <row r="138" spans="2:6" x14ac:dyDescent="0.35">
      <c r="B138" s="3" t="s">
        <v>270</v>
      </c>
      <c r="C138" s="258"/>
      <c r="D138" s="194"/>
      <c r="E138" s="609">
        <f>+C138*D138</f>
        <v>0</v>
      </c>
    </row>
    <row r="139" spans="2:6" x14ac:dyDescent="0.35">
      <c r="B139" s="614" t="s">
        <v>200</v>
      </c>
      <c r="C139" s="617"/>
      <c r="D139" s="227"/>
      <c r="E139" s="609">
        <v>2500</v>
      </c>
    </row>
    <row r="140" spans="2:6" x14ac:dyDescent="0.35">
      <c r="B140" s="621" t="s">
        <v>99</v>
      </c>
      <c r="C140" s="622"/>
      <c r="D140" s="622"/>
      <c r="E140" s="634">
        <f>SUM(E136:E139)</f>
        <v>86250</v>
      </c>
    </row>
    <row r="141" spans="2:6" x14ac:dyDescent="0.35">
      <c r="B141" s="615" t="s">
        <v>19</v>
      </c>
      <c r="C141" s="619"/>
      <c r="D141" s="619"/>
      <c r="E141" s="659">
        <v>-18500</v>
      </c>
    </row>
    <row r="142" spans="2:6" x14ac:dyDescent="0.35">
      <c r="B142" s="615" t="s">
        <v>304</v>
      </c>
      <c r="C142" s="619"/>
      <c r="D142" s="619"/>
      <c r="E142" s="659">
        <v>-560</v>
      </c>
    </row>
    <row r="143" spans="2:6" ht="15.5" x14ac:dyDescent="0.35">
      <c r="B143" s="611" t="s">
        <v>11</v>
      </c>
      <c r="C143" s="612"/>
      <c r="D143" s="613"/>
      <c r="E143" s="603">
        <f>+E140+E141+E142</f>
        <v>67190</v>
      </c>
    </row>
    <row r="144" spans="2:6" ht="23.15" customHeight="1" x14ac:dyDescent="0.35"/>
    <row r="145" spans="2:6" ht="14.65" customHeight="1" x14ac:dyDescent="0.35"/>
    <row r="146" spans="2:6" x14ac:dyDescent="0.35">
      <c r="F146" s="202"/>
    </row>
    <row r="150" spans="2:6" x14ac:dyDescent="0.35">
      <c r="F150" s="202"/>
    </row>
    <row r="158" spans="2:6" ht="23.5" x14ac:dyDescent="0.35">
      <c r="B158" s="1442" t="s">
        <v>301</v>
      </c>
      <c r="C158" s="1443"/>
      <c r="D158" s="1443"/>
      <c r="E158" s="1444"/>
    </row>
    <row r="159" spans="2:6" x14ac:dyDescent="0.35">
      <c r="B159" s="2" t="s">
        <v>7</v>
      </c>
      <c r="C159" s="270" t="s">
        <v>8</v>
      </c>
      <c r="D159" s="217" t="s">
        <v>4</v>
      </c>
      <c r="E159" s="597" t="s">
        <v>9</v>
      </c>
    </row>
    <row r="160" spans="2:6" x14ac:dyDescent="0.35">
      <c r="B160" s="3" t="s">
        <v>3</v>
      </c>
      <c r="C160" s="258">
        <v>184</v>
      </c>
      <c r="D160" s="227">
        <v>245</v>
      </c>
      <c r="E160" s="598">
        <f>+C160*D160</f>
        <v>45080</v>
      </c>
    </row>
    <row r="161" spans="2:6" x14ac:dyDescent="0.35">
      <c r="B161" s="3" t="s">
        <v>299</v>
      </c>
      <c r="C161" s="258">
        <v>8</v>
      </c>
      <c r="D161" s="227">
        <v>245</v>
      </c>
      <c r="E161" s="598">
        <f>+C161*D161</f>
        <v>1960</v>
      </c>
    </row>
    <row r="162" spans="2:6" x14ac:dyDescent="0.35">
      <c r="B162" s="3" t="s">
        <v>200</v>
      </c>
      <c r="C162" s="258"/>
      <c r="D162" s="227"/>
      <c r="E162" s="598">
        <v>5000</v>
      </c>
    </row>
    <row r="163" spans="2:6" x14ac:dyDescent="0.35">
      <c r="B163" s="3" t="s">
        <v>195</v>
      </c>
      <c r="C163" s="258">
        <v>5.5</v>
      </c>
      <c r="D163" s="194">
        <f>+D160*1.5</f>
        <v>367.5</v>
      </c>
      <c r="E163" s="598">
        <f>+C163*D163</f>
        <v>2021.25</v>
      </c>
    </row>
    <row r="164" spans="2:6" x14ac:dyDescent="0.35">
      <c r="B164" s="3" t="s">
        <v>6</v>
      </c>
      <c r="C164" s="258"/>
      <c r="D164" s="194"/>
      <c r="E164" s="598">
        <v>5000</v>
      </c>
    </row>
    <row r="165" spans="2:6" x14ac:dyDescent="0.35">
      <c r="B165" s="3" t="s">
        <v>283</v>
      </c>
      <c r="C165" s="258">
        <v>1</v>
      </c>
      <c r="D165" s="194">
        <v>1000</v>
      </c>
      <c r="E165" s="598">
        <f>+C165*D165</f>
        <v>1000</v>
      </c>
    </row>
    <row r="166" spans="2:6" x14ac:dyDescent="0.35">
      <c r="B166" s="1439" t="s">
        <v>99</v>
      </c>
      <c r="C166" s="1440"/>
      <c r="D166" s="1441"/>
      <c r="E166" s="599">
        <f>SUM(E160:E165)</f>
        <v>60061.25</v>
      </c>
      <c r="F166" s="202"/>
    </row>
    <row r="167" spans="2:6" x14ac:dyDescent="0.35">
      <c r="B167" s="588" t="s">
        <v>304</v>
      </c>
      <c r="C167" s="258"/>
      <c r="D167" s="194"/>
      <c r="E167" s="598">
        <v>-560</v>
      </c>
    </row>
    <row r="168" spans="2:6" x14ac:dyDescent="0.35">
      <c r="B168" s="129"/>
      <c r="C168" s="259" t="s">
        <v>11</v>
      </c>
      <c r="D168" s="197"/>
      <c r="E168" s="675">
        <f>+E166+E167</f>
        <v>59501.25</v>
      </c>
    </row>
  </sheetData>
  <mergeCells count="27">
    <mergeCell ref="B158:E158"/>
    <mergeCell ref="B166:D166"/>
    <mergeCell ref="B106:E106"/>
    <mergeCell ref="B115:D115"/>
    <mergeCell ref="B116:D116"/>
    <mergeCell ref="B119:D119"/>
    <mergeCell ref="B123:E123"/>
    <mergeCell ref="B134:E134"/>
    <mergeCell ref="B105:D105"/>
    <mergeCell ref="B58:D58"/>
    <mergeCell ref="B64:E64"/>
    <mergeCell ref="B73:D73"/>
    <mergeCell ref="B79:E79"/>
    <mergeCell ref="B87:D87"/>
    <mergeCell ref="B49:E49"/>
    <mergeCell ref="B2:E2"/>
    <mergeCell ref="B11:D11"/>
    <mergeCell ref="B14:D14"/>
    <mergeCell ref="B17:E17"/>
    <mergeCell ref="B26:D26"/>
    <mergeCell ref="B27:D27"/>
    <mergeCell ref="B44:D44"/>
    <mergeCell ref="B30:D30"/>
    <mergeCell ref="B33:E33"/>
    <mergeCell ref="B42:D42"/>
    <mergeCell ref="B43:D43"/>
    <mergeCell ref="B45:D45"/>
  </mergeCells>
  <pageMargins left="0.31496062992125984" right="0.11811023622047245" top="0" bottom="0" header="0.31496062992125984" footer="0.31496062992125984"/>
  <pageSetup paperSize="9" fitToWidth="0" orientation="portrait" r:id="rId1"/>
  <colBreaks count="1" manualBreakCount="1">
    <brk id="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E39"/>
  <sheetViews>
    <sheetView topLeftCell="A33" workbookViewId="0">
      <selection activeCell="E29" sqref="E29"/>
    </sheetView>
  </sheetViews>
  <sheetFormatPr baseColWidth="10" defaultRowHeight="14.5" x14ac:dyDescent="0.35"/>
  <cols>
    <col min="2" max="2" width="31.26953125" customWidth="1"/>
    <col min="3" max="3" width="29.453125" style="49" customWidth="1"/>
    <col min="4" max="4" width="15.7265625" customWidth="1"/>
    <col min="5" max="5" width="14.08984375" customWidth="1"/>
  </cols>
  <sheetData>
    <row r="1" spans="2:3" s="658" customFormat="1" ht="28.5" x14ac:dyDescent="0.65">
      <c r="B1" s="582" t="s">
        <v>305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3" t="s">
        <v>10</v>
      </c>
      <c r="C4" s="75">
        <v>67763.22</v>
      </c>
    </row>
    <row r="5" spans="2:3" x14ac:dyDescent="0.35">
      <c r="B5" s="3" t="s">
        <v>15</v>
      </c>
      <c r="C5" s="75">
        <v>162490</v>
      </c>
    </row>
    <row r="6" spans="2:3" x14ac:dyDescent="0.35">
      <c r="B6" s="3" t="s">
        <v>16</v>
      </c>
      <c r="C6" s="75">
        <v>76990</v>
      </c>
    </row>
    <row r="7" spans="2:3" x14ac:dyDescent="0.35">
      <c r="B7" s="3" t="s">
        <v>0</v>
      </c>
      <c r="C7" s="75">
        <v>89398.29</v>
      </c>
    </row>
    <row r="8" spans="2:3" x14ac:dyDescent="0.35">
      <c r="B8" s="3" t="s">
        <v>28</v>
      </c>
      <c r="C8" s="75">
        <v>62253.1</v>
      </c>
    </row>
    <row r="9" spans="2:3" x14ac:dyDescent="0.35">
      <c r="B9" s="3"/>
      <c r="C9" s="75"/>
    </row>
    <row r="10" spans="2:3" x14ac:dyDescent="0.35">
      <c r="B10" s="3" t="s">
        <v>245</v>
      </c>
      <c r="C10" s="75">
        <v>46459.55</v>
      </c>
    </row>
    <row r="11" spans="2:3" x14ac:dyDescent="0.35">
      <c r="B11" s="3" t="s">
        <v>267</v>
      </c>
      <c r="C11" s="75">
        <v>82823.75</v>
      </c>
    </row>
    <row r="12" spans="2:3" x14ac:dyDescent="0.35">
      <c r="B12" s="3" t="s">
        <v>260</v>
      </c>
      <c r="C12" s="75">
        <v>67190</v>
      </c>
    </row>
    <row r="13" spans="2:3" x14ac:dyDescent="0.35">
      <c r="B13" s="3" t="s">
        <v>276</v>
      </c>
      <c r="C13" s="75">
        <v>47768</v>
      </c>
    </row>
    <row r="14" spans="2:3" x14ac:dyDescent="0.35">
      <c r="B14" s="3" t="s">
        <v>277</v>
      </c>
      <c r="C14" s="75">
        <v>59501.25</v>
      </c>
    </row>
    <row r="15" spans="2:3" s="646" customFormat="1" ht="26" x14ac:dyDescent="0.6">
      <c r="B15" s="650" t="s">
        <v>308</v>
      </c>
      <c r="C15" s="652">
        <f>SUM(C4:C14)</f>
        <v>762637.15999999992</v>
      </c>
    </row>
    <row r="20" spans="2:4" s="648" customFormat="1" ht="46" x14ac:dyDescent="1">
      <c r="B20" s="647" t="s">
        <v>305</v>
      </c>
      <c r="C20" s="653"/>
    </row>
    <row r="21" spans="2:4" ht="18.5" x14ac:dyDescent="0.45">
      <c r="B21" s="643" t="s">
        <v>306</v>
      </c>
      <c r="C21" s="654" t="s">
        <v>272</v>
      </c>
      <c r="D21" s="643" t="s">
        <v>200</v>
      </c>
    </row>
    <row r="22" spans="2:4" ht="18.5" x14ac:dyDescent="0.45">
      <c r="B22" s="644" t="s">
        <v>10</v>
      </c>
      <c r="C22" s="655">
        <v>400</v>
      </c>
      <c r="D22" s="644">
        <v>10000</v>
      </c>
    </row>
    <row r="23" spans="2:4" ht="18.5" x14ac:dyDescent="0.45">
      <c r="B23" s="644" t="s">
        <v>15</v>
      </c>
      <c r="C23" s="655">
        <v>660</v>
      </c>
      <c r="D23" s="644">
        <v>10000</v>
      </c>
    </row>
    <row r="24" spans="2:4" ht="18.5" x14ac:dyDescent="0.45">
      <c r="B24" s="644" t="s">
        <v>16</v>
      </c>
      <c r="C24" s="655">
        <v>350</v>
      </c>
      <c r="D24" s="644">
        <v>10000</v>
      </c>
    </row>
    <row r="25" spans="2:4" ht="18.5" x14ac:dyDescent="0.45">
      <c r="B25" s="644" t="s">
        <v>0</v>
      </c>
      <c r="C25" s="655">
        <v>500</v>
      </c>
      <c r="D25" s="644">
        <v>10000</v>
      </c>
    </row>
    <row r="26" spans="2:4" ht="18.5" x14ac:dyDescent="0.45">
      <c r="B26" s="644" t="s">
        <v>28</v>
      </c>
      <c r="C26" s="655">
        <v>500</v>
      </c>
      <c r="D26" s="644">
        <v>10000</v>
      </c>
    </row>
    <row r="27" spans="2:4" ht="18.5" x14ac:dyDescent="0.45">
      <c r="B27" s="644" t="s">
        <v>174</v>
      </c>
      <c r="C27" s="655"/>
      <c r="D27" s="644"/>
    </row>
    <row r="28" spans="2:4" ht="18.5" x14ac:dyDescent="0.45">
      <c r="B28" s="644" t="s">
        <v>245</v>
      </c>
      <c r="C28" s="655">
        <v>248.6</v>
      </c>
      <c r="D28" s="644">
        <v>5000</v>
      </c>
    </row>
    <row r="29" spans="2:4" ht="18.5" x14ac:dyDescent="0.45">
      <c r="B29" s="644" t="s">
        <v>267</v>
      </c>
      <c r="C29" s="655">
        <v>295</v>
      </c>
      <c r="D29" s="644">
        <v>5000</v>
      </c>
    </row>
    <row r="30" spans="2:4" ht="18.5" x14ac:dyDescent="0.45">
      <c r="B30" s="644" t="s">
        <v>260</v>
      </c>
      <c r="C30" s="655">
        <v>500</v>
      </c>
      <c r="D30" s="644">
        <v>5000</v>
      </c>
    </row>
    <row r="31" spans="2:4" ht="18.5" x14ac:dyDescent="0.45">
      <c r="B31" s="645" t="s">
        <v>276</v>
      </c>
      <c r="C31" s="656">
        <v>334.8</v>
      </c>
      <c r="D31" s="644">
        <v>2500</v>
      </c>
    </row>
    <row r="32" spans="2:4" ht="18.5" x14ac:dyDescent="0.45">
      <c r="B32" s="645" t="s">
        <v>277</v>
      </c>
      <c r="C32" s="655">
        <v>245</v>
      </c>
      <c r="D32" s="644">
        <v>5000</v>
      </c>
    </row>
    <row r="33" spans="2:5" x14ac:dyDescent="0.35">
      <c r="B33" s="176"/>
      <c r="C33" s="50"/>
      <c r="D33" s="4"/>
    </row>
    <row r="35" spans="2:5" x14ac:dyDescent="0.35">
      <c r="B35" s="701" t="s">
        <v>106</v>
      </c>
      <c r="C35" s="702" t="s">
        <v>107</v>
      </c>
      <c r="D35" s="702" t="s">
        <v>262</v>
      </c>
      <c r="E35" s="704"/>
    </row>
    <row r="36" spans="2:5" x14ac:dyDescent="0.35">
      <c r="B36" s="703">
        <v>16</v>
      </c>
      <c r="C36" s="703">
        <v>9</v>
      </c>
      <c r="D36" s="568">
        <f>+B36*C36</f>
        <v>144</v>
      </c>
      <c r="E36" s="592" t="s">
        <v>116</v>
      </c>
    </row>
    <row r="37" spans="2:5" x14ac:dyDescent="0.35">
      <c r="B37" s="703">
        <v>5</v>
      </c>
      <c r="C37" s="703">
        <v>8</v>
      </c>
      <c r="D37" s="568">
        <f>+B37*C37</f>
        <v>40</v>
      </c>
      <c r="E37" s="593" t="s">
        <v>117</v>
      </c>
    </row>
    <row r="38" spans="2:5" x14ac:dyDescent="0.35">
      <c r="B38" s="703">
        <v>1</v>
      </c>
      <c r="C38" s="703">
        <v>8</v>
      </c>
      <c r="D38" s="568">
        <f>+B38*C38</f>
        <v>8</v>
      </c>
      <c r="E38" s="593" t="s">
        <v>111</v>
      </c>
    </row>
    <row r="39" spans="2:5" x14ac:dyDescent="0.35">
      <c r="B39" s="568">
        <f>+B36+B37+B38</f>
        <v>22</v>
      </c>
      <c r="C39" s="75"/>
      <c r="D39" s="568">
        <f>+D36+D37+D38</f>
        <v>192</v>
      </c>
      <c r="E39" s="592" t="s">
        <v>309</v>
      </c>
    </row>
  </sheetData>
  <pageMargins left="0.7" right="0.7" top="0.75" bottom="0.75" header="0.3" footer="0.3"/>
  <pageSetup paperSize="9" fitToWidth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V160"/>
  <sheetViews>
    <sheetView topLeftCell="A10" workbookViewId="0">
      <selection activeCell="F132" sqref="F132"/>
    </sheetView>
  </sheetViews>
  <sheetFormatPr baseColWidth="10" defaultRowHeight="14.5" x14ac:dyDescent="0.35"/>
  <cols>
    <col min="1" max="1" width="4.08984375" customWidth="1"/>
    <col min="2" max="2" width="27.6328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692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2:21" ht="18" customHeight="1" x14ac:dyDescent="0.35">
      <c r="B4" s="3" t="s">
        <v>3</v>
      </c>
      <c r="C4" s="258">
        <v>168</v>
      </c>
      <c r="D4" s="227">
        <v>432</v>
      </c>
      <c r="E4" s="598">
        <f>+C4*D4</f>
        <v>72576</v>
      </c>
      <c r="F4" s="202"/>
      <c r="T4" s="692"/>
    </row>
    <row r="5" spans="2:21" ht="18" customHeight="1" x14ac:dyDescent="0.35">
      <c r="B5" s="3" t="s">
        <v>310</v>
      </c>
      <c r="C5" s="258">
        <v>16</v>
      </c>
      <c r="D5" s="227">
        <f>+D4</f>
        <v>432</v>
      </c>
      <c r="E5" s="598">
        <f>+C5*D5</f>
        <v>6912</v>
      </c>
      <c r="T5" s="202"/>
    </row>
    <row r="6" spans="2:21" ht="18" customHeight="1" x14ac:dyDescent="0.35">
      <c r="B6" s="3" t="s">
        <v>196</v>
      </c>
      <c r="C6" s="258"/>
      <c r="D6" s="227"/>
      <c r="E6" s="598">
        <v>10000</v>
      </c>
    </row>
    <row r="7" spans="2:21" ht="18" customHeight="1" x14ac:dyDescent="0.35">
      <c r="B7" s="3" t="s">
        <v>215</v>
      </c>
      <c r="C7" s="258">
        <v>8.5</v>
      </c>
      <c r="D7" s="194">
        <f>+D4*1.5</f>
        <v>648</v>
      </c>
      <c r="E7" s="598">
        <f>+C7*D7</f>
        <v>5508</v>
      </c>
    </row>
    <row r="8" spans="2:21" ht="18" customHeight="1" x14ac:dyDescent="0.35">
      <c r="B8" s="3" t="s">
        <v>6</v>
      </c>
      <c r="C8" s="258">
        <v>16000</v>
      </c>
      <c r="D8" s="194"/>
      <c r="E8" s="598">
        <f>+C8</f>
        <v>16000</v>
      </c>
      <c r="U8" s="692"/>
    </row>
    <row r="9" spans="2:21" ht="18" customHeight="1" x14ac:dyDescent="0.35">
      <c r="B9" s="3" t="s">
        <v>307</v>
      </c>
      <c r="C9" s="258"/>
      <c r="D9" s="194">
        <v>3000</v>
      </c>
      <c r="E9" s="598">
        <f>+C9*D9</f>
        <v>0</v>
      </c>
      <c r="F9" s="202"/>
      <c r="U9" s="692"/>
    </row>
    <row r="10" spans="2:21" ht="18" customHeight="1" x14ac:dyDescent="0.35">
      <c r="B10" s="3" t="s">
        <v>283</v>
      </c>
      <c r="C10" s="258">
        <v>2</v>
      </c>
      <c r="D10" s="194">
        <v>1000</v>
      </c>
      <c r="E10" s="598">
        <f>+C10*D10</f>
        <v>2000</v>
      </c>
      <c r="U10" s="692"/>
    </row>
    <row r="11" spans="2:21" ht="18" customHeight="1" x14ac:dyDescent="0.35">
      <c r="B11" s="1432" t="s">
        <v>99</v>
      </c>
      <c r="C11" s="1432"/>
      <c r="D11" s="1432"/>
      <c r="E11" s="599">
        <f>SUM(E4:E10)</f>
        <v>112996</v>
      </c>
      <c r="F11" s="202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692"/>
    </row>
    <row r="12" spans="2:21" ht="18" customHeight="1" x14ac:dyDescent="0.35">
      <c r="B12" s="693" t="s">
        <v>292</v>
      </c>
      <c r="C12" s="693"/>
      <c r="D12" s="693"/>
      <c r="E12" s="600">
        <v>-46165.65</v>
      </c>
      <c r="M12" s="51"/>
      <c r="N12" s="66"/>
      <c r="O12" s="66"/>
      <c r="P12" s="49"/>
      <c r="Q12" s="692"/>
    </row>
    <row r="13" spans="2:21" ht="18" customHeight="1" x14ac:dyDescent="0.35">
      <c r="B13" s="1433" t="s">
        <v>11</v>
      </c>
      <c r="C13" s="1433"/>
      <c r="D13" s="1433"/>
      <c r="E13" s="603"/>
      <c r="H13" s="321"/>
      <c r="I13" s="321"/>
      <c r="J13" s="321"/>
      <c r="K13" s="473"/>
      <c r="L13" s="321"/>
      <c r="M13" s="321"/>
      <c r="T13" s="692"/>
    </row>
    <row r="14" spans="2:21" ht="18" customHeight="1" x14ac:dyDescent="0.35">
      <c r="B14" s="455"/>
      <c r="C14" s="455"/>
      <c r="D14" s="455"/>
      <c r="E14" s="456"/>
      <c r="H14" s="321"/>
      <c r="I14" s="321"/>
      <c r="J14" s="321"/>
      <c r="K14" s="473"/>
      <c r="L14" s="321"/>
      <c r="M14" s="321"/>
      <c r="T14" s="692"/>
    </row>
    <row r="15" spans="2:21" ht="18" customHeight="1" x14ac:dyDescent="0.35">
      <c r="F15" s="106"/>
      <c r="G15" s="4"/>
      <c r="N15" s="4"/>
      <c r="T15" s="692"/>
    </row>
    <row r="16" spans="2:21" ht="18" customHeight="1" x14ac:dyDescent="0.35">
      <c r="B16" s="1431" t="s">
        <v>15</v>
      </c>
      <c r="C16" s="1431"/>
      <c r="D16" s="1431"/>
      <c r="E16" s="1431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692"/>
      <c r="K17" s="101"/>
      <c r="L17" s="101"/>
      <c r="M17" s="101"/>
    </row>
    <row r="18" spans="2:22" ht="18" customHeight="1" x14ac:dyDescent="0.35">
      <c r="B18" s="3" t="s">
        <v>3</v>
      </c>
      <c r="C18" s="315">
        <v>168</v>
      </c>
      <c r="D18" s="194">
        <v>660</v>
      </c>
      <c r="E18" s="598">
        <f>+C18*D18</f>
        <v>110880</v>
      </c>
      <c r="F18" s="202"/>
      <c r="K18" s="101"/>
      <c r="L18" s="101"/>
      <c r="M18" s="101"/>
    </row>
    <row r="19" spans="2:22" ht="18" customHeight="1" x14ac:dyDescent="0.35">
      <c r="B19" s="3" t="s">
        <v>311</v>
      </c>
      <c r="C19" s="258">
        <v>16</v>
      </c>
      <c r="D19" s="194">
        <f>+D18</f>
        <v>660</v>
      </c>
      <c r="E19" s="598">
        <f>+C19*D19</f>
        <v>10560</v>
      </c>
      <c r="F19" s="202"/>
      <c r="K19" s="101"/>
      <c r="L19" s="101"/>
      <c r="M19" s="101"/>
    </row>
    <row r="20" spans="2:22" ht="18" customHeight="1" x14ac:dyDescent="0.35">
      <c r="B20" s="3" t="s">
        <v>196</v>
      </c>
      <c r="C20" s="258"/>
      <c r="D20" s="194"/>
      <c r="E20" s="598">
        <v>10000</v>
      </c>
      <c r="F20" s="692"/>
      <c r="H20" s="696"/>
      <c r="N20" s="51"/>
      <c r="O20" s="51"/>
      <c r="P20" s="66"/>
      <c r="Q20" s="49"/>
      <c r="R20" s="49"/>
    </row>
    <row r="21" spans="2:22" ht="18" customHeight="1" x14ac:dyDescent="0.35">
      <c r="B21" s="3" t="s">
        <v>195</v>
      </c>
      <c r="C21" s="315">
        <v>13.5</v>
      </c>
      <c r="D21" s="194">
        <f>+D19*1.5</f>
        <v>990</v>
      </c>
      <c r="E21" s="598">
        <f>+C21*D21</f>
        <v>13365</v>
      </c>
      <c r="F21" s="202"/>
      <c r="G21" s="4"/>
      <c r="L21" s="180"/>
      <c r="M21" s="184"/>
    </row>
    <row r="22" spans="2:22" s="692" customFormat="1" ht="18" customHeight="1" x14ac:dyDescent="0.35">
      <c r="B22" s="3" t="s">
        <v>6</v>
      </c>
      <c r="C22" s="258"/>
      <c r="D22" s="194"/>
      <c r="E22" s="598">
        <v>20000</v>
      </c>
      <c r="F22"/>
      <c r="G22"/>
      <c r="L22" s="184"/>
      <c r="M22" s="184"/>
      <c r="N22"/>
      <c r="O22"/>
      <c r="P22"/>
      <c r="Q22"/>
      <c r="R22"/>
      <c r="S22"/>
      <c r="V22"/>
    </row>
    <row r="23" spans="2:22" s="692" customFormat="1" ht="18" customHeight="1" x14ac:dyDescent="0.35">
      <c r="B23" s="3" t="s">
        <v>283</v>
      </c>
      <c r="C23" s="258">
        <v>2</v>
      </c>
      <c r="D23" s="194">
        <v>1000</v>
      </c>
      <c r="E23" s="598">
        <f>+C23*D23</f>
        <v>2000</v>
      </c>
      <c r="F23"/>
      <c r="G23"/>
      <c r="L23" s="181"/>
      <c r="M23" s="184"/>
      <c r="N23" s="180"/>
      <c r="O23" s="180"/>
      <c r="P23" s="181"/>
      <c r="Q23" s="181"/>
      <c r="R23" s="181"/>
      <c r="S23"/>
      <c r="V23"/>
    </row>
    <row r="24" spans="2:22" s="692" customFormat="1" ht="18" customHeight="1" x14ac:dyDescent="0.35">
      <c r="B24" s="3" t="s">
        <v>296</v>
      </c>
      <c r="C24" s="258"/>
      <c r="D24" s="194">
        <v>3000</v>
      </c>
      <c r="E24" s="598">
        <f>+C24*D24</f>
        <v>0</v>
      </c>
      <c r="F24" s="202"/>
      <c r="G24"/>
      <c r="L24" s="181"/>
      <c r="M24" s="184"/>
      <c r="N24" s="180"/>
      <c r="O24" s="180"/>
      <c r="P24" s="181"/>
      <c r="Q24" s="181"/>
      <c r="R24" s="181"/>
      <c r="S24"/>
      <c r="V24"/>
    </row>
    <row r="25" spans="2:22" s="692" customFormat="1" ht="18" customHeight="1" x14ac:dyDescent="0.35">
      <c r="B25" s="1432" t="s">
        <v>99</v>
      </c>
      <c r="C25" s="1432"/>
      <c r="D25" s="1432"/>
      <c r="E25" s="599">
        <f>+E18+E19+E20+E21+E22+E23+E24</f>
        <v>166805</v>
      </c>
      <c r="F25" s="202"/>
      <c r="G25"/>
      <c r="L25" s="181"/>
      <c r="M25" s="184"/>
      <c r="N25" s="180"/>
      <c r="O25" s="180"/>
      <c r="P25" s="181"/>
      <c r="Q25" s="181"/>
      <c r="R25" s="181"/>
      <c r="S25"/>
      <c r="V25"/>
    </row>
    <row r="26" spans="2:22" ht="18" customHeight="1" x14ac:dyDescent="0.35">
      <c r="B26" s="1387" t="s">
        <v>79</v>
      </c>
      <c r="C26" s="1387"/>
      <c r="D26" s="1387"/>
      <c r="E26" s="600">
        <v>-1540</v>
      </c>
      <c r="F26" s="181"/>
      <c r="L26" s="181"/>
      <c r="M26" s="185"/>
      <c r="N26" s="180"/>
      <c r="O26" s="180"/>
      <c r="P26" s="181"/>
      <c r="Q26" s="181"/>
      <c r="R26" s="181"/>
      <c r="S26" s="692"/>
      <c r="U26" s="692"/>
    </row>
    <row r="27" spans="2:22" ht="18" customHeight="1" x14ac:dyDescent="0.35">
      <c r="B27" s="693" t="s">
        <v>19</v>
      </c>
      <c r="C27" s="693"/>
      <c r="D27" s="693"/>
      <c r="E27" s="600">
        <v>-25000</v>
      </c>
      <c r="F27" s="181"/>
      <c r="L27" s="181"/>
      <c r="M27" s="185"/>
      <c r="N27" s="180"/>
      <c r="O27" s="180"/>
      <c r="P27" s="181"/>
      <c r="Q27" s="181"/>
      <c r="R27" s="181"/>
      <c r="S27" s="692"/>
      <c r="U27" s="692"/>
    </row>
    <row r="28" spans="2:22" ht="18" customHeight="1" x14ac:dyDescent="0.35">
      <c r="B28" s="1435" t="s">
        <v>11</v>
      </c>
      <c r="C28" s="1435"/>
      <c r="D28" s="1435"/>
      <c r="E28" s="602"/>
      <c r="F28" s="409"/>
      <c r="G28" s="115"/>
      <c r="M28" s="189"/>
      <c r="N28" s="180"/>
      <c r="O28" s="180"/>
      <c r="P28" s="181"/>
      <c r="Q28" s="181"/>
      <c r="R28" s="181"/>
    </row>
    <row r="29" spans="2:22" ht="18" customHeight="1" x14ac:dyDescent="0.35">
      <c r="B29" s="455"/>
      <c r="C29" s="455"/>
      <c r="D29" s="455"/>
      <c r="E29" s="456"/>
      <c r="F29" s="409"/>
      <c r="G29" s="115"/>
      <c r="M29" s="189"/>
      <c r="N29" s="180"/>
      <c r="O29" s="180"/>
      <c r="P29" s="181"/>
      <c r="Q29" s="181"/>
      <c r="R29" s="181"/>
    </row>
    <row r="30" spans="2:22" ht="19.5" customHeight="1" x14ac:dyDescent="0.35">
      <c r="F30" s="409"/>
      <c r="G30" s="115"/>
      <c r="M30" s="185"/>
      <c r="N30" s="181"/>
      <c r="O30" s="181"/>
      <c r="P30" s="181"/>
      <c r="Q30" s="181"/>
    </row>
    <row r="31" spans="2:22" ht="18" customHeight="1" x14ac:dyDescent="0.45">
      <c r="B31" s="1450" t="s">
        <v>265</v>
      </c>
      <c r="C31" s="1451"/>
      <c r="D31" s="1451"/>
      <c r="E31" s="1452"/>
      <c r="F31" s="409"/>
      <c r="G31" s="115"/>
      <c r="M31" s="185"/>
      <c r="N31" s="181"/>
      <c r="O31" s="181"/>
      <c r="P31" s="181"/>
      <c r="Q31" s="181"/>
    </row>
    <row r="32" spans="2:22" ht="18" customHeight="1" x14ac:dyDescent="0.35">
      <c r="B32" s="604" t="s">
        <v>7</v>
      </c>
      <c r="C32" s="605" t="s">
        <v>8</v>
      </c>
      <c r="D32" s="606" t="s">
        <v>4</v>
      </c>
      <c r="E32" s="606" t="s">
        <v>9</v>
      </c>
      <c r="M32" s="185"/>
      <c r="N32" s="181"/>
      <c r="O32" s="181"/>
      <c r="P32" s="184"/>
    </row>
    <row r="33" spans="2:15" ht="18" customHeight="1" x14ac:dyDescent="0.35">
      <c r="B33" s="607" t="s">
        <v>3</v>
      </c>
      <c r="C33" s="267">
        <v>168</v>
      </c>
      <c r="D33" s="211">
        <v>380</v>
      </c>
      <c r="E33" s="211">
        <f>C33*D33</f>
        <v>63840</v>
      </c>
      <c r="M33" s="182"/>
    </row>
    <row r="34" spans="2:15" ht="18" customHeight="1" x14ac:dyDescent="0.35">
      <c r="B34" s="3" t="s">
        <v>311</v>
      </c>
      <c r="C34" s="267">
        <v>16</v>
      </c>
      <c r="D34" s="211">
        <v>380</v>
      </c>
      <c r="E34" s="211">
        <f>+C34*D34</f>
        <v>6080</v>
      </c>
      <c r="F34" s="202"/>
      <c r="I34" s="692"/>
      <c r="J34" s="692"/>
      <c r="K34" s="692"/>
    </row>
    <row r="35" spans="2:15" ht="18" customHeight="1" x14ac:dyDescent="0.35">
      <c r="B35" s="3" t="s">
        <v>196</v>
      </c>
      <c r="C35" s="267"/>
      <c r="D35" s="211"/>
      <c r="E35" s="211">
        <v>10000</v>
      </c>
      <c r="F35" s="202"/>
      <c r="L35" s="692"/>
    </row>
    <row r="36" spans="2:15" ht="18" customHeight="1" x14ac:dyDescent="0.35">
      <c r="B36" s="3" t="s">
        <v>195</v>
      </c>
      <c r="C36" s="267">
        <v>8.5</v>
      </c>
      <c r="D36" s="211">
        <f>+D33*1.5</f>
        <v>570</v>
      </c>
      <c r="E36" s="211">
        <f>C36*D36</f>
        <v>4845</v>
      </c>
      <c r="F36" s="649"/>
      <c r="G36" s="180"/>
      <c r="H36" s="180"/>
      <c r="I36" s="181"/>
      <c r="J36" s="187"/>
      <c r="K36" s="188"/>
      <c r="L36" s="692"/>
      <c r="O36" s="692"/>
    </row>
    <row r="37" spans="2:15" ht="18" customHeight="1" x14ac:dyDescent="0.35">
      <c r="B37" s="3" t="s">
        <v>6</v>
      </c>
      <c r="C37" s="267">
        <v>11000</v>
      </c>
      <c r="D37" s="211"/>
      <c r="E37" s="211">
        <f>+C37</f>
        <v>11000</v>
      </c>
      <c r="G37" s="180"/>
      <c r="H37" s="180"/>
      <c r="I37" s="181"/>
      <c r="J37" s="181"/>
      <c r="K37" s="184"/>
      <c r="O37" s="692"/>
    </row>
    <row r="38" spans="2:15" ht="18" customHeight="1" x14ac:dyDescent="0.35">
      <c r="B38" s="3"/>
      <c r="C38" s="267"/>
      <c r="D38" s="211"/>
      <c r="E38" s="211"/>
      <c r="G38" s="180"/>
      <c r="H38" s="180"/>
      <c r="I38" s="181"/>
      <c r="J38" s="181"/>
      <c r="K38" s="184"/>
      <c r="O38" s="692"/>
    </row>
    <row r="39" spans="2:15" ht="18" customHeight="1" x14ac:dyDescent="0.35">
      <c r="B39" s="3" t="s">
        <v>283</v>
      </c>
      <c r="C39" s="267">
        <v>2</v>
      </c>
      <c r="D39" s="211">
        <v>1000</v>
      </c>
      <c r="E39" s="211">
        <f>+C39*D39</f>
        <v>2000</v>
      </c>
      <c r="G39" s="180"/>
      <c r="H39" s="180"/>
      <c r="I39" s="181"/>
      <c r="J39" s="181"/>
      <c r="K39" s="184"/>
      <c r="O39" s="692"/>
    </row>
    <row r="40" spans="2:15" s="692" customFormat="1" ht="18" customHeight="1" x14ac:dyDescent="0.35">
      <c r="B40" s="1439" t="s">
        <v>99</v>
      </c>
      <c r="C40" s="1440"/>
      <c r="D40" s="1441"/>
      <c r="E40" s="599">
        <f>SUM(E33:E39)</f>
        <v>97765</v>
      </c>
      <c r="F40"/>
      <c r="G40" s="180"/>
      <c r="H40" s="180"/>
      <c r="I40" s="181"/>
      <c r="J40" s="181"/>
      <c r="K40" s="184"/>
      <c r="L40"/>
      <c r="N40"/>
      <c r="O40"/>
    </row>
    <row r="41" spans="2:15" s="692" customFormat="1" ht="18" customHeight="1" x14ac:dyDescent="0.35">
      <c r="B41" s="1423" t="s">
        <v>19</v>
      </c>
      <c r="C41" s="1400"/>
      <c r="D41" s="1424"/>
      <c r="E41" s="213">
        <v>-20000</v>
      </c>
      <c r="F41"/>
      <c r="G41" s="180"/>
      <c r="H41" s="180"/>
      <c r="I41" s="181"/>
      <c r="J41" s="181"/>
      <c r="K41" s="184"/>
      <c r="L41"/>
      <c r="N41"/>
      <c r="O41"/>
    </row>
    <row r="42" spans="2:15" ht="18" customHeight="1" x14ac:dyDescent="0.35">
      <c r="B42" s="1453" t="s">
        <v>11</v>
      </c>
      <c r="C42" s="1454"/>
      <c r="D42" s="1455"/>
      <c r="E42" s="608">
        <f>+E40+E41</f>
        <v>77765</v>
      </c>
      <c r="G42" s="180"/>
      <c r="H42" s="180"/>
      <c r="I42" s="181"/>
      <c r="J42" s="181"/>
      <c r="K42" s="184"/>
    </row>
    <row r="43" spans="2:15" ht="18" customHeight="1" x14ac:dyDescent="0.35">
      <c r="B43" s="594"/>
      <c r="C43" s="594"/>
      <c r="D43" s="594"/>
      <c r="E43" s="595"/>
      <c r="G43" s="180"/>
      <c r="H43" s="180"/>
      <c r="I43" s="181"/>
      <c r="J43" s="181"/>
      <c r="K43" s="184"/>
    </row>
    <row r="44" spans="2:15" ht="18" customHeight="1" x14ac:dyDescent="0.35">
      <c r="B44" s="594"/>
      <c r="C44" s="594"/>
      <c r="D44" s="594"/>
      <c r="E44" s="595"/>
      <c r="G44" s="180"/>
      <c r="H44" s="180"/>
      <c r="I44" s="181"/>
      <c r="J44" s="181"/>
      <c r="K44" s="184"/>
    </row>
    <row r="45" spans="2:15" ht="15" customHeight="1" x14ac:dyDescent="0.35">
      <c r="B45" s="1431" t="s">
        <v>0</v>
      </c>
      <c r="C45" s="1431"/>
      <c r="D45" s="1431"/>
      <c r="E45" s="1431"/>
      <c r="G45" s="180"/>
      <c r="H45" s="180"/>
      <c r="I45" s="181"/>
      <c r="J45" s="181"/>
      <c r="K45" s="184"/>
      <c r="L45" s="692"/>
    </row>
    <row r="46" spans="2:15" ht="15" customHeight="1" x14ac:dyDescent="0.35">
      <c r="B46" s="2" t="s">
        <v>7</v>
      </c>
      <c r="C46" s="270" t="s">
        <v>8</v>
      </c>
      <c r="D46" s="217" t="s">
        <v>4</v>
      </c>
      <c r="E46" s="597" t="s">
        <v>9</v>
      </c>
      <c r="G46" s="180"/>
      <c r="H46" s="180"/>
      <c r="I46" s="181"/>
      <c r="J46" s="181"/>
      <c r="K46" s="184"/>
      <c r="L46" s="692"/>
    </row>
    <row r="47" spans="2:15" ht="15" customHeight="1" x14ac:dyDescent="0.35">
      <c r="B47" s="3" t="s">
        <v>253</v>
      </c>
      <c r="C47" s="258">
        <v>168</v>
      </c>
      <c r="D47" s="194">
        <v>540</v>
      </c>
      <c r="E47" s="598">
        <f>C47*D47</f>
        <v>90720</v>
      </c>
      <c r="F47" s="202"/>
      <c r="G47" s="180"/>
      <c r="H47" s="180"/>
      <c r="I47" s="181"/>
      <c r="J47" s="181"/>
      <c r="K47" s="184"/>
    </row>
    <row r="48" spans="2:15" ht="15" customHeight="1" x14ac:dyDescent="0.35">
      <c r="B48" s="3" t="s">
        <v>311</v>
      </c>
      <c r="C48" s="258">
        <v>16</v>
      </c>
      <c r="D48" s="194">
        <f>+D47</f>
        <v>540</v>
      </c>
      <c r="E48" s="598">
        <f>C48*D48</f>
        <v>8640</v>
      </c>
      <c r="F48" s="202"/>
      <c r="G48" s="180"/>
      <c r="H48" s="180"/>
      <c r="I48" s="181"/>
      <c r="J48" s="181"/>
      <c r="K48" s="184"/>
    </row>
    <row r="49" spans="2:22" ht="15" customHeight="1" x14ac:dyDescent="0.35">
      <c r="B49" s="3" t="s">
        <v>196</v>
      </c>
      <c r="C49" s="258"/>
      <c r="D49" s="194"/>
      <c r="E49" s="598">
        <v>10000</v>
      </c>
      <c r="F49" s="692"/>
      <c r="M49" s="176"/>
      <c r="N49" s="180"/>
      <c r="O49" s="180"/>
      <c r="P49" s="181"/>
      <c r="Q49" s="181"/>
      <c r="R49" s="184"/>
    </row>
    <row r="50" spans="2:22" ht="15" customHeight="1" x14ac:dyDescent="0.35">
      <c r="B50" s="3" t="s">
        <v>195</v>
      </c>
      <c r="C50" s="315">
        <v>12.5</v>
      </c>
      <c r="D50" s="194">
        <f>+D48*1.5</f>
        <v>810</v>
      </c>
      <c r="E50" s="598">
        <f>+C50*D50</f>
        <v>10125</v>
      </c>
      <c r="M50" s="176"/>
      <c r="N50" s="176"/>
      <c r="O50" s="176"/>
      <c r="P50" s="181"/>
      <c r="Q50" s="181"/>
      <c r="R50" s="184"/>
      <c r="T50" s="692"/>
    </row>
    <row r="51" spans="2:22" s="692" customFormat="1" ht="15" customHeight="1" x14ac:dyDescent="0.35">
      <c r="B51" s="3" t="s">
        <v>6</v>
      </c>
      <c r="C51" s="258">
        <v>16500</v>
      </c>
      <c r="D51" s="194"/>
      <c r="E51" s="598">
        <f>+C51</f>
        <v>16500</v>
      </c>
      <c r="F51"/>
      <c r="G51"/>
      <c r="H51"/>
      <c r="I51"/>
      <c r="J51"/>
      <c r="K51"/>
      <c r="L51"/>
      <c r="M51" s="176"/>
      <c r="N51" s="176"/>
      <c r="O51" s="176"/>
      <c r="P51" s="176"/>
      <c r="Q51" s="176"/>
      <c r="R51" s="176"/>
      <c r="S51"/>
      <c r="T51"/>
      <c r="U51"/>
      <c r="V51"/>
    </row>
    <row r="52" spans="2:22" s="692" customFormat="1" ht="15" customHeight="1" x14ac:dyDescent="0.35">
      <c r="B52" s="3" t="s">
        <v>283</v>
      </c>
      <c r="C52" s="258">
        <v>2</v>
      </c>
      <c r="D52" s="194">
        <v>1000</v>
      </c>
      <c r="E52" s="598">
        <f>+C52*D52</f>
        <v>2000</v>
      </c>
      <c r="F52"/>
      <c r="G52"/>
      <c r="H52"/>
      <c r="I52"/>
      <c r="J52"/>
      <c r="K52"/>
      <c r="L52"/>
      <c r="M52" s="176"/>
      <c r="N52" s="176"/>
      <c r="O52" s="176"/>
      <c r="P52" s="176"/>
      <c r="Q52" s="176"/>
      <c r="R52" s="176"/>
      <c r="S52"/>
      <c r="T52"/>
      <c r="U52"/>
      <c r="V52"/>
    </row>
    <row r="53" spans="2:22" s="692" customFormat="1" ht="15" customHeight="1" x14ac:dyDescent="0.35">
      <c r="B53" s="3" t="s">
        <v>300</v>
      </c>
      <c r="C53" s="258"/>
      <c r="D53" s="194">
        <v>3000</v>
      </c>
      <c r="E53" s="598">
        <f>+C53*D53</f>
        <v>0</v>
      </c>
      <c r="F53" s="202"/>
      <c r="G53"/>
      <c r="H53"/>
      <c r="I53"/>
      <c r="J53"/>
      <c r="K53"/>
      <c r="L53"/>
      <c r="M53" s="176"/>
      <c r="N53" s="176"/>
      <c r="O53" s="176"/>
      <c r="P53" s="176"/>
      <c r="Q53" s="176"/>
      <c r="R53" s="176"/>
      <c r="S53"/>
      <c r="T53"/>
      <c r="U53"/>
      <c r="V53"/>
    </row>
    <row r="54" spans="2:22" ht="15" customHeight="1" x14ac:dyDescent="0.35">
      <c r="B54" s="1432" t="s">
        <v>99</v>
      </c>
      <c r="C54" s="1432"/>
      <c r="D54" s="1432"/>
      <c r="E54" s="599">
        <f>SUM(E47:E53)</f>
        <v>137985</v>
      </c>
      <c r="F54" s="202"/>
      <c r="N54" s="183"/>
      <c r="O54" s="183"/>
      <c r="P54" s="176"/>
      <c r="Q54" s="176"/>
      <c r="R54" s="176"/>
      <c r="T54" s="692"/>
    </row>
    <row r="55" spans="2:22" s="692" customFormat="1" ht="15" customHeight="1" x14ac:dyDescent="0.35">
      <c r="B55" s="3" t="s">
        <v>293</v>
      </c>
      <c r="C55" s="258"/>
      <c r="D55" s="194"/>
      <c r="E55" s="711">
        <v>-47500.23</v>
      </c>
      <c r="F55" s="202"/>
      <c r="G55"/>
      <c r="H55"/>
      <c r="I55"/>
      <c r="J55"/>
      <c r="K55"/>
      <c r="L55"/>
      <c r="M55" s="176"/>
      <c r="N55" s="176"/>
      <c r="O55" s="176"/>
      <c r="P55" s="176"/>
      <c r="Q55" s="176"/>
      <c r="R55" s="176"/>
      <c r="S55"/>
      <c r="T55"/>
      <c r="U55"/>
      <c r="V55"/>
    </row>
    <row r="56" spans="2:22" s="690" customFormat="1" ht="15" customHeight="1" x14ac:dyDescent="0.35">
      <c r="B56" s="672"/>
      <c r="C56" s="673" t="s">
        <v>11</v>
      </c>
      <c r="D56" s="674"/>
      <c r="E56" s="675"/>
      <c r="F56" s="671"/>
      <c r="G56" s="671"/>
      <c r="H56" s="671"/>
      <c r="I56" s="671"/>
      <c r="J56" s="671"/>
      <c r="K56" s="671"/>
      <c r="L56" s="671"/>
      <c r="M56" s="691"/>
      <c r="N56" s="691"/>
      <c r="O56" s="691"/>
      <c r="P56" s="691"/>
      <c r="Q56" s="691"/>
      <c r="R56" s="691"/>
      <c r="S56" s="671"/>
      <c r="T56" s="671"/>
      <c r="U56" s="671"/>
      <c r="V56" s="671"/>
    </row>
    <row r="57" spans="2:22" s="692" customFormat="1" ht="15" customHeight="1" x14ac:dyDescent="0.35">
      <c r="B57" s="455"/>
      <c r="C57" s="455"/>
      <c r="D57" s="455"/>
      <c r="E57" s="456"/>
      <c r="F57"/>
      <c r="G57"/>
      <c r="H57"/>
      <c r="I57"/>
      <c r="J57"/>
      <c r="K57"/>
      <c r="L57"/>
      <c r="M57"/>
      <c r="N57" s="176"/>
      <c r="O57" s="176"/>
      <c r="P57" s="176"/>
      <c r="Q57" s="176"/>
      <c r="R57" s="176"/>
      <c r="S57"/>
      <c r="U57"/>
    </row>
    <row r="58" spans="2:22" s="692" customFormat="1" ht="15" customHeight="1" x14ac:dyDescent="0.35">
      <c r="B58" s="455"/>
      <c r="C58" s="455"/>
      <c r="D58" s="455"/>
      <c r="E58" s="456"/>
      <c r="F58"/>
      <c r="G58"/>
      <c r="H58"/>
      <c r="I58"/>
      <c r="J58"/>
      <c r="K58"/>
      <c r="L58"/>
      <c r="M58"/>
      <c r="N58" s="176"/>
      <c r="O58" s="176"/>
      <c r="P58" s="176"/>
      <c r="Q58" s="176"/>
      <c r="R58" s="176"/>
      <c r="S58"/>
      <c r="U58"/>
    </row>
    <row r="59" spans="2:22" ht="15" customHeight="1" x14ac:dyDescent="0.35">
      <c r="B59" s="1431" t="s">
        <v>28</v>
      </c>
      <c r="C59" s="1431"/>
      <c r="D59" s="1431"/>
      <c r="E59" s="1431"/>
      <c r="N59" s="176"/>
      <c r="O59" s="176"/>
      <c r="P59" s="176"/>
      <c r="Q59" s="176"/>
      <c r="R59" s="176"/>
    </row>
    <row r="60" spans="2:22" ht="15" customHeight="1" x14ac:dyDescent="0.35">
      <c r="B60" s="2" t="s">
        <v>7</v>
      </c>
      <c r="C60" s="270" t="s">
        <v>8</v>
      </c>
      <c r="D60" s="217" t="s">
        <v>4</v>
      </c>
      <c r="E60" s="597" t="s">
        <v>9</v>
      </c>
      <c r="N60" s="176"/>
      <c r="O60" s="176"/>
      <c r="P60" s="176"/>
      <c r="Q60" s="176"/>
      <c r="R60" s="176"/>
    </row>
    <row r="61" spans="2:22" ht="15" customHeight="1" x14ac:dyDescent="0.35">
      <c r="B61" s="3" t="s">
        <v>3</v>
      </c>
      <c r="C61" s="315">
        <v>168</v>
      </c>
      <c r="D61" s="194">
        <v>540</v>
      </c>
      <c r="E61" s="598">
        <f>+C61*D61</f>
        <v>90720</v>
      </c>
      <c r="N61" s="176"/>
      <c r="O61" s="176"/>
      <c r="P61" s="176"/>
      <c r="Q61" s="176"/>
      <c r="R61" s="176"/>
    </row>
    <row r="62" spans="2:22" ht="15" customHeight="1" x14ac:dyDescent="0.35">
      <c r="B62" s="3" t="s">
        <v>311</v>
      </c>
      <c r="C62" s="315">
        <v>16</v>
      </c>
      <c r="D62" s="194">
        <f>+D61</f>
        <v>540</v>
      </c>
      <c r="E62" s="598">
        <f>+C62*D62</f>
        <v>8640</v>
      </c>
      <c r="F62" s="202"/>
      <c r="N62" s="176"/>
      <c r="O62" s="176"/>
      <c r="P62" s="176"/>
      <c r="Q62" s="176"/>
      <c r="R62" s="176"/>
    </row>
    <row r="63" spans="2:22" ht="15" customHeight="1" x14ac:dyDescent="0.35">
      <c r="B63" s="3" t="s">
        <v>196</v>
      </c>
      <c r="C63" s="315"/>
      <c r="D63" s="194"/>
      <c r="E63" s="598">
        <v>10000</v>
      </c>
      <c r="F63" s="202"/>
      <c r="N63" s="176"/>
      <c r="O63" s="176"/>
      <c r="P63" s="176"/>
      <c r="Q63" s="176"/>
      <c r="R63" s="176"/>
    </row>
    <row r="64" spans="2:22" ht="15" customHeight="1" x14ac:dyDescent="0.35">
      <c r="B64" s="3" t="s">
        <v>195</v>
      </c>
      <c r="C64" s="315">
        <v>11</v>
      </c>
      <c r="D64" s="194">
        <f>+D61*1.5</f>
        <v>810</v>
      </c>
      <c r="E64" s="598">
        <f>+D64*C64</f>
        <v>8910</v>
      </c>
      <c r="N64" s="176"/>
      <c r="O64" s="176"/>
      <c r="P64" s="176"/>
      <c r="Q64" s="176"/>
      <c r="R64" s="176"/>
    </row>
    <row r="65" spans="2:22" ht="15" customHeight="1" x14ac:dyDescent="0.35">
      <c r="B65" s="3" t="s">
        <v>6</v>
      </c>
      <c r="C65" s="315">
        <v>16000</v>
      </c>
      <c r="D65" s="194"/>
      <c r="E65" s="598">
        <f>+C65</f>
        <v>16000</v>
      </c>
      <c r="N65" s="176"/>
      <c r="O65" s="176"/>
      <c r="P65" s="176"/>
      <c r="Q65" s="176"/>
      <c r="R65" s="176"/>
    </row>
    <row r="66" spans="2:22" ht="15" customHeight="1" x14ac:dyDescent="0.35">
      <c r="B66" s="3" t="s">
        <v>283</v>
      </c>
      <c r="C66" s="315">
        <v>2</v>
      </c>
      <c r="D66" s="194">
        <v>1000</v>
      </c>
      <c r="E66" s="598">
        <f>+C66*D66</f>
        <v>2000</v>
      </c>
      <c r="N66" s="176"/>
      <c r="O66" s="176"/>
      <c r="P66" s="176"/>
      <c r="Q66" s="176"/>
      <c r="R66" s="176"/>
    </row>
    <row r="67" spans="2:22" ht="15" customHeight="1" x14ac:dyDescent="0.35">
      <c r="B67" s="3" t="s">
        <v>300</v>
      </c>
      <c r="C67" s="315"/>
      <c r="D67" s="194">
        <v>3000</v>
      </c>
      <c r="E67" s="598">
        <f>+C67*D67</f>
        <v>0</v>
      </c>
      <c r="N67" s="176"/>
      <c r="O67" s="176"/>
      <c r="P67" s="176"/>
      <c r="Q67" s="176"/>
      <c r="R67" s="176"/>
    </row>
    <row r="68" spans="2:22" ht="15" customHeight="1" x14ac:dyDescent="0.35">
      <c r="B68" s="1432" t="s">
        <v>99</v>
      </c>
      <c r="C68" s="1432"/>
      <c r="D68" s="1432"/>
      <c r="E68" s="599">
        <f>+E61+E62+E63+E64+E65+E66+E67</f>
        <v>136270</v>
      </c>
      <c r="F68" s="202"/>
      <c r="V68" s="692"/>
    </row>
    <row r="69" spans="2:22" ht="15" customHeight="1" x14ac:dyDescent="0.35">
      <c r="B69" s="693" t="s">
        <v>293</v>
      </c>
      <c r="C69" s="693"/>
      <c r="D69" s="693"/>
      <c r="E69" s="600">
        <v>-44931.06</v>
      </c>
    </row>
    <row r="70" spans="2:22" ht="15" customHeight="1" x14ac:dyDescent="0.35">
      <c r="B70" s="693" t="s">
        <v>19</v>
      </c>
      <c r="C70" s="683"/>
      <c r="D70" s="693"/>
      <c r="E70" s="600">
        <v>-10000</v>
      </c>
    </row>
    <row r="71" spans="2:22" ht="15" customHeight="1" x14ac:dyDescent="0.35">
      <c r="B71" s="684"/>
      <c r="C71" s="685" t="s">
        <v>11</v>
      </c>
      <c r="D71" s="686"/>
      <c r="E71" s="687"/>
    </row>
    <row r="72" spans="2:22" ht="15" customHeight="1" x14ac:dyDescent="0.35">
      <c r="B72" s="455"/>
      <c r="C72" s="455"/>
      <c r="D72" s="455"/>
      <c r="E72" s="456"/>
      <c r="V72" s="692"/>
    </row>
    <row r="74" spans="2:22" ht="23.5" x14ac:dyDescent="0.35">
      <c r="B74" s="1442" t="s">
        <v>263</v>
      </c>
      <c r="C74" s="1443"/>
      <c r="D74" s="1443"/>
      <c r="E74" s="1444"/>
    </row>
    <row r="75" spans="2:22" x14ac:dyDescent="0.35">
      <c r="B75" s="2" t="s">
        <v>7</v>
      </c>
      <c r="C75" s="270" t="s">
        <v>8</v>
      </c>
      <c r="D75" s="217" t="s">
        <v>4</v>
      </c>
      <c r="E75" s="597" t="s">
        <v>9</v>
      </c>
    </row>
    <row r="76" spans="2:22" x14ac:dyDescent="0.35">
      <c r="B76" s="3" t="s">
        <v>3</v>
      </c>
      <c r="C76" s="258">
        <v>168</v>
      </c>
      <c r="D76" s="227">
        <v>320</v>
      </c>
      <c r="E76" s="598">
        <f>+C76*D76</f>
        <v>53760</v>
      </c>
      <c r="F76" s="202"/>
    </row>
    <row r="77" spans="2:22" x14ac:dyDescent="0.35">
      <c r="B77" s="3" t="s">
        <v>311</v>
      </c>
      <c r="C77" s="258">
        <v>16</v>
      </c>
      <c r="D77" s="227">
        <v>320</v>
      </c>
      <c r="E77" s="598">
        <f>+C77*D77</f>
        <v>5120</v>
      </c>
    </row>
    <row r="78" spans="2:22" x14ac:dyDescent="0.35">
      <c r="B78" s="3" t="s">
        <v>266</v>
      </c>
      <c r="C78" s="258"/>
      <c r="D78" s="227"/>
      <c r="E78" s="598">
        <v>5000</v>
      </c>
    </row>
    <row r="79" spans="2:22" x14ac:dyDescent="0.35">
      <c r="B79" s="3" t="s">
        <v>195</v>
      </c>
      <c r="C79" s="258">
        <v>7.5</v>
      </c>
      <c r="D79" s="194">
        <f>+D76*1.5</f>
        <v>480</v>
      </c>
      <c r="E79" s="598">
        <f>+C79*D79</f>
        <v>3600</v>
      </c>
    </row>
    <row r="80" spans="2:22" x14ac:dyDescent="0.35">
      <c r="B80" s="3" t="s">
        <v>6</v>
      </c>
      <c r="C80" s="258"/>
      <c r="D80" s="194"/>
      <c r="E80" s="598">
        <v>11000</v>
      </c>
    </row>
    <row r="81" spans="2:22" x14ac:dyDescent="0.35">
      <c r="B81" s="3" t="s">
        <v>283</v>
      </c>
      <c r="C81" s="258">
        <v>1</v>
      </c>
      <c r="D81" s="194">
        <v>1000</v>
      </c>
      <c r="E81" s="598">
        <f>+C81*D81</f>
        <v>1000</v>
      </c>
    </row>
    <row r="82" spans="2:22" x14ac:dyDescent="0.35">
      <c r="B82" s="1439" t="s">
        <v>99</v>
      </c>
      <c r="C82" s="1440"/>
      <c r="D82" s="1441"/>
      <c r="E82" s="599">
        <f>SUM(E76:E81)</f>
        <v>79480</v>
      </c>
    </row>
    <row r="83" spans="2:22" x14ac:dyDescent="0.35">
      <c r="B83" s="676"/>
      <c r="C83" s="678"/>
      <c r="D83" s="676"/>
      <c r="E83" s="677"/>
    </row>
    <row r="84" spans="2:22" x14ac:dyDescent="0.35">
      <c r="B84" s="697"/>
      <c r="C84" s="698" t="s">
        <v>11</v>
      </c>
      <c r="D84" s="699"/>
      <c r="E84" s="599">
        <v>74598.75</v>
      </c>
    </row>
    <row r="86" spans="2:22" ht="23.15" customHeight="1" x14ac:dyDescent="0.35"/>
    <row r="87" spans="2:22" ht="14.65" customHeight="1" x14ac:dyDescent="0.35"/>
    <row r="88" spans="2:22" ht="14.65" customHeight="1" x14ac:dyDescent="0.35"/>
    <row r="89" spans="2:22" ht="14.65" customHeight="1" x14ac:dyDescent="0.35"/>
    <row r="90" spans="2:22" ht="14.65" customHeight="1" x14ac:dyDescent="0.35"/>
    <row r="91" spans="2:22" x14ac:dyDescent="0.35">
      <c r="F91" s="202"/>
    </row>
    <row r="92" spans="2:22" ht="14.65" customHeight="1" x14ac:dyDescent="0.35"/>
    <row r="93" spans="2:22" s="692" customFormat="1" ht="14.65" customHeight="1" x14ac:dyDescent="0.35">
      <c r="F93"/>
      <c r="G93"/>
      <c r="H93" s="181"/>
      <c r="I93" s="181"/>
      <c r="J93" s="181"/>
      <c r="K93" s="181"/>
      <c r="L93" s="181"/>
      <c r="M93" s="184"/>
      <c r="N93" s="180"/>
      <c r="O93" s="180"/>
      <c r="P93" s="181"/>
      <c r="Q93" s="181"/>
      <c r="R93" s="181"/>
      <c r="S93"/>
      <c r="V93"/>
    </row>
    <row r="95" spans="2:22" s="106" customFormat="1" x14ac:dyDescent="0.35"/>
    <row r="96" spans="2:22" s="679" customFormat="1" x14ac:dyDescent="0.35"/>
    <row r="97" spans="2:6" s="679" customFormat="1" x14ac:dyDescent="0.35">
      <c r="B97" s="689"/>
      <c r="C97" s="689"/>
      <c r="D97" s="689"/>
      <c r="E97" s="688"/>
    </row>
    <row r="98" spans="2:6" s="679" customFormat="1" x14ac:dyDescent="0.35">
      <c r="B98" s="689"/>
      <c r="C98" s="689"/>
      <c r="D98" s="689"/>
      <c r="E98" s="688"/>
    </row>
    <row r="99" spans="2:6" s="679" customFormat="1" x14ac:dyDescent="0.35">
      <c r="B99" s="689"/>
      <c r="C99" s="689"/>
      <c r="D99" s="689"/>
      <c r="E99" s="688"/>
    </row>
    <row r="100" spans="2:6" s="106" customFormat="1" x14ac:dyDescent="0.35">
      <c r="B100" s="1434"/>
      <c r="C100" s="1434"/>
      <c r="D100" s="1434"/>
      <c r="E100" s="421"/>
    </row>
    <row r="101" spans="2:6" ht="23.5" x14ac:dyDescent="0.35">
      <c r="B101" s="1442" t="s">
        <v>264</v>
      </c>
      <c r="C101" s="1443"/>
      <c r="D101" s="1443"/>
      <c r="E101" s="1444"/>
    </row>
    <row r="102" spans="2:6" x14ac:dyDescent="0.35">
      <c r="B102" s="2" t="s">
        <v>7</v>
      </c>
      <c r="C102" s="270" t="s">
        <v>8</v>
      </c>
      <c r="D102" s="217" t="s">
        <v>4</v>
      </c>
      <c r="E102" s="597" t="s">
        <v>9</v>
      </c>
    </row>
    <row r="103" spans="2:6" x14ac:dyDescent="0.35">
      <c r="B103" s="3" t="s">
        <v>3</v>
      </c>
      <c r="C103" s="258">
        <v>168</v>
      </c>
      <c r="D103" s="227">
        <v>290</v>
      </c>
      <c r="E103" s="598">
        <f>C103*D103</f>
        <v>48720</v>
      </c>
      <c r="F103" s="202"/>
    </row>
    <row r="104" spans="2:6" x14ac:dyDescent="0.35">
      <c r="B104" s="3" t="s">
        <v>311</v>
      </c>
      <c r="C104" s="258">
        <v>16</v>
      </c>
      <c r="D104" s="227">
        <v>290</v>
      </c>
      <c r="E104" s="598">
        <f>C104*D104</f>
        <v>4640</v>
      </c>
    </row>
    <row r="105" spans="2:6" x14ac:dyDescent="0.35">
      <c r="B105" s="3" t="s">
        <v>196</v>
      </c>
      <c r="C105" s="258"/>
      <c r="D105" s="227"/>
      <c r="E105" s="598">
        <v>5000</v>
      </c>
    </row>
    <row r="106" spans="2:6" x14ac:dyDescent="0.35">
      <c r="B106" s="3" t="s">
        <v>195</v>
      </c>
      <c r="C106" s="258">
        <v>11</v>
      </c>
      <c r="D106" s="227">
        <f>+D103*1.5</f>
        <v>435</v>
      </c>
      <c r="E106" s="598">
        <f>+D106*C106</f>
        <v>4785</v>
      </c>
    </row>
    <row r="107" spans="2:6" x14ac:dyDescent="0.35">
      <c r="B107" s="3" t="s">
        <v>6</v>
      </c>
      <c r="C107" s="258"/>
      <c r="D107" s="227"/>
      <c r="E107" s="598">
        <v>8000</v>
      </c>
    </row>
    <row r="108" spans="2:6" x14ac:dyDescent="0.35">
      <c r="B108" s="3" t="s">
        <v>283</v>
      </c>
      <c r="C108" s="258">
        <v>2</v>
      </c>
      <c r="D108" s="227">
        <v>1000</v>
      </c>
      <c r="E108" s="598">
        <f>+C108*D108</f>
        <v>2000</v>
      </c>
    </row>
    <row r="109" spans="2:6" x14ac:dyDescent="0.35">
      <c r="B109" s="1439" t="s">
        <v>99</v>
      </c>
      <c r="C109" s="1440"/>
      <c r="D109" s="1441"/>
      <c r="E109" s="599">
        <f>SUM(E103:E108)</f>
        <v>73145</v>
      </c>
    </row>
    <row r="110" spans="2:6" x14ac:dyDescent="0.35">
      <c r="B110" s="1445" t="s">
        <v>19</v>
      </c>
      <c r="C110" s="1392"/>
      <c r="D110" s="1393"/>
      <c r="E110" s="600">
        <v>-5000</v>
      </c>
    </row>
    <row r="111" spans="2:6" x14ac:dyDescent="0.35">
      <c r="B111" s="700" t="s">
        <v>312</v>
      </c>
      <c r="C111" s="694"/>
      <c r="D111" s="695"/>
      <c r="E111" s="600">
        <v>-15000</v>
      </c>
    </row>
    <row r="112" spans="2:6" ht="15.5" x14ac:dyDescent="0.35">
      <c r="B112" s="1446" t="s">
        <v>11</v>
      </c>
      <c r="C112" s="1447"/>
      <c r="D112" s="1448"/>
      <c r="E112" s="603">
        <f>+E109+E110+E111</f>
        <v>53145</v>
      </c>
    </row>
    <row r="113" spans="2:6" x14ac:dyDescent="0.35">
      <c r="E113" s="203" t="s">
        <v>63</v>
      </c>
    </row>
    <row r="116" spans="2:6" ht="23.5" x14ac:dyDescent="0.35">
      <c r="B116" s="1442" t="s">
        <v>276</v>
      </c>
      <c r="C116" s="1443"/>
      <c r="D116" s="1443"/>
      <c r="E116" s="1444"/>
    </row>
    <row r="117" spans="2:6" ht="14.65" customHeight="1" x14ac:dyDescent="0.35">
      <c r="B117" s="2" t="s">
        <v>7</v>
      </c>
      <c r="C117" s="270" t="s">
        <v>8</v>
      </c>
      <c r="D117" s="217" t="s">
        <v>4</v>
      </c>
      <c r="E117" s="597" t="s">
        <v>9</v>
      </c>
    </row>
    <row r="118" spans="2:6" x14ac:dyDescent="0.35">
      <c r="B118" s="3" t="s">
        <v>21</v>
      </c>
      <c r="C118" s="258">
        <v>105</v>
      </c>
      <c r="D118" s="194">
        <v>365</v>
      </c>
      <c r="E118" s="598">
        <f>+C118*D118</f>
        <v>38325</v>
      </c>
    </row>
    <row r="119" spans="2:6" x14ac:dyDescent="0.35">
      <c r="B119" s="3" t="s">
        <v>303</v>
      </c>
      <c r="C119" s="258"/>
      <c r="D119" s="194" t="s">
        <v>63</v>
      </c>
      <c r="E119" s="609">
        <v>10000</v>
      </c>
      <c r="F119" s="202"/>
    </row>
    <row r="120" spans="2:6" x14ac:dyDescent="0.35">
      <c r="B120" s="615" t="s">
        <v>200</v>
      </c>
      <c r="C120" s="258" t="s">
        <v>63</v>
      </c>
      <c r="D120" s="194" t="s">
        <v>63</v>
      </c>
      <c r="E120" s="194">
        <v>2500</v>
      </c>
    </row>
    <row r="121" spans="2:6" x14ac:dyDescent="0.35">
      <c r="B121" s="680"/>
      <c r="C121" s="681" t="s">
        <v>99</v>
      </c>
      <c r="D121" s="682"/>
      <c r="E121" s="682">
        <f>+E118+E119+E120</f>
        <v>50825</v>
      </c>
    </row>
    <row r="122" spans="2:6" x14ac:dyDescent="0.35">
      <c r="B122" s="615" t="s">
        <v>19</v>
      </c>
      <c r="C122" s="458" t="s">
        <v>63</v>
      </c>
      <c r="D122" s="458" t="s">
        <v>63</v>
      </c>
      <c r="E122" s="194"/>
    </row>
    <row r="123" spans="2:6" ht="15.5" x14ac:dyDescent="0.35">
      <c r="B123" s="705" t="s">
        <v>11</v>
      </c>
      <c r="C123" s="708"/>
      <c r="D123" s="707"/>
      <c r="E123" s="603">
        <f>+E118+E119+E120</f>
        <v>50825</v>
      </c>
    </row>
    <row r="126" spans="2:6" ht="23.5" x14ac:dyDescent="0.35">
      <c r="B126" s="1442" t="s">
        <v>260</v>
      </c>
      <c r="C126" s="1443"/>
      <c r="D126" s="1443"/>
      <c r="E126" s="1444"/>
    </row>
    <row r="127" spans="2:6" x14ac:dyDescent="0.35">
      <c r="B127" s="2" t="s">
        <v>7</v>
      </c>
      <c r="C127" s="270" t="s">
        <v>8</v>
      </c>
      <c r="D127" s="217" t="s">
        <v>4</v>
      </c>
      <c r="E127" s="597" t="s">
        <v>9</v>
      </c>
    </row>
    <row r="128" spans="2:6" x14ac:dyDescent="0.35">
      <c r="B128" s="3" t="s">
        <v>3</v>
      </c>
      <c r="C128" s="258">
        <v>151</v>
      </c>
      <c r="D128" s="194">
        <v>540</v>
      </c>
      <c r="E128" s="598">
        <f>+C128*D128</f>
        <v>81540</v>
      </c>
    </row>
    <row r="129" spans="2:6" x14ac:dyDescent="0.35">
      <c r="B129" s="3" t="s">
        <v>111</v>
      </c>
      <c r="C129" s="258">
        <v>16</v>
      </c>
      <c r="D129" s="194">
        <v>540</v>
      </c>
      <c r="E129" s="609">
        <f>+C129*D129</f>
        <v>8640</v>
      </c>
    </row>
    <row r="130" spans="2:6" x14ac:dyDescent="0.35">
      <c r="B130" s="3" t="s">
        <v>270</v>
      </c>
      <c r="C130" s="258">
        <v>14</v>
      </c>
      <c r="D130" s="194">
        <f>+D128*1.5</f>
        <v>810</v>
      </c>
      <c r="E130" s="609">
        <f>+C130*D130</f>
        <v>11340</v>
      </c>
    </row>
    <row r="131" spans="2:6" x14ac:dyDescent="0.35">
      <c r="B131" s="614" t="s">
        <v>200</v>
      </c>
      <c r="C131" s="617"/>
      <c r="D131" s="227"/>
      <c r="E131" s="609">
        <v>5000</v>
      </c>
    </row>
    <row r="132" spans="2:6" x14ac:dyDescent="0.35">
      <c r="B132" s="621" t="s">
        <v>99</v>
      </c>
      <c r="C132" s="622"/>
      <c r="D132" s="622"/>
      <c r="E132" s="634">
        <f>SUM(E128:E131)</f>
        <v>106520</v>
      </c>
    </row>
    <row r="133" spans="2:6" x14ac:dyDescent="0.35">
      <c r="B133" s="615" t="s">
        <v>19</v>
      </c>
      <c r="C133" s="619"/>
      <c r="D133" s="619"/>
      <c r="E133" s="710">
        <v>-22000</v>
      </c>
    </row>
    <row r="134" spans="2:6" x14ac:dyDescent="0.35">
      <c r="B134" s="615" t="s">
        <v>313</v>
      </c>
      <c r="C134" s="709"/>
      <c r="D134" s="619"/>
      <c r="E134" s="710">
        <v>-8500</v>
      </c>
    </row>
    <row r="135" spans="2:6" ht="15.5" x14ac:dyDescent="0.35">
      <c r="B135" s="705" t="s">
        <v>11</v>
      </c>
      <c r="C135" s="708"/>
      <c r="D135" s="706"/>
      <c r="E135" s="603">
        <f>+E132+E133+E134</f>
        <v>76020</v>
      </c>
    </row>
    <row r="136" spans="2:6" ht="23.15" customHeight="1" x14ac:dyDescent="0.35"/>
    <row r="137" spans="2:6" ht="14.65" customHeight="1" x14ac:dyDescent="0.35"/>
    <row r="138" spans="2:6" x14ac:dyDescent="0.35">
      <c r="F138" s="202"/>
    </row>
    <row r="142" spans="2:6" x14ac:dyDescent="0.35">
      <c r="F142" s="202"/>
    </row>
    <row r="150" spans="2:6" ht="23.5" x14ac:dyDescent="0.35">
      <c r="B150" s="1442" t="s">
        <v>301</v>
      </c>
      <c r="C150" s="1443"/>
      <c r="D150" s="1443"/>
      <c r="E150" s="1444"/>
    </row>
    <row r="151" spans="2:6" x14ac:dyDescent="0.35">
      <c r="B151" s="2" t="s">
        <v>7</v>
      </c>
      <c r="C151" s="270" t="s">
        <v>8</v>
      </c>
      <c r="D151" s="217" t="s">
        <v>4</v>
      </c>
      <c r="E151" s="597" t="s">
        <v>9</v>
      </c>
    </row>
    <row r="152" spans="2:6" x14ac:dyDescent="0.35">
      <c r="B152" s="3" t="s">
        <v>3</v>
      </c>
      <c r="C152" s="258">
        <v>168</v>
      </c>
      <c r="D152" s="227">
        <v>245</v>
      </c>
      <c r="E152" s="598">
        <f>+C152*D152</f>
        <v>41160</v>
      </c>
    </row>
    <row r="153" spans="2:6" x14ac:dyDescent="0.35">
      <c r="B153" s="3" t="s">
        <v>311</v>
      </c>
      <c r="C153" s="258">
        <v>16</v>
      </c>
      <c r="D153" s="227">
        <v>245</v>
      </c>
      <c r="E153" s="598">
        <f>+C153*D153</f>
        <v>3920</v>
      </c>
    </row>
    <row r="154" spans="2:6" x14ac:dyDescent="0.35">
      <c r="B154" s="3" t="s">
        <v>200</v>
      </c>
      <c r="C154" s="258"/>
      <c r="D154" s="227"/>
      <c r="E154" s="598">
        <v>5000</v>
      </c>
    </row>
    <row r="155" spans="2:6" x14ac:dyDescent="0.35">
      <c r="B155" s="3" t="s">
        <v>195</v>
      </c>
      <c r="C155" s="258">
        <v>13.5</v>
      </c>
      <c r="D155" s="194">
        <f>+D152*1.5</f>
        <v>367.5</v>
      </c>
      <c r="E155" s="598">
        <f>+C155*D155</f>
        <v>4961.25</v>
      </c>
    </row>
    <row r="156" spans="2:6" x14ac:dyDescent="0.35">
      <c r="B156" s="3" t="s">
        <v>6</v>
      </c>
      <c r="C156" s="258"/>
      <c r="D156" s="194"/>
      <c r="E156" s="598">
        <v>5000</v>
      </c>
    </row>
    <row r="157" spans="2:6" x14ac:dyDescent="0.35">
      <c r="B157" s="3" t="s">
        <v>283</v>
      </c>
      <c r="C157" s="258">
        <v>2</v>
      </c>
      <c r="D157" s="194">
        <v>1000</v>
      </c>
      <c r="E157" s="598">
        <f>+C157*D157</f>
        <v>2000</v>
      </c>
    </row>
    <row r="158" spans="2:6" x14ac:dyDescent="0.35">
      <c r="B158" s="1439" t="s">
        <v>99</v>
      </c>
      <c r="C158" s="1440"/>
      <c r="D158" s="1441"/>
      <c r="E158" s="599">
        <f>SUM(E152:E157)</f>
        <v>62041.25</v>
      </c>
      <c r="F158" s="202"/>
    </row>
    <row r="159" spans="2:6" x14ac:dyDescent="0.35">
      <c r="B159" s="588" t="s">
        <v>19</v>
      </c>
      <c r="C159" s="258"/>
      <c r="D159" s="194"/>
      <c r="E159" s="711">
        <v>-15000</v>
      </c>
    </row>
    <row r="160" spans="2:6" x14ac:dyDescent="0.35">
      <c r="B160" s="129"/>
      <c r="C160" s="259" t="s">
        <v>11</v>
      </c>
      <c r="D160" s="197"/>
      <c r="E160" s="675">
        <f>+E158+E159</f>
        <v>47041.25</v>
      </c>
    </row>
  </sheetData>
  <mergeCells count="26">
    <mergeCell ref="B26:D26"/>
    <mergeCell ref="B2:E2"/>
    <mergeCell ref="B11:D11"/>
    <mergeCell ref="B13:D13"/>
    <mergeCell ref="B16:E16"/>
    <mergeCell ref="B25:D25"/>
    <mergeCell ref="B82:D82"/>
    <mergeCell ref="B28:D28"/>
    <mergeCell ref="B31:E31"/>
    <mergeCell ref="B40:D40"/>
    <mergeCell ref="B41:D41"/>
    <mergeCell ref="B42:D42"/>
    <mergeCell ref="B45:E45"/>
    <mergeCell ref="B54:D54"/>
    <mergeCell ref="B59:E59"/>
    <mergeCell ref="B68:D68"/>
    <mergeCell ref="B74:E74"/>
    <mergeCell ref="B126:E126"/>
    <mergeCell ref="B150:E150"/>
    <mergeCell ref="B158:D158"/>
    <mergeCell ref="B100:D100"/>
    <mergeCell ref="B101:E101"/>
    <mergeCell ref="B109:D109"/>
    <mergeCell ref="B110:D110"/>
    <mergeCell ref="B112:D112"/>
    <mergeCell ref="B116:E116"/>
  </mergeCells>
  <pageMargins left="0.31496062992125984" right="0.11811023622047245" top="0" bottom="0" header="0.31496062992125984" footer="0.31496062992125984"/>
  <pageSetup paperSize="9" fitToWidth="0" orientation="portrait" r:id="rId1"/>
  <colBreaks count="1" manualBreakCount="1">
    <brk id="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E38"/>
  <sheetViews>
    <sheetView topLeftCell="A14" workbookViewId="0">
      <selection activeCell="D40" sqref="D40"/>
    </sheetView>
  </sheetViews>
  <sheetFormatPr baseColWidth="10" defaultRowHeight="14.5" x14ac:dyDescent="0.35"/>
  <cols>
    <col min="2" max="2" width="31.26953125" customWidth="1"/>
    <col min="3" max="3" width="29.453125" style="49" customWidth="1"/>
    <col min="4" max="4" width="15.7265625" customWidth="1"/>
    <col min="5" max="5" width="14.08984375" customWidth="1"/>
  </cols>
  <sheetData>
    <row r="1" spans="2:3" s="658" customFormat="1" ht="28.5" x14ac:dyDescent="0.65">
      <c r="B1" s="718" t="s">
        <v>314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3" t="s">
        <v>10</v>
      </c>
      <c r="C4" s="75"/>
    </row>
    <row r="5" spans="2:3" x14ac:dyDescent="0.35">
      <c r="B5" s="3" t="s">
        <v>15</v>
      </c>
      <c r="C5" s="75"/>
    </row>
    <row r="6" spans="2:3" x14ac:dyDescent="0.35">
      <c r="B6" s="3" t="s">
        <v>16</v>
      </c>
      <c r="C6" s="75"/>
    </row>
    <row r="7" spans="2:3" x14ac:dyDescent="0.35">
      <c r="B7" s="3" t="s">
        <v>0</v>
      </c>
      <c r="C7" s="75"/>
    </row>
    <row r="8" spans="2:3" x14ac:dyDescent="0.35">
      <c r="B8" s="3" t="s">
        <v>28</v>
      </c>
      <c r="C8" s="75"/>
    </row>
    <row r="9" spans="2:3" x14ac:dyDescent="0.35">
      <c r="B9" s="3"/>
      <c r="C9" s="75"/>
    </row>
    <row r="10" spans="2:3" x14ac:dyDescent="0.35">
      <c r="B10" s="3" t="s">
        <v>245</v>
      </c>
      <c r="C10" s="75"/>
    </row>
    <row r="11" spans="2:3" x14ac:dyDescent="0.35">
      <c r="B11" s="3" t="s">
        <v>267</v>
      </c>
      <c r="C11" s="75"/>
    </row>
    <row r="12" spans="2:3" x14ac:dyDescent="0.35">
      <c r="B12" s="3" t="s">
        <v>260</v>
      </c>
      <c r="C12" s="75"/>
    </row>
    <row r="13" spans="2:3" x14ac:dyDescent="0.35">
      <c r="B13" s="3" t="s">
        <v>276</v>
      </c>
      <c r="C13" s="75"/>
    </row>
    <row r="14" spans="2:3" x14ac:dyDescent="0.35">
      <c r="B14" s="3" t="s">
        <v>277</v>
      </c>
      <c r="C14" s="75"/>
    </row>
    <row r="15" spans="2:3" s="646" customFormat="1" ht="26" x14ac:dyDescent="0.6">
      <c r="B15" s="650" t="s">
        <v>315</v>
      </c>
      <c r="C15" s="652">
        <f>SUM(C4:C14)</f>
        <v>0</v>
      </c>
    </row>
    <row r="20" spans="2:4" s="648" customFormat="1" ht="46" x14ac:dyDescent="1">
      <c r="B20" s="719" t="s">
        <v>314</v>
      </c>
      <c r="C20" s="653"/>
    </row>
    <row r="21" spans="2:4" ht="18.5" x14ac:dyDescent="0.45">
      <c r="B21" s="643" t="s">
        <v>306</v>
      </c>
      <c r="C21" s="654" t="s">
        <v>272</v>
      </c>
      <c r="D21" s="643" t="s">
        <v>200</v>
      </c>
    </row>
    <row r="22" spans="2:4" ht="18.5" x14ac:dyDescent="0.45">
      <c r="B22" s="644" t="s">
        <v>10</v>
      </c>
      <c r="C22" s="655">
        <v>432</v>
      </c>
      <c r="D22" s="644">
        <v>10000</v>
      </c>
    </row>
    <row r="23" spans="2:4" ht="18.5" x14ac:dyDescent="0.45">
      <c r="B23" s="644" t="s">
        <v>15</v>
      </c>
      <c r="C23" s="655">
        <v>660</v>
      </c>
      <c r="D23" s="644">
        <v>10000</v>
      </c>
    </row>
    <row r="24" spans="2:4" ht="18.5" x14ac:dyDescent="0.45">
      <c r="B24" s="644" t="s">
        <v>16</v>
      </c>
      <c r="C24" s="655">
        <v>380</v>
      </c>
      <c r="D24" s="644">
        <v>10000</v>
      </c>
    </row>
    <row r="25" spans="2:4" ht="18.5" x14ac:dyDescent="0.45">
      <c r="B25" s="644" t="s">
        <v>0</v>
      </c>
      <c r="C25" s="655">
        <v>540</v>
      </c>
      <c r="D25" s="644">
        <v>10000</v>
      </c>
    </row>
    <row r="26" spans="2:4" ht="18.5" x14ac:dyDescent="0.45">
      <c r="B26" s="644" t="s">
        <v>28</v>
      </c>
      <c r="C26" s="655">
        <v>540</v>
      </c>
      <c r="D26" s="644">
        <v>10000</v>
      </c>
    </row>
    <row r="27" spans="2:4" ht="18.5" x14ac:dyDescent="0.45">
      <c r="B27" s="644" t="s">
        <v>245</v>
      </c>
      <c r="C27" s="655">
        <v>290</v>
      </c>
      <c r="D27" s="644">
        <v>5000</v>
      </c>
    </row>
    <row r="28" spans="2:4" ht="18.5" x14ac:dyDescent="0.45">
      <c r="B28" s="644" t="s">
        <v>267</v>
      </c>
      <c r="C28" s="655">
        <v>320</v>
      </c>
      <c r="D28" s="644">
        <v>5000</v>
      </c>
    </row>
    <row r="29" spans="2:4" ht="18.5" x14ac:dyDescent="0.45">
      <c r="B29" s="644" t="s">
        <v>260</v>
      </c>
      <c r="C29" s="655">
        <v>540</v>
      </c>
      <c r="D29" s="644">
        <v>5000</v>
      </c>
    </row>
    <row r="30" spans="2:4" ht="18.5" x14ac:dyDescent="0.45">
      <c r="B30" s="645" t="s">
        <v>276</v>
      </c>
      <c r="C30" s="656">
        <v>365</v>
      </c>
      <c r="D30" s="644">
        <v>2500</v>
      </c>
    </row>
    <row r="31" spans="2:4" ht="18.5" x14ac:dyDescent="0.45">
      <c r="B31" s="645" t="s">
        <v>277</v>
      </c>
      <c r="C31" s="655">
        <v>285</v>
      </c>
      <c r="D31" s="644">
        <v>5000</v>
      </c>
    </row>
    <row r="32" spans="2:4" x14ac:dyDescent="0.35">
      <c r="B32" s="176"/>
      <c r="C32" s="50"/>
      <c r="D32" s="4"/>
    </row>
    <row r="34" spans="2:5" x14ac:dyDescent="0.35">
      <c r="B34" s="701" t="s">
        <v>106</v>
      </c>
      <c r="C34" s="702" t="s">
        <v>107</v>
      </c>
      <c r="D34" s="702" t="s">
        <v>262</v>
      </c>
      <c r="E34" s="704"/>
    </row>
    <row r="35" spans="2:5" x14ac:dyDescent="0.35">
      <c r="B35" s="703">
        <v>16</v>
      </c>
      <c r="C35" s="703">
        <v>9</v>
      </c>
      <c r="D35" s="568">
        <f>+B35*C35</f>
        <v>144</v>
      </c>
      <c r="E35" s="592" t="s">
        <v>116</v>
      </c>
    </row>
    <row r="36" spans="2:5" x14ac:dyDescent="0.35">
      <c r="B36" s="703">
        <v>3</v>
      </c>
      <c r="C36" s="703">
        <v>8</v>
      </c>
      <c r="D36" s="568">
        <f>+B36*C36</f>
        <v>24</v>
      </c>
      <c r="E36" s="593" t="s">
        <v>117</v>
      </c>
    </row>
    <row r="37" spans="2:5" x14ac:dyDescent="0.35">
      <c r="B37" s="703">
        <v>2</v>
      </c>
      <c r="C37" s="703">
        <v>8</v>
      </c>
      <c r="D37" s="568">
        <f>+B37*C37</f>
        <v>16</v>
      </c>
      <c r="E37" s="593" t="s">
        <v>111</v>
      </c>
    </row>
    <row r="38" spans="2:5" x14ac:dyDescent="0.35">
      <c r="B38" s="568">
        <f>+B35+B36+B37</f>
        <v>21</v>
      </c>
      <c r="C38" s="75"/>
      <c r="D38" s="568">
        <f>+D35+D36+D37</f>
        <v>184</v>
      </c>
      <c r="E38" s="592" t="s">
        <v>309</v>
      </c>
    </row>
  </sheetData>
  <pageMargins left="0.7" right="0.7" top="0.75" bottom="0.75" header="0.3" footer="0.3"/>
  <pageSetup paperSize="9" fitToWidth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V166"/>
  <sheetViews>
    <sheetView topLeftCell="A152" zoomScale="90" zoomScaleNormal="90" workbookViewId="0">
      <selection activeCell="F168" sqref="F168"/>
    </sheetView>
  </sheetViews>
  <sheetFormatPr baseColWidth="10" defaultRowHeight="14.5" x14ac:dyDescent="0.35"/>
  <cols>
    <col min="1" max="1" width="4.08984375" customWidth="1"/>
    <col min="2" max="2" width="27.6328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712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2:21" ht="18" customHeight="1" x14ac:dyDescent="0.35">
      <c r="B4" s="3" t="s">
        <v>3</v>
      </c>
      <c r="C4" s="258">
        <v>185</v>
      </c>
      <c r="D4" s="227">
        <v>454</v>
      </c>
      <c r="E4" s="598">
        <f>+C4*D4</f>
        <v>83990</v>
      </c>
      <c r="F4" s="202"/>
      <c r="T4" s="712"/>
    </row>
    <row r="5" spans="2:21" ht="18" customHeight="1" x14ac:dyDescent="0.35">
      <c r="B5" s="3" t="s">
        <v>316</v>
      </c>
      <c r="C5" s="258">
        <v>8</v>
      </c>
      <c r="D5" s="227">
        <f>+D4</f>
        <v>454</v>
      </c>
      <c r="E5" s="598">
        <f>+C5*D5</f>
        <v>3632</v>
      </c>
      <c r="T5" s="202"/>
    </row>
    <row r="6" spans="2:21" ht="18" customHeight="1" x14ac:dyDescent="0.35">
      <c r="B6" s="3" t="s">
        <v>196</v>
      </c>
      <c r="C6" s="258"/>
      <c r="D6" s="227"/>
      <c r="E6" s="598">
        <v>10000</v>
      </c>
    </row>
    <row r="7" spans="2:21" ht="18" customHeight="1" x14ac:dyDescent="0.35">
      <c r="B7" s="3" t="s">
        <v>215</v>
      </c>
      <c r="C7" s="258" t="s">
        <v>63</v>
      </c>
      <c r="D7" s="194" t="s">
        <v>63</v>
      </c>
      <c r="E7" s="598" t="s">
        <v>63</v>
      </c>
    </row>
    <row r="8" spans="2:21" ht="18" customHeight="1" x14ac:dyDescent="0.35">
      <c r="B8" s="3" t="s">
        <v>6</v>
      </c>
      <c r="C8" s="258">
        <v>16000</v>
      </c>
      <c r="D8" s="194"/>
      <c r="E8" s="598">
        <f>+C8</f>
        <v>16000</v>
      </c>
      <c r="U8" s="712"/>
    </row>
    <row r="9" spans="2:21" ht="18" customHeight="1" x14ac:dyDescent="0.35">
      <c r="B9" s="3" t="s">
        <v>307</v>
      </c>
      <c r="C9" s="258">
        <v>2</v>
      </c>
      <c r="D9" s="194">
        <v>1500</v>
      </c>
      <c r="E9" s="598">
        <f>+C9*D9</f>
        <v>3000</v>
      </c>
      <c r="F9" s="202"/>
      <c r="U9" s="712"/>
    </row>
    <row r="10" spans="2:21" ht="18" customHeight="1" x14ac:dyDescent="0.35">
      <c r="B10" s="3" t="s">
        <v>283</v>
      </c>
      <c r="C10" s="258" t="s">
        <v>63</v>
      </c>
      <c r="D10" s="194" t="s">
        <v>63</v>
      </c>
      <c r="E10" s="598" t="s">
        <v>63</v>
      </c>
      <c r="U10" s="712"/>
    </row>
    <row r="11" spans="2:21" ht="18" customHeight="1" x14ac:dyDescent="0.35">
      <c r="B11" s="1432" t="s">
        <v>99</v>
      </c>
      <c r="C11" s="1432"/>
      <c r="D11" s="1432"/>
      <c r="E11" s="599">
        <f>+E4+E5+E6+E8+E9</f>
        <v>116622</v>
      </c>
      <c r="F11" s="202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712"/>
    </row>
    <row r="12" spans="2:21" ht="18" customHeight="1" x14ac:dyDescent="0.35">
      <c r="B12" s="723" t="s">
        <v>317</v>
      </c>
      <c r="C12" s="721">
        <v>1.5</v>
      </c>
      <c r="D12" s="721">
        <v>454</v>
      </c>
      <c r="E12" s="722">
        <v>-681</v>
      </c>
      <c r="F12" s="202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712"/>
    </row>
    <row r="13" spans="2:21" ht="18" customHeight="1" x14ac:dyDescent="0.35">
      <c r="B13" s="713" t="s">
        <v>292</v>
      </c>
      <c r="C13" s="713"/>
      <c r="D13" s="713"/>
      <c r="E13" s="600">
        <v>-48754.52</v>
      </c>
      <c r="M13" s="51"/>
      <c r="N13" s="66"/>
      <c r="O13" s="66"/>
      <c r="P13" s="49"/>
      <c r="Q13" s="712"/>
    </row>
    <row r="14" spans="2:21" ht="18" customHeight="1" x14ac:dyDescent="0.35">
      <c r="B14" s="1433" t="s">
        <v>11</v>
      </c>
      <c r="C14" s="1433"/>
      <c r="D14" s="1433"/>
      <c r="E14" s="603">
        <f>+E11+E12+E13</f>
        <v>67186.48000000001</v>
      </c>
      <c r="H14" s="321"/>
      <c r="I14" s="321"/>
      <c r="J14" s="321"/>
      <c r="K14" s="473"/>
      <c r="L14" s="321"/>
      <c r="M14" s="321"/>
      <c r="T14" s="712"/>
    </row>
    <row r="15" spans="2:21" ht="18" customHeight="1" x14ac:dyDescent="0.35">
      <c r="B15" s="455"/>
      <c r="C15" s="455"/>
      <c r="D15" s="455"/>
      <c r="E15" s="456"/>
      <c r="H15" s="321"/>
      <c r="I15" s="321"/>
      <c r="J15" s="321"/>
      <c r="K15" s="473"/>
      <c r="L15" s="321"/>
      <c r="M15" s="321"/>
      <c r="T15" s="712"/>
    </row>
    <row r="16" spans="2:21" ht="18" customHeight="1" x14ac:dyDescent="0.35">
      <c r="F16" s="106"/>
      <c r="G16" s="4"/>
      <c r="N16" s="4"/>
      <c r="T16" s="712"/>
    </row>
    <row r="17" spans="2:22" ht="18" customHeight="1" x14ac:dyDescent="0.35">
      <c r="B17" s="1431" t="s">
        <v>15</v>
      </c>
      <c r="C17" s="1431"/>
      <c r="D17" s="1431"/>
      <c r="E17" s="1431"/>
      <c r="F17" s="406"/>
      <c r="K17" s="465"/>
      <c r="L17" s="465"/>
      <c r="M17" s="465"/>
    </row>
    <row r="18" spans="2:22" ht="18" customHeight="1" x14ac:dyDescent="0.35">
      <c r="B18" s="2" t="s">
        <v>7</v>
      </c>
      <c r="C18" s="270" t="s">
        <v>8</v>
      </c>
      <c r="D18" s="217" t="s">
        <v>4</v>
      </c>
      <c r="E18" s="597" t="s">
        <v>9</v>
      </c>
      <c r="F18" s="712"/>
      <c r="K18" s="101"/>
      <c r="L18" s="101"/>
      <c r="M18" s="101"/>
    </row>
    <row r="19" spans="2:22" ht="18" customHeight="1" x14ac:dyDescent="0.35">
      <c r="B19" s="3" t="s">
        <v>3</v>
      </c>
      <c r="C19" s="315">
        <v>185</v>
      </c>
      <c r="D19" s="194">
        <v>970</v>
      </c>
      <c r="E19" s="598">
        <f>+C19*D19</f>
        <v>179450</v>
      </c>
      <c r="F19" s="202"/>
      <c r="K19" s="101"/>
      <c r="L19" s="101"/>
      <c r="M19" s="101"/>
    </row>
    <row r="20" spans="2:22" ht="18" customHeight="1" x14ac:dyDescent="0.35">
      <c r="B20" s="3" t="s">
        <v>318</v>
      </c>
      <c r="C20" s="258">
        <v>8</v>
      </c>
      <c r="D20" s="194">
        <f>+D19</f>
        <v>970</v>
      </c>
      <c r="E20" s="598">
        <f>+C20*D20</f>
        <v>7760</v>
      </c>
      <c r="F20" s="202"/>
      <c r="K20" s="101"/>
      <c r="L20" s="101"/>
      <c r="M20" s="101"/>
    </row>
    <row r="21" spans="2:22" ht="18" customHeight="1" x14ac:dyDescent="0.35">
      <c r="B21" s="3" t="s">
        <v>196</v>
      </c>
      <c r="C21" s="258"/>
      <c r="D21" s="194"/>
      <c r="E21" s="598">
        <v>10000</v>
      </c>
      <c r="F21" s="712"/>
      <c r="H21" s="716"/>
      <c r="N21" s="51"/>
      <c r="O21" s="51"/>
      <c r="P21" s="66"/>
      <c r="Q21" s="49"/>
      <c r="R21" s="49"/>
    </row>
    <row r="22" spans="2:22" ht="18" customHeight="1" x14ac:dyDescent="0.35">
      <c r="B22" s="3" t="s">
        <v>195</v>
      </c>
      <c r="C22" s="315">
        <v>4.5</v>
      </c>
      <c r="D22" s="194">
        <f>+D20*1.5</f>
        <v>1455</v>
      </c>
      <c r="E22" s="598">
        <f>+C22*D22</f>
        <v>6547.5</v>
      </c>
      <c r="F22" s="202"/>
      <c r="G22" s="4"/>
      <c r="L22" s="180"/>
      <c r="M22" s="184"/>
    </row>
    <row r="23" spans="2:22" s="712" customFormat="1" ht="18" customHeight="1" x14ac:dyDescent="0.35">
      <c r="B23" s="3" t="s">
        <v>6</v>
      </c>
      <c r="C23" s="258"/>
      <c r="D23" s="194"/>
      <c r="E23" s="598">
        <v>20000</v>
      </c>
      <c r="F23"/>
      <c r="G23"/>
      <c r="L23" s="184"/>
      <c r="M23" s="184"/>
      <c r="N23"/>
      <c r="O23"/>
      <c r="P23"/>
      <c r="Q23"/>
      <c r="R23"/>
      <c r="S23"/>
      <c r="V23"/>
    </row>
    <row r="24" spans="2:22" s="712" customFormat="1" ht="18" customHeight="1" x14ac:dyDescent="0.35">
      <c r="B24" s="3" t="s">
        <v>283</v>
      </c>
      <c r="C24" s="258" t="s">
        <v>63</v>
      </c>
      <c r="D24" s="194"/>
      <c r="E24" s="598"/>
      <c r="F24"/>
      <c r="G24"/>
      <c r="L24" s="181"/>
      <c r="M24" s="184"/>
      <c r="N24" s="180"/>
      <c r="O24" s="180"/>
      <c r="P24" s="181"/>
      <c r="Q24" s="181"/>
      <c r="R24" s="181"/>
      <c r="S24"/>
      <c r="V24"/>
    </row>
    <row r="25" spans="2:22" s="712" customFormat="1" ht="18" customHeight="1" x14ac:dyDescent="0.35">
      <c r="B25" s="3" t="s">
        <v>296</v>
      </c>
      <c r="C25" s="258">
        <v>3</v>
      </c>
      <c r="D25" s="194"/>
      <c r="E25" s="598">
        <v>6000</v>
      </c>
      <c r="F25" s="202"/>
      <c r="G25"/>
      <c r="L25" s="181"/>
      <c r="M25" s="184"/>
      <c r="N25" s="180"/>
      <c r="O25" s="180"/>
      <c r="P25" s="181"/>
      <c r="Q25" s="181"/>
      <c r="R25" s="181"/>
      <c r="S25"/>
      <c r="V25"/>
    </row>
    <row r="26" spans="2:22" s="712" customFormat="1" ht="18" customHeight="1" x14ac:dyDescent="0.35">
      <c r="B26" s="1432" t="s">
        <v>99</v>
      </c>
      <c r="C26" s="1432"/>
      <c r="D26" s="1432"/>
      <c r="E26" s="599">
        <f>+E19+E20+E21+E22+E23+E25</f>
        <v>229757.5</v>
      </c>
      <c r="F26" s="202"/>
      <c r="G26"/>
      <c r="L26" s="181"/>
      <c r="M26" s="184"/>
      <c r="N26" s="180"/>
      <c r="O26" s="180"/>
      <c r="P26" s="181"/>
      <c r="Q26" s="181"/>
      <c r="R26" s="181"/>
      <c r="S26"/>
      <c r="V26"/>
    </row>
    <row r="27" spans="2:22" s="712" customFormat="1" ht="18" customHeight="1" x14ac:dyDescent="0.35">
      <c r="B27" s="723" t="s">
        <v>319</v>
      </c>
      <c r="C27" s="727">
        <v>1.5</v>
      </c>
      <c r="D27" s="727">
        <v>693</v>
      </c>
      <c r="E27" s="722">
        <v>-1039.5</v>
      </c>
      <c r="F27" s="202"/>
      <c r="G27"/>
      <c r="L27" s="181"/>
      <c r="M27" s="184"/>
      <c r="N27" s="180"/>
      <c r="O27" s="180"/>
      <c r="P27" s="181"/>
      <c r="Q27" s="181"/>
      <c r="R27" s="181"/>
      <c r="S27"/>
      <c r="V27"/>
    </row>
    <row r="28" spans="2:22" ht="18" customHeight="1" x14ac:dyDescent="0.35">
      <c r="B28" s="1387" t="s">
        <v>79</v>
      </c>
      <c r="C28" s="1387"/>
      <c r="D28" s="1387"/>
      <c r="E28" s="600">
        <v>-1540</v>
      </c>
      <c r="F28" s="181"/>
      <c r="L28" s="181"/>
      <c r="M28" s="185"/>
      <c r="N28" s="180"/>
      <c r="O28" s="180"/>
      <c r="P28" s="181"/>
      <c r="Q28" s="181"/>
      <c r="R28" s="181"/>
      <c r="S28" s="712"/>
      <c r="U28" s="712"/>
    </row>
    <row r="29" spans="2:22" ht="18" customHeight="1" x14ac:dyDescent="0.35">
      <c r="B29" s="713" t="s">
        <v>19</v>
      </c>
      <c r="C29" s="713"/>
      <c r="D29" s="713"/>
      <c r="E29" s="600"/>
      <c r="F29" s="181"/>
      <c r="L29" s="181"/>
      <c r="M29" s="185"/>
      <c r="N29" s="180"/>
      <c r="O29" s="180"/>
      <c r="P29" s="181"/>
      <c r="Q29" s="181"/>
      <c r="R29" s="181"/>
      <c r="S29" s="712"/>
      <c r="U29" s="712"/>
    </row>
    <row r="30" spans="2:22" ht="18" customHeight="1" x14ac:dyDescent="0.35">
      <c r="B30" s="1435" t="s">
        <v>11</v>
      </c>
      <c r="C30" s="1435"/>
      <c r="D30" s="1435"/>
      <c r="E30" s="602">
        <f>+E26+E27+E28</f>
        <v>227178</v>
      </c>
      <c r="F30" s="409"/>
      <c r="G30" s="115"/>
      <c r="M30" s="189"/>
      <c r="N30" s="180"/>
      <c r="O30" s="180"/>
      <c r="P30" s="181"/>
      <c r="Q30" s="181"/>
      <c r="R30" s="181"/>
    </row>
    <row r="31" spans="2:22" ht="18" customHeight="1" x14ac:dyDescent="0.35">
      <c r="B31" s="455"/>
      <c r="C31" s="455"/>
      <c r="D31" s="455"/>
      <c r="E31" s="456"/>
      <c r="F31" s="409"/>
      <c r="G31" s="115"/>
      <c r="M31" s="189"/>
      <c r="N31" s="180"/>
      <c r="O31" s="180"/>
      <c r="P31" s="181"/>
      <c r="Q31" s="181"/>
      <c r="R31" s="181"/>
    </row>
    <row r="32" spans="2:22" ht="19.5" customHeight="1" x14ac:dyDescent="0.35">
      <c r="F32" s="409"/>
      <c r="G32" s="115"/>
      <c r="M32" s="185"/>
      <c r="N32" s="181"/>
      <c r="O32" s="181"/>
      <c r="P32" s="181"/>
      <c r="Q32" s="181"/>
    </row>
    <row r="33" spans="2:17" ht="18" customHeight="1" x14ac:dyDescent="0.45">
      <c r="B33" s="1450" t="s">
        <v>265</v>
      </c>
      <c r="C33" s="1451"/>
      <c r="D33" s="1451"/>
      <c r="E33" s="1452"/>
      <c r="F33" s="409"/>
      <c r="G33" s="115"/>
      <c r="M33" s="185"/>
      <c r="N33" s="181"/>
      <c r="O33" s="181"/>
      <c r="P33" s="181"/>
      <c r="Q33" s="181"/>
    </row>
    <row r="34" spans="2:17" ht="18" customHeight="1" x14ac:dyDescent="0.35">
      <c r="B34" s="604" t="s">
        <v>7</v>
      </c>
      <c r="C34" s="605" t="s">
        <v>8</v>
      </c>
      <c r="D34" s="606" t="s">
        <v>4</v>
      </c>
      <c r="E34" s="606" t="s">
        <v>9</v>
      </c>
      <c r="M34" s="185"/>
      <c r="N34" s="181"/>
      <c r="O34" s="181"/>
      <c r="P34" s="184"/>
    </row>
    <row r="35" spans="2:17" ht="18" customHeight="1" x14ac:dyDescent="0.35">
      <c r="B35" s="607" t="s">
        <v>3</v>
      </c>
      <c r="C35" s="267">
        <v>185</v>
      </c>
      <c r="D35" s="211">
        <v>399</v>
      </c>
      <c r="E35" s="211">
        <f>C35*D35</f>
        <v>73815</v>
      </c>
      <c r="M35" s="182"/>
    </row>
    <row r="36" spans="2:17" ht="18" customHeight="1" x14ac:dyDescent="0.35">
      <c r="B36" s="3" t="s">
        <v>318</v>
      </c>
      <c r="C36" s="267">
        <v>8</v>
      </c>
      <c r="D36" s="211">
        <v>399</v>
      </c>
      <c r="E36" s="211">
        <f>+C36*D36</f>
        <v>3192</v>
      </c>
      <c r="F36" s="202"/>
      <c r="I36" s="712"/>
      <c r="J36" s="712"/>
      <c r="K36" s="712"/>
    </row>
    <row r="37" spans="2:17" ht="18" customHeight="1" x14ac:dyDescent="0.35">
      <c r="B37" s="3" t="s">
        <v>196</v>
      </c>
      <c r="C37" s="267"/>
      <c r="D37" s="211"/>
      <c r="E37" s="211">
        <v>10000</v>
      </c>
      <c r="F37" s="202"/>
      <c r="L37" s="712"/>
    </row>
    <row r="38" spans="2:17" ht="18" customHeight="1" x14ac:dyDescent="0.35">
      <c r="B38" s="3" t="s">
        <v>195</v>
      </c>
      <c r="C38" s="267">
        <v>1.5</v>
      </c>
      <c r="D38" s="211">
        <f>+D35*1.5</f>
        <v>598.5</v>
      </c>
      <c r="E38" s="211">
        <f>C38*D38</f>
        <v>897.75</v>
      </c>
      <c r="F38" s="649"/>
      <c r="G38" s="180"/>
      <c r="H38" s="180"/>
      <c r="I38" s="181"/>
      <c r="J38" s="187"/>
      <c r="K38" s="188"/>
      <c r="L38" s="712"/>
      <c r="O38" s="712"/>
    </row>
    <row r="39" spans="2:17" ht="18" customHeight="1" x14ac:dyDescent="0.35">
      <c r="B39" s="3" t="s">
        <v>6</v>
      </c>
      <c r="C39" s="267">
        <v>11000</v>
      </c>
      <c r="D39" s="211"/>
      <c r="E39" s="211">
        <f>+C39</f>
        <v>11000</v>
      </c>
      <c r="G39" s="180"/>
      <c r="H39" s="180"/>
      <c r="I39" s="181"/>
      <c r="J39" s="181"/>
      <c r="K39" s="184"/>
      <c r="O39" s="712"/>
    </row>
    <row r="40" spans="2:17" ht="18" customHeight="1" x14ac:dyDescent="0.35">
      <c r="B40" s="3" t="s">
        <v>283</v>
      </c>
      <c r="C40" s="267" t="s">
        <v>63</v>
      </c>
      <c r="D40" s="211"/>
      <c r="E40" s="211"/>
      <c r="G40" s="180"/>
      <c r="H40" s="180"/>
      <c r="I40" s="181"/>
      <c r="J40" s="181"/>
      <c r="K40" s="184"/>
      <c r="O40" s="712"/>
    </row>
    <row r="41" spans="2:17" s="712" customFormat="1" ht="18" customHeight="1" x14ac:dyDescent="0.35">
      <c r="B41" s="1439" t="s">
        <v>99</v>
      </c>
      <c r="C41" s="1440"/>
      <c r="D41" s="1441"/>
      <c r="E41" s="599">
        <f>+E35+E36+E37+E38+E39</f>
        <v>98904.75</v>
      </c>
      <c r="F41"/>
      <c r="G41" s="180"/>
      <c r="H41" s="180"/>
      <c r="I41" s="181"/>
      <c r="J41" s="181"/>
      <c r="K41" s="184"/>
      <c r="L41"/>
      <c r="N41"/>
      <c r="O41"/>
    </row>
    <row r="42" spans="2:17" s="712" customFormat="1" ht="18" customHeight="1" x14ac:dyDescent="0.35">
      <c r="B42" s="724" t="s">
        <v>319</v>
      </c>
      <c r="C42" s="725">
        <v>1.5</v>
      </c>
      <c r="D42" s="726">
        <v>399</v>
      </c>
      <c r="E42" s="726">
        <v>-598.5</v>
      </c>
      <c r="F42" s="202"/>
      <c r="G42" s="180"/>
      <c r="H42" s="180"/>
      <c r="I42" s="181"/>
      <c r="J42" s="181"/>
      <c r="K42" s="184"/>
      <c r="L42"/>
      <c r="N42"/>
      <c r="O42"/>
    </row>
    <row r="43" spans="2:17" s="712" customFormat="1" ht="18" customHeight="1" x14ac:dyDescent="0.35">
      <c r="B43" s="1423" t="s">
        <v>19</v>
      </c>
      <c r="C43" s="1400"/>
      <c r="D43" s="1424"/>
      <c r="E43" s="213">
        <v>-40000</v>
      </c>
      <c r="F43"/>
      <c r="G43" s="180"/>
      <c r="H43" s="180"/>
      <c r="I43" s="181"/>
      <c r="J43" s="181"/>
      <c r="K43" s="184"/>
      <c r="L43"/>
      <c r="N43"/>
      <c r="O43"/>
    </row>
    <row r="44" spans="2:17" ht="18" customHeight="1" x14ac:dyDescent="0.35">
      <c r="B44" s="1453" t="s">
        <v>11</v>
      </c>
      <c r="C44" s="1454"/>
      <c r="D44" s="1455"/>
      <c r="E44" s="608">
        <f>+E41+E42+E43</f>
        <v>58306.25</v>
      </c>
      <c r="G44" s="180"/>
      <c r="H44" s="180"/>
      <c r="I44" s="181"/>
      <c r="J44" s="181"/>
      <c r="K44" s="184"/>
    </row>
    <row r="45" spans="2:17" ht="18" customHeight="1" x14ac:dyDescent="0.35">
      <c r="B45" s="594"/>
      <c r="C45" s="594"/>
      <c r="D45" s="594"/>
      <c r="E45" s="595"/>
      <c r="G45" s="180"/>
      <c r="H45" s="180"/>
      <c r="I45" s="181"/>
      <c r="J45" s="181"/>
      <c r="K45" s="184"/>
    </row>
    <row r="46" spans="2:17" ht="18" customHeight="1" x14ac:dyDescent="0.35">
      <c r="B46" s="594"/>
      <c r="C46" s="594"/>
      <c r="D46" s="594"/>
      <c r="E46" s="595"/>
      <c r="G46" s="180"/>
      <c r="H46" s="180"/>
      <c r="I46" s="181"/>
      <c r="J46" s="181"/>
      <c r="K46" s="184"/>
    </row>
    <row r="47" spans="2:17" ht="15" customHeight="1" x14ac:dyDescent="0.35">
      <c r="B47" s="1431" t="s">
        <v>0</v>
      </c>
      <c r="C47" s="1431"/>
      <c r="D47" s="1431"/>
      <c r="E47" s="1431"/>
      <c r="G47" s="180"/>
      <c r="H47" s="180"/>
      <c r="I47" s="181"/>
      <c r="J47" s="181"/>
      <c r="K47" s="184"/>
      <c r="L47" s="712"/>
    </row>
    <row r="48" spans="2:17" ht="15" customHeight="1" x14ac:dyDescent="0.35">
      <c r="B48" s="2" t="s">
        <v>7</v>
      </c>
      <c r="C48" s="270" t="s">
        <v>8</v>
      </c>
      <c r="D48" s="217" t="s">
        <v>4</v>
      </c>
      <c r="E48" s="597" t="s">
        <v>9</v>
      </c>
      <c r="G48" s="180"/>
      <c r="H48" s="180"/>
      <c r="I48" s="181"/>
      <c r="J48" s="181"/>
      <c r="K48" s="184"/>
      <c r="L48" s="712"/>
    </row>
    <row r="49" spans="2:22" ht="15" customHeight="1" x14ac:dyDescent="0.35">
      <c r="B49" s="3" t="s">
        <v>253</v>
      </c>
      <c r="C49" s="258">
        <v>185</v>
      </c>
      <c r="D49" s="194">
        <v>567</v>
      </c>
      <c r="E49" s="598">
        <f>+C49*D49</f>
        <v>104895</v>
      </c>
      <c r="F49" s="202"/>
      <c r="G49" s="180"/>
      <c r="H49" s="180"/>
      <c r="I49" s="181"/>
      <c r="J49" s="181"/>
      <c r="K49" s="184"/>
    </row>
    <row r="50" spans="2:22" ht="15" customHeight="1" x14ac:dyDescent="0.35">
      <c r="B50" s="3" t="s">
        <v>318</v>
      </c>
      <c r="C50" s="258">
        <v>8</v>
      </c>
      <c r="D50" s="194">
        <f>+D49</f>
        <v>567</v>
      </c>
      <c r="E50" s="598">
        <f>C50*D50</f>
        <v>4536</v>
      </c>
      <c r="F50" s="202"/>
      <c r="G50" s="180"/>
      <c r="H50" s="180"/>
      <c r="I50" s="181"/>
      <c r="J50" s="181"/>
      <c r="K50" s="184"/>
    </row>
    <row r="51" spans="2:22" ht="15" customHeight="1" x14ac:dyDescent="0.35">
      <c r="B51" s="3" t="s">
        <v>196</v>
      </c>
      <c r="C51" s="258"/>
      <c r="D51" s="194"/>
      <c r="E51" s="598">
        <v>10000</v>
      </c>
      <c r="F51" s="712"/>
      <c r="M51" s="176"/>
      <c r="N51" s="180"/>
      <c r="O51" s="180"/>
      <c r="P51" s="181"/>
      <c r="Q51" s="181"/>
      <c r="R51" s="184"/>
    </row>
    <row r="52" spans="2:22" ht="15" customHeight="1" x14ac:dyDescent="0.35">
      <c r="B52" s="3" t="s">
        <v>195</v>
      </c>
      <c r="C52" s="315">
        <v>4</v>
      </c>
      <c r="D52" s="194">
        <f>+D50*1.5</f>
        <v>850.5</v>
      </c>
      <c r="E52" s="598">
        <f>+C52*D52</f>
        <v>3402</v>
      </c>
      <c r="M52" s="176"/>
      <c r="N52" s="176"/>
      <c r="O52" s="176"/>
      <c r="P52" s="181"/>
      <c r="Q52" s="181"/>
      <c r="R52" s="184"/>
      <c r="T52" s="712"/>
    </row>
    <row r="53" spans="2:22" s="712" customFormat="1" ht="15" customHeight="1" x14ac:dyDescent="0.35">
      <c r="B53" s="3" t="s">
        <v>6</v>
      </c>
      <c r="C53" s="258">
        <v>16500</v>
      </c>
      <c r="D53" s="194"/>
      <c r="E53" s="598">
        <f>+C53</f>
        <v>16500</v>
      </c>
      <c r="F53"/>
      <c r="G53"/>
      <c r="H53"/>
      <c r="I53"/>
      <c r="J53"/>
      <c r="K53"/>
      <c r="L53"/>
      <c r="M53" s="176"/>
      <c r="N53" s="176"/>
      <c r="O53" s="176"/>
      <c r="P53" s="176"/>
      <c r="Q53" s="176"/>
      <c r="R53" s="176"/>
      <c r="S53"/>
      <c r="T53"/>
      <c r="U53"/>
      <c r="V53"/>
    </row>
    <row r="54" spans="2:22" s="712" customFormat="1" ht="15" customHeight="1" x14ac:dyDescent="0.35">
      <c r="B54" s="3" t="s">
        <v>283</v>
      </c>
      <c r="C54" s="258" t="s">
        <v>63</v>
      </c>
      <c r="D54" s="194" t="s">
        <v>63</v>
      </c>
      <c r="E54" s="598" t="s">
        <v>63</v>
      </c>
      <c r="F54"/>
      <c r="G54"/>
      <c r="H54"/>
      <c r="I54"/>
      <c r="J54"/>
      <c r="K54"/>
      <c r="L54"/>
      <c r="M54" s="176"/>
      <c r="N54" s="176"/>
      <c r="O54" s="176"/>
      <c r="P54" s="176"/>
      <c r="Q54" s="176"/>
      <c r="R54" s="176"/>
      <c r="S54"/>
      <c r="T54"/>
      <c r="U54"/>
      <c r="V54"/>
    </row>
    <row r="55" spans="2:22" s="712" customFormat="1" ht="15" customHeight="1" x14ac:dyDescent="0.35">
      <c r="B55" s="3" t="s">
        <v>307</v>
      </c>
      <c r="C55" s="258">
        <v>3</v>
      </c>
      <c r="D55" s="194">
        <v>1500</v>
      </c>
      <c r="E55" s="598">
        <f>+C55*D55</f>
        <v>4500</v>
      </c>
      <c r="F55" s="202"/>
      <c r="G55"/>
      <c r="H55"/>
      <c r="I55"/>
      <c r="J55"/>
      <c r="K55"/>
      <c r="L55"/>
      <c r="M55" s="176"/>
      <c r="N55" s="176"/>
      <c r="O55" s="176"/>
      <c r="P55" s="176"/>
      <c r="Q55" s="176"/>
      <c r="R55" s="176"/>
      <c r="S55"/>
      <c r="T55"/>
      <c r="U55"/>
      <c r="V55"/>
    </row>
    <row r="56" spans="2:22" ht="15" customHeight="1" x14ac:dyDescent="0.35">
      <c r="B56" s="1432" t="s">
        <v>99</v>
      </c>
      <c r="C56" s="1432"/>
      <c r="D56" s="1432"/>
      <c r="E56" s="599">
        <f>+E49+E50+E51+E52+E53+E55</f>
        <v>143833</v>
      </c>
      <c r="F56" s="202"/>
      <c r="N56" s="183"/>
      <c r="O56" s="183"/>
      <c r="P56" s="176"/>
      <c r="Q56" s="176"/>
      <c r="R56" s="176"/>
      <c r="T56" s="712"/>
    </row>
    <row r="57" spans="2:22" s="90" customFormat="1" ht="15" customHeight="1" x14ac:dyDescent="0.35">
      <c r="B57" s="723" t="s">
        <v>319</v>
      </c>
      <c r="C57" s="727">
        <v>1.5</v>
      </c>
      <c r="D57" s="727">
        <v>567</v>
      </c>
      <c r="E57" s="722">
        <v>-850.5</v>
      </c>
      <c r="F57" s="553" t="s">
        <v>63</v>
      </c>
      <c r="N57" s="455"/>
      <c r="O57" s="455"/>
      <c r="P57" s="728"/>
      <c r="Q57" s="728"/>
      <c r="R57" s="728"/>
      <c r="T57" s="716"/>
    </row>
    <row r="58" spans="2:22" s="716" customFormat="1" ht="15" customHeight="1" x14ac:dyDescent="0.35">
      <c r="B58" s="724" t="s">
        <v>293</v>
      </c>
      <c r="C58" s="729"/>
      <c r="D58" s="730"/>
      <c r="E58" s="731">
        <v>-50163.79</v>
      </c>
      <c r="F58" s="553"/>
      <c r="G58" s="90"/>
      <c r="H58" s="90"/>
      <c r="I58" s="90"/>
      <c r="J58" s="90"/>
      <c r="K58" s="90"/>
      <c r="L58" s="90"/>
      <c r="M58" s="728"/>
      <c r="N58" s="728"/>
      <c r="O58" s="728"/>
      <c r="P58" s="728"/>
      <c r="Q58" s="728"/>
      <c r="R58" s="728"/>
      <c r="S58" s="90"/>
      <c r="T58" s="90"/>
      <c r="U58" s="90"/>
      <c r="V58" s="90"/>
    </row>
    <row r="59" spans="2:22" s="690" customFormat="1" ht="15" customHeight="1" x14ac:dyDescent="0.35">
      <c r="B59" s="672"/>
      <c r="C59" s="673" t="s">
        <v>11</v>
      </c>
      <c r="D59" s="674"/>
      <c r="E59" s="675">
        <f>+E56+E57+E58</f>
        <v>92818.709999999992</v>
      </c>
      <c r="F59" s="671"/>
      <c r="G59" s="671"/>
      <c r="H59" s="671"/>
      <c r="I59" s="671"/>
      <c r="J59" s="671"/>
      <c r="K59" s="671"/>
      <c r="L59" s="671"/>
      <c r="M59" s="691"/>
      <c r="N59" s="691"/>
      <c r="O59" s="691"/>
      <c r="P59" s="691"/>
      <c r="Q59" s="691"/>
      <c r="R59" s="691"/>
      <c r="S59" s="671"/>
      <c r="T59" s="671"/>
      <c r="U59" s="671"/>
      <c r="V59" s="671"/>
    </row>
    <row r="60" spans="2:22" s="712" customFormat="1" ht="15" customHeight="1" x14ac:dyDescent="0.35">
      <c r="B60" s="455"/>
      <c r="C60" s="455"/>
      <c r="D60" s="455"/>
      <c r="E60" s="456"/>
      <c r="F60"/>
      <c r="G60"/>
      <c r="H60"/>
      <c r="I60"/>
      <c r="J60"/>
      <c r="K60"/>
      <c r="L60"/>
      <c r="M60"/>
      <c r="N60" s="176"/>
      <c r="O60" s="176"/>
      <c r="P60" s="176"/>
      <c r="Q60" s="176"/>
      <c r="R60" s="176"/>
      <c r="S60"/>
      <c r="U60"/>
    </row>
    <row r="61" spans="2:22" s="712" customFormat="1" ht="15" customHeight="1" x14ac:dyDescent="0.35">
      <c r="B61" s="455"/>
      <c r="C61" s="455"/>
      <c r="D61" s="455"/>
      <c r="E61" s="456"/>
      <c r="F61"/>
      <c r="G61"/>
      <c r="H61"/>
      <c r="I61"/>
      <c r="J61"/>
      <c r="K61"/>
      <c r="L61"/>
      <c r="M61"/>
      <c r="N61" s="176"/>
      <c r="O61" s="176"/>
      <c r="P61" s="176"/>
      <c r="Q61" s="176"/>
      <c r="R61" s="176"/>
      <c r="S61"/>
      <c r="U61"/>
    </row>
    <row r="62" spans="2:22" ht="15" customHeight="1" x14ac:dyDescent="0.35">
      <c r="B62" s="1431" t="s">
        <v>28</v>
      </c>
      <c r="C62" s="1431"/>
      <c r="D62" s="1431"/>
      <c r="E62" s="1431"/>
      <c r="N62" s="176"/>
      <c r="O62" s="176"/>
      <c r="P62" s="176"/>
      <c r="Q62" s="176"/>
      <c r="R62" s="176"/>
    </row>
    <row r="63" spans="2:22" ht="15" customHeight="1" x14ac:dyDescent="0.35">
      <c r="B63" s="2" t="s">
        <v>7</v>
      </c>
      <c r="C63" s="270" t="s">
        <v>8</v>
      </c>
      <c r="D63" s="217" t="s">
        <v>4</v>
      </c>
      <c r="E63" s="597" t="s">
        <v>9</v>
      </c>
      <c r="N63" s="176"/>
      <c r="O63" s="176"/>
      <c r="P63" s="176"/>
      <c r="Q63" s="176"/>
      <c r="R63" s="176"/>
    </row>
    <row r="64" spans="2:22" ht="15" customHeight="1" x14ac:dyDescent="0.35">
      <c r="B64" s="3" t="s">
        <v>3</v>
      </c>
      <c r="C64" s="315">
        <v>185</v>
      </c>
      <c r="D64" s="194">
        <v>567</v>
      </c>
      <c r="E64" s="598">
        <f>+C64*D64</f>
        <v>104895</v>
      </c>
      <c r="N64" s="176"/>
      <c r="O64" s="176"/>
      <c r="P64" s="176"/>
      <c r="Q64" s="176"/>
      <c r="R64" s="176"/>
    </row>
    <row r="65" spans="2:22" ht="15" customHeight="1" x14ac:dyDescent="0.35">
      <c r="B65" s="3" t="s">
        <v>318</v>
      </c>
      <c r="C65" s="315">
        <v>8</v>
      </c>
      <c r="D65" s="194">
        <f>+D64</f>
        <v>567</v>
      </c>
      <c r="E65" s="598">
        <f>+C65*D65</f>
        <v>4536</v>
      </c>
      <c r="F65" s="202"/>
      <c r="N65" s="176"/>
      <c r="O65" s="176"/>
      <c r="P65" s="176"/>
      <c r="Q65" s="176"/>
      <c r="R65" s="176"/>
    </row>
    <row r="66" spans="2:22" ht="15" customHeight="1" x14ac:dyDescent="0.35">
      <c r="B66" s="3" t="s">
        <v>196</v>
      </c>
      <c r="C66" s="315"/>
      <c r="D66" s="194"/>
      <c r="E66" s="598">
        <v>10000</v>
      </c>
      <c r="F66" s="202"/>
      <c r="N66" s="176"/>
      <c r="O66" s="176"/>
      <c r="P66" s="176"/>
      <c r="Q66" s="176"/>
      <c r="R66" s="176"/>
    </row>
    <row r="67" spans="2:22" ht="15" customHeight="1" x14ac:dyDescent="0.35">
      <c r="B67" s="3" t="s">
        <v>195</v>
      </c>
      <c r="C67" s="315">
        <v>5</v>
      </c>
      <c r="D67" s="194">
        <f>+D64*1.5</f>
        <v>850.5</v>
      </c>
      <c r="E67" s="598">
        <f>+D67*C67</f>
        <v>4252.5</v>
      </c>
      <c r="N67" s="176"/>
      <c r="O67" s="176"/>
      <c r="P67" s="176"/>
      <c r="Q67" s="176"/>
      <c r="R67" s="176"/>
    </row>
    <row r="68" spans="2:22" ht="15" customHeight="1" x14ac:dyDescent="0.35">
      <c r="B68" s="3" t="s">
        <v>6</v>
      </c>
      <c r="C68" s="315">
        <v>16000</v>
      </c>
      <c r="D68" s="194"/>
      <c r="E68" s="598">
        <f>+C68</f>
        <v>16000</v>
      </c>
      <c r="N68" s="176"/>
      <c r="O68" s="176"/>
      <c r="P68" s="176"/>
      <c r="Q68" s="176"/>
      <c r="R68" s="176"/>
    </row>
    <row r="69" spans="2:22" ht="15" customHeight="1" x14ac:dyDescent="0.35">
      <c r="B69" s="3" t="s">
        <v>283</v>
      </c>
      <c r="C69" s="315" t="s">
        <v>63</v>
      </c>
      <c r="D69" s="194" t="s">
        <v>63</v>
      </c>
      <c r="E69" s="598" t="s">
        <v>63</v>
      </c>
      <c r="N69" s="176"/>
      <c r="O69" s="176"/>
      <c r="P69" s="176"/>
      <c r="Q69" s="176"/>
      <c r="R69" s="176"/>
    </row>
    <row r="70" spans="2:22" ht="15" customHeight="1" x14ac:dyDescent="0.35">
      <c r="B70" s="3" t="s">
        <v>307</v>
      </c>
      <c r="C70" s="315">
        <v>3</v>
      </c>
      <c r="D70" s="194">
        <v>1500</v>
      </c>
      <c r="E70" s="598">
        <f>+C70*D70</f>
        <v>4500</v>
      </c>
      <c r="N70" s="176"/>
      <c r="O70" s="176"/>
      <c r="P70" s="176"/>
      <c r="Q70" s="176"/>
      <c r="R70" s="176"/>
    </row>
    <row r="71" spans="2:22" ht="15" customHeight="1" x14ac:dyDescent="0.35">
      <c r="B71" s="1432" t="s">
        <v>99</v>
      </c>
      <c r="C71" s="1432"/>
      <c r="D71" s="1432"/>
      <c r="E71" s="599">
        <f>+E64+E65+E66+E67+E68+E70</f>
        <v>144183.5</v>
      </c>
      <c r="F71" s="202"/>
      <c r="V71" s="712"/>
    </row>
    <row r="72" spans="2:22" ht="15" customHeight="1" x14ac:dyDescent="0.35">
      <c r="B72" s="737" t="s">
        <v>319</v>
      </c>
      <c r="C72" s="732">
        <v>1.5</v>
      </c>
      <c r="D72" s="732">
        <v>567</v>
      </c>
      <c r="E72" s="733">
        <v>-850.5</v>
      </c>
      <c r="F72" s="202"/>
      <c r="V72" s="712"/>
    </row>
    <row r="73" spans="2:22" ht="15" customHeight="1" x14ac:dyDescent="0.35">
      <c r="B73" s="713" t="s">
        <v>320</v>
      </c>
      <c r="C73" s="713"/>
      <c r="D73" s="713"/>
      <c r="E73" s="600">
        <v>-47445.26</v>
      </c>
    </row>
    <row r="74" spans="2:22" ht="15" customHeight="1" x14ac:dyDescent="0.35">
      <c r="B74" s="713" t="s">
        <v>19</v>
      </c>
      <c r="C74" s="683"/>
      <c r="D74" s="713"/>
      <c r="E74" s="600">
        <v>-21000</v>
      </c>
    </row>
    <row r="75" spans="2:22" ht="15" customHeight="1" x14ac:dyDescent="0.35">
      <c r="B75" s="684"/>
      <c r="C75" s="685" t="s">
        <v>11</v>
      </c>
      <c r="D75" s="686"/>
      <c r="E75" s="687">
        <f>+E71+E72+E73+E74</f>
        <v>74887.739999999991</v>
      </c>
    </row>
    <row r="76" spans="2:22" ht="15" customHeight="1" x14ac:dyDescent="0.35">
      <c r="B76" s="455"/>
      <c r="C76" s="455"/>
      <c r="D76" s="455"/>
      <c r="E76" s="456"/>
      <c r="V76" s="712"/>
    </row>
    <row r="78" spans="2:22" ht="23.5" x14ac:dyDescent="0.35">
      <c r="B78" s="1442" t="s">
        <v>263</v>
      </c>
      <c r="C78" s="1443"/>
      <c r="D78" s="1443"/>
      <c r="E78" s="1444"/>
    </row>
    <row r="79" spans="2:22" x14ac:dyDescent="0.35">
      <c r="B79" s="2" t="s">
        <v>7</v>
      </c>
      <c r="C79" s="270" t="s">
        <v>8</v>
      </c>
      <c r="D79" s="217" t="s">
        <v>4</v>
      </c>
      <c r="E79" s="597" t="s">
        <v>9</v>
      </c>
    </row>
    <row r="80" spans="2:22" x14ac:dyDescent="0.35">
      <c r="B80" s="3" t="s">
        <v>3</v>
      </c>
      <c r="C80" s="258">
        <v>185</v>
      </c>
      <c r="D80" s="227">
        <v>352</v>
      </c>
      <c r="E80" s="598">
        <f>+C80*D80</f>
        <v>65120</v>
      </c>
      <c r="F80" s="202"/>
    </row>
    <row r="81" spans="2:6" x14ac:dyDescent="0.35">
      <c r="B81" s="3" t="s">
        <v>318</v>
      </c>
      <c r="C81" s="258">
        <v>8</v>
      </c>
      <c r="D81" s="227">
        <v>352</v>
      </c>
      <c r="E81" s="598">
        <f>+C81*D81</f>
        <v>2816</v>
      </c>
    </row>
    <row r="82" spans="2:6" x14ac:dyDescent="0.35">
      <c r="B82" s="3" t="s">
        <v>266</v>
      </c>
      <c r="C82" s="258"/>
      <c r="D82" s="227"/>
      <c r="E82" s="598">
        <v>5000</v>
      </c>
    </row>
    <row r="83" spans="2:6" x14ac:dyDescent="0.35">
      <c r="B83" s="3" t="s">
        <v>195</v>
      </c>
      <c r="C83" s="258">
        <v>5</v>
      </c>
      <c r="D83" s="194">
        <f>+D80*1.5</f>
        <v>528</v>
      </c>
      <c r="E83" s="598">
        <f>+C83*D83</f>
        <v>2640</v>
      </c>
    </row>
    <row r="84" spans="2:6" x14ac:dyDescent="0.35">
      <c r="B84" s="3" t="s">
        <v>6</v>
      </c>
      <c r="C84" s="258"/>
      <c r="D84" s="194"/>
      <c r="E84" s="598">
        <v>11000</v>
      </c>
    </row>
    <row r="85" spans="2:6" x14ac:dyDescent="0.35">
      <c r="B85" s="3" t="s">
        <v>283</v>
      </c>
      <c r="C85" s="258" t="s">
        <v>63</v>
      </c>
      <c r="D85" s="194" t="s">
        <v>63</v>
      </c>
      <c r="E85" s="598" t="s">
        <v>63</v>
      </c>
    </row>
    <row r="86" spans="2:6" x14ac:dyDescent="0.35">
      <c r="B86" s="1439" t="s">
        <v>99</v>
      </c>
      <c r="C86" s="1440"/>
      <c r="D86" s="1441"/>
      <c r="E86" s="599">
        <f>+E80+E81+E82+E83+E84</f>
        <v>86576</v>
      </c>
    </row>
    <row r="87" spans="2:6" x14ac:dyDescent="0.35">
      <c r="B87" s="738" t="s">
        <v>321</v>
      </c>
      <c r="C87" s="735">
        <v>1.5</v>
      </c>
      <c r="D87" s="734">
        <v>336</v>
      </c>
      <c r="E87" s="736">
        <v>-504</v>
      </c>
      <c r="F87" t="s">
        <v>63</v>
      </c>
    </row>
    <row r="88" spans="2:6" x14ac:dyDescent="0.35">
      <c r="B88" s="723" t="s">
        <v>326</v>
      </c>
      <c r="C88" s="720" t="s">
        <v>63</v>
      </c>
      <c r="D88" s="720"/>
      <c r="E88" s="722">
        <v>-3960</v>
      </c>
    </row>
    <row r="89" spans="2:6" x14ac:dyDescent="0.35">
      <c r="B89" s="672"/>
      <c r="C89" s="673" t="s">
        <v>11</v>
      </c>
      <c r="D89" s="674"/>
      <c r="E89" s="675">
        <f>+E86+E87+E88</f>
        <v>82112</v>
      </c>
      <c r="F89" s="90"/>
    </row>
    <row r="90" spans="2:6" ht="23.15" customHeight="1" x14ac:dyDescent="0.35"/>
    <row r="91" spans="2:6" ht="14.65" customHeight="1" x14ac:dyDescent="0.35"/>
    <row r="92" spans="2:6" ht="14.65" customHeight="1" x14ac:dyDescent="0.35"/>
    <row r="93" spans="2:6" ht="14.65" customHeight="1" x14ac:dyDescent="0.35"/>
    <row r="94" spans="2:6" ht="14.65" customHeight="1" x14ac:dyDescent="0.35"/>
    <row r="95" spans="2:6" x14ac:dyDescent="0.35">
      <c r="F95" s="202"/>
    </row>
    <row r="96" spans="2:6" ht="14.65" customHeight="1" x14ac:dyDescent="0.35"/>
    <row r="97" spans="2:22" s="712" customFormat="1" ht="14.65" customHeight="1" x14ac:dyDescent="0.35">
      <c r="F97"/>
      <c r="G97"/>
      <c r="H97" s="181"/>
      <c r="I97" s="181"/>
      <c r="J97" s="181"/>
      <c r="K97" s="181"/>
      <c r="L97" s="181"/>
      <c r="M97" s="184"/>
      <c r="N97" s="180"/>
      <c r="O97" s="180"/>
      <c r="P97" s="181"/>
      <c r="Q97" s="181"/>
      <c r="R97" s="181"/>
      <c r="S97"/>
      <c r="V97"/>
    </row>
    <row r="99" spans="2:22" s="106" customFormat="1" x14ac:dyDescent="0.35"/>
    <row r="100" spans="2:22" s="679" customFormat="1" x14ac:dyDescent="0.35"/>
    <row r="101" spans="2:22" s="679" customFormat="1" x14ac:dyDescent="0.35">
      <c r="B101" s="689"/>
      <c r="C101" s="689"/>
      <c r="D101" s="689"/>
      <c r="E101" s="688"/>
    </row>
    <row r="102" spans="2:22" s="679" customFormat="1" x14ac:dyDescent="0.35">
      <c r="B102" s="689"/>
      <c r="C102" s="689"/>
      <c r="D102" s="689"/>
      <c r="E102" s="688"/>
    </row>
    <row r="103" spans="2:22" s="679" customFormat="1" x14ac:dyDescent="0.35">
      <c r="B103" s="689"/>
      <c r="C103" s="689"/>
      <c r="D103" s="689"/>
      <c r="E103" s="688"/>
    </row>
    <row r="104" spans="2:22" s="106" customFormat="1" x14ac:dyDescent="0.35">
      <c r="B104" s="1434"/>
      <c r="C104" s="1434"/>
      <c r="D104" s="1434"/>
      <c r="E104" s="421"/>
    </row>
    <row r="105" spans="2:22" ht="23.5" x14ac:dyDescent="0.35">
      <c r="B105" s="1442" t="s">
        <v>264</v>
      </c>
      <c r="C105" s="1443"/>
      <c r="D105" s="1443"/>
      <c r="E105" s="1444"/>
    </row>
    <row r="106" spans="2:22" x14ac:dyDescent="0.35">
      <c r="B106" s="2" t="s">
        <v>7</v>
      </c>
      <c r="C106" s="270" t="s">
        <v>8</v>
      </c>
      <c r="D106" s="217" t="s">
        <v>4</v>
      </c>
      <c r="E106" s="597" t="s">
        <v>9</v>
      </c>
    </row>
    <row r="107" spans="2:22" x14ac:dyDescent="0.35">
      <c r="B107" s="3" t="s">
        <v>3</v>
      </c>
      <c r="C107" s="258">
        <v>185</v>
      </c>
      <c r="D107" s="227">
        <v>319</v>
      </c>
      <c r="E107" s="598">
        <f>C107*D107</f>
        <v>59015</v>
      </c>
      <c r="F107" s="202"/>
    </row>
    <row r="108" spans="2:22" x14ac:dyDescent="0.35">
      <c r="B108" s="3" t="s">
        <v>318</v>
      </c>
      <c r="C108" s="258">
        <v>8</v>
      </c>
      <c r="D108" s="227">
        <v>319</v>
      </c>
      <c r="E108" s="598">
        <f>C108*D108</f>
        <v>2552</v>
      </c>
    </row>
    <row r="109" spans="2:22" x14ac:dyDescent="0.35">
      <c r="B109" s="3" t="s">
        <v>196</v>
      </c>
      <c r="C109" s="258"/>
      <c r="D109" s="227"/>
      <c r="E109" s="598">
        <v>5000</v>
      </c>
    </row>
    <row r="110" spans="2:22" x14ac:dyDescent="0.35">
      <c r="B110" s="3" t="s">
        <v>195</v>
      </c>
      <c r="C110" s="258">
        <v>1.5</v>
      </c>
      <c r="D110" s="227">
        <f>+D107*1.5</f>
        <v>478.5</v>
      </c>
      <c r="E110" s="598">
        <f>+C110*D110</f>
        <v>717.75</v>
      </c>
    </row>
    <row r="111" spans="2:22" x14ac:dyDescent="0.35">
      <c r="B111" s="3" t="s">
        <v>6</v>
      </c>
      <c r="C111" s="258"/>
      <c r="D111" s="227"/>
      <c r="E111" s="598">
        <v>8000</v>
      </c>
    </row>
    <row r="112" spans="2:22" x14ac:dyDescent="0.35">
      <c r="B112" s="3" t="s">
        <v>283</v>
      </c>
      <c r="C112" s="258" t="s">
        <v>63</v>
      </c>
      <c r="D112" s="227" t="s">
        <v>63</v>
      </c>
      <c r="E112" s="598" t="s">
        <v>63</v>
      </c>
    </row>
    <row r="113" spans="2:6" x14ac:dyDescent="0.35">
      <c r="B113" s="1439" t="s">
        <v>99</v>
      </c>
      <c r="C113" s="1440"/>
      <c r="D113" s="1441"/>
      <c r="E113" s="599">
        <f>+E107+E108+E109+E110+E111</f>
        <v>75284.75</v>
      </c>
    </row>
    <row r="114" spans="2:6" x14ac:dyDescent="0.35">
      <c r="B114" s="724" t="s">
        <v>322</v>
      </c>
      <c r="C114" s="729">
        <v>1.5</v>
      </c>
      <c r="D114" s="730">
        <v>305</v>
      </c>
      <c r="E114" s="731">
        <v>-457.5</v>
      </c>
      <c r="F114" s="202" t="s">
        <v>63</v>
      </c>
    </row>
    <row r="115" spans="2:6" x14ac:dyDescent="0.35">
      <c r="B115" s="1445" t="s">
        <v>19</v>
      </c>
      <c r="C115" s="1392"/>
      <c r="D115" s="1393"/>
      <c r="E115" s="600">
        <v>-5000</v>
      </c>
    </row>
    <row r="116" spans="2:6" x14ac:dyDescent="0.35">
      <c r="B116" s="717" t="s">
        <v>323</v>
      </c>
      <c r="C116" s="714" t="s">
        <v>325</v>
      </c>
      <c r="D116" s="715"/>
      <c r="E116" s="600">
        <v>-10000</v>
      </c>
    </row>
    <row r="117" spans="2:6" ht="15.5" x14ac:dyDescent="0.35">
      <c r="B117" s="1446" t="s">
        <v>11</v>
      </c>
      <c r="C117" s="1447"/>
      <c r="D117" s="1448"/>
      <c r="E117" s="603">
        <f>+E113+E114+E115+E116</f>
        <v>59827.25</v>
      </c>
      <c r="F117" s="202" t="s">
        <v>63</v>
      </c>
    </row>
    <row r="118" spans="2:6" x14ac:dyDescent="0.35">
      <c r="E118" s="203" t="s">
        <v>63</v>
      </c>
    </row>
    <row r="121" spans="2:6" ht="23.5" x14ac:dyDescent="0.35">
      <c r="B121" s="1442" t="s">
        <v>276</v>
      </c>
      <c r="C121" s="1443"/>
      <c r="D121" s="1443"/>
      <c r="E121" s="1444"/>
    </row>
    <row r="122" spans="2:6" ht="14.65" customHeight="1" x14ac:dyDescent="0.35">
      <c r="B122" s="2" t="s">
        <v>7</v>
      </c>
      <c r="C122" s="270" t="s">
        <v>8</v>
      </c>
      <c r="D122" s="217" t="s">
        <v>4</v>
      </c>
      <c r="E122" s="597" t="s">
        <v>9</v>
      </c>
    </row>
    <row r="123" spans="2:6" x14ac:dyDescent="0.35">
      <c r="B123" s="3" t="s">
        <v>21</v>
      </c>
      <c r="C123" s="258">
        <v>108.5</v>
      </c>
      <c r="D123" s="194">
        <v>384</v>
      </c>
      <c r="E123" s="598">
        <f>+C123*D123</f>
        <v>41664</v>
      </c>
    </row>
    <row r="124" spans="2:6" x14ac:dyDescent="0.35">
      <c r="B124" s="3" t="s">
        <v>303</v>
      </c>
      <c r="C124" s="258"/>
      <c r="D124" s="194" t="s">
        <v>63</v>
      </c>
      <c r="E124" s="609">
        <v>10000</v>
      </c>
      <c r="F124" s="202"/>
    </row>
    <row r="125" spans="2:6" x14ac:dyDescent="0.35">
      <c r="B125" s="615" t="s">
        <v>200</v>
      </c>
      <c r="C125" s="258" t="s">
        <v>63</v>
      </c>
      <c r="D125" s="194" t="s">
        <v>63</v>
      </c>
      <c r="E125" s="194">
        <v>2500</v>
      </c>
    </row>
    <row r="126" spans="2:6" x14ac:dyDescent="0.35">
      <c r="B126" s="680"/>
      <c r="C126" s="681" t="s">
        <v>99</v>
      </c>
      <c r="D126" s="682"/>
      <c r="E126" s="682">
        <f>+E123+E124+E125</f>
        <v>54164</v>
      </c>
    </row>
    <row r="127" spans="2:6" x14ac:dyDescent="0.35">
      <c r="B127" s="615" t="s">
        <v>19</v>
      </c>
      <c r="C127" s="458" t="s">
        <v>63</v>
      </c>
      <c r="D127" s="458" t="s">
        <v>63</v>
      </c>
      <c r="E127" s="194"/>
    </row>
    <row r="128" spans="2:6" ht="15.5" x14ac:dyDescent="0.35">
      <c r="B128" s="705" t="s">
        <v>11</v>
      </c>
      <c r="C128" s="708"/>
      <c r="D128" s="707"/>
      <c r="E128" s="603">
        <v>54164</v>
      </c>
    </row>
    <row r="131" spans="2:6" ht="23.5" x14ac:dyDescent="0.35">
      <c r="B131" s="1442" t="s">
        <v>260</v>
      </c>
      <c r="C131" s="1443"/>
      <c r="D131" s="1443"/>
      <c r="E131" s="1444"/>
    </row>
    <row r="132" spans="2:6" x14ac:dyDescent="0.35">
      <c r="B132" s="2" t="s">
        <v>7</v>
      </c>
      <c r="C132" s="270" t="s">
        <v>8</v>
      </c>
      <c r="D132" s="217" t="s">
        <v>4</v>
      </c>
      <c r="E132" s="597" t="s">
        <v>9</v>
      </c>
    </row>
    <row r="133" spans="2:6" x14ac:dyDescent="0.35">
      <c r="B133" s="3" t="s">
        <v>3</v>
      </c>
      <c r="C133" s="258">
        <v>166.5</v>
      </c>
      <c r="D133" s="194">
        <v>567</v>
      </c>
      <c r="E133" s="598">
        <f>+C133*D133</f>
        <v>94405.5</v>
      </c>
    </row>
    <row r="134" spans="2:6" x14ac:dyDescent="0.35">
      <c r="B134" s="3" t="s">
        <v>111</v>
      </c>
      <c r="C134" s="258">
        <v>8</v>
      </c>
      <c r="D134" s="194">
        <v>567</v>
      </c>
      <c r="E134" s="609">
        <f>+C134*D134</f>
        <v>4536</v>
      </c>
    </row>
    <row r="135" spans="2:6" x14ac:dyDescent="0.35">
      <c r="B135" s="3" t="s">
        <v>270</v>
      </c>
      <c r="C135" s="258" t="s">
        <v>63</v>
      </c>
      <c r="D135" s="194" t="s">
        <v>63</v>
      </c>
      <c r="E135" s="609" t="s">
        <v>63</v>
      </c>
    </row>
    <row r="136" spans="2:6" x14ac:dyDescent="0.35">
      <c r="B136" s="614" t="s">
        <v>200</v>
      </c>
      <c r="C136" s="617"/>
      <c r="D136" s="227"/>
      <c r="E136" s="609">
        <v>5000</v>
      </c>
    </row>
    <row r="137" spans="2:6" x14ac:dyDescent="0.35">
      <c r="B137" s="621" t="s">
        <v>99</v>
      </c>
      <c r="C137" s="622"/>
      <c r="D137" s="622"/>
      <c r="E137" s="634">
        <f>+E133+E134+E136</f>
        <v>103941.5</v>
      </c>
    </row>
    <row r="138" spans="2:6" x14ac:dyDescent="0.35">
      <c r="B138" s="615" t="s">
        <v>19</v>
      </c>
      <c r="C138" s="619"/>
      <c r="D138" s="619"/>
      <c r="E138" s="710">
        <v>-22000</v>
      </c>
    </row>
    <row r="139" spans="2:6" x14ac:dyDescent="0.35">
      <c r="B139" s="615" t="s">
        <v>313</v>
      </c>
      <c r="C139" s="709"/>
      <c r="D139" s="619"/>
      <c r="E139" s="710">
        <v>-8250</v>
      </c>
    </row>
    <row r="140" spans="2:6" ht="15.5" x14ac:dyDescent="0.35">
      <c r="B140" s="705" t="s">
        <v>11</v>
      </c>
      <c r="C140" s="708"/>
      <c r="D140" s="706"/>
      <c r="E140" s="603">
        <f>+E137+E138+E139</f>
        <v>73691.5</v>
      </c>
    </row>
    <row r="141" spans="2:6" ht="23.15" customHeight="1" x14ac:dyDescent="0.35"/>
    <row r="142" spans="2:6" ht="14.65" customHeight="1" x14ac:dyDescent="0.35"/>
    <row r="143" spans="2:6" x14ac:dyDescent="0.35">
      <c r="F143" s="202"/>
    </row>
    <row r="147" spans="2:6" x14ac:dyDescent="0.35">
      <c r="F147" s="202"/>
    </row>
    <row r="155" spans="2:6" ht="23.5" x14ac:dyDescent="0.35">
      <c r="B155" s="1442" t="s">
        <v>301</v>
      </c>
      <c r="C155" s="1443"/>
      <c r="D155" s="1443"/>
      <c r="E155" s="1444"/>
    </row>
    <row r="156" spans="2:6" x14ac:dyDescent="0.35">
      <c r="B156" s="2" t="s">
        <v>7</v>
      </c>
      <c r="C156" s="270" t="s">
        <v>8</v>
      </c>
      <c r="D156" s="217" t="s">
        <v>4</v>
      </c>
      <c r="E156" s="597" t="s">
        <v>9</v>
      </c>
    </row>
    <row r="157" spans="2:6" x14ac:dyDescent="0.35">
      <c r="B157" s="3" t="s">
        <v>3</v>
      </c>
      <c r="C157" s="258">
        <v>185</v>
      </c>
      <c r="D157" s="227">
        <v>313</v>
      </c>
      <c r="E157" s="598">
        <f>+C157*D157</f>
        <v>57905</v>
      </c>
    </row>
    <row r="158" spans="2:6" x14ac:dyDescent="0.35">
      <c r="B158" s="3" t="s">
        <v>318</v>
      </c>
      <c r="C158" s="258">
        <v>8</v>
      </c>
      <c r="D158" s="227">
        <v>313</v>
      </c>
      <c r="E158" s="598">
        <f>+C158*D158</f>
        <v>2504</v>
      </c>
    </row>
    <row r="159" spans="2:6" x14ac:dyDescent="0.35">
      <c r="B159" s="3" t="s">
        <v>200</v>
      </c>
      <c r="C159" s="258"/>
      <c r="D159" s="227"/>
      <c r="E159" s="598">
        <v>5000</v>
      </c>
    </row>
    <row r="160" spans="2:6" x14ac:dyDescent="0.35">
      <c r="B160" s="3" t="s">
        <v>195</v>
      </c>
      <c r="C160" s="258">
        <v>5.5</v>
      </c>
      <c r="D160" s="194">
        <f>+D157*1.5</f>
        <v>469.5</v>
      </c>
      <c r="E160" s="598">
        <f>+C160*D160</f>
        <v>2582.25</v>
      </c>
    </row>
    <row r="161" spans="2:6" x14ac:dyDescent="0.35">
      <c r="B161" s="3" t="s">
        <v>6</v>
      </c>
      <c r="C161" s="258"/>
      <c r="D161" s="194"/>
      <c r="E161" s="598">
        <v>5000</v>
      </c>
    </row>
    <row r="162" spans="2:6" x14ac:dyDescent="0.35">
      <c r="B162" s="3" t="s">
        <v>283</v>
      </c>
      <c r="C162" s="258" t="s">
        <v>324</v>
      </c>
      <c r="D162" s="194" t="s">
        <v>63</v>
      </c>
      <c r="E162" s="598" t="s">
        <v>63</v>
      </c>
    </row>
    <row r="163" spans="2:6" x14ac:dyDescent="0.35">
      <c r="B163" s="1439" t="s">
        <v>99</v>
      </c>
      <c r="C163" s="1440"/>
      <c r="D163" s="1441"/>
      <c r="E163" s="599">
        <f>+E157+E158+E159+E160+E161</f>
        <v>72991.25</v>
      </c>
      <c r="F163" s="202"/>
    </row>
    <row r="164" spans="2:6" x14ac:dyDescent="0.35">
      <c r="B164" s="724" t="s">
        <v>319</v>
      </c>
      <c r="C164" s="729">
        <v>1.5</v>
      </c>
      <c r="D164" s="730">
        <v>313</v>
      </c>
      <c r="E164" s="731">
        <v>-469.5</v>
      </c>
      <c r="F164" s="202" t="s">
        <v>63</v>
      </c>
    </row>
    <row r="165" spans="2:6" x14ac:dyDescent="0.35">
      <c r="B165" s="739" t="s">
        <v>19</v>
      </c>
      <c r="C165" s="729"/>
      <c r="D165" s="730"/>
      <c r="E165" s="731">
        <v>-20000</v>
      </c>
    </row>
    <row r="166" spans="2:6" x14ac:dyDescent="0.35">
      <c r="B166" s="129"/>
      <c r="C166" s="259" t="s">
        <v>11</v>
      </c>
      <c r="D166" s="197"/>
      <c r="E166" s="675">
        <f>+E163+E164+E165</f>
        <v>52521.75</v>
      </c>
    </row>
  </sheetData>
  <mergeCells count="26">
    <mergeCell ref="B28:D28"/>
    <mergeCell ref="B2:E2"/>
    <mergeCell ref="B11:D11"/>
    <mergeCell ref="B14:D14"/>
    <mergeCell ref="B17:E17"/>
    <mergeCell ref="B26:D26"/>
    <mergeCell ref="B104:D104"/>
    <mergeCell ref="B30:D30"/>
    <mergeCell ref="B33:E33"/>
    <mergeCell ref="B41:D41"/>
    <mergeCell ref="B43:D43"/>
    <mergeCell ref="B44:D44"/>
    <mergeCell ref="B47:E47"/>
    <mergeCell ref="B56:D56"/>
    <mergeCell ref="B62:E62"/>
    <mergeCell ref="B71:D71"/>
    <mergeCell ref="B78:E78"/>
    <mergeCell ref="B86:D86"/>
    <mergeCell ref="B155:E155"/>
    <mergeCell ref="B163:D163"/>
    <mergeCell ref="B105:E105"/>
    <mergeCell ref="B113:D113"/>
    <mergeCell ref="B115:D115"/>
    <mergeCell ref="B117:D117"/>
    <mergeCell ref="B121:E121"/>
    <mergeCell ref="B131:E131"/>
  </mergeCells>
  <pageMargins left="0.31496062992125984" right="0.11811023622047245" top="0" bottom="0" header="0.31496062992125984" footer="0.31496062992125984"/>
  <pageSetup paperSize="9" fitToWidth="0" orientation="portrait" r:id="rId1"/>
  <colBreaks count="1" manualBreakCount="1">
    <brk id="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39"/>
  <sheetViews>
    <sheetView topLeftCell="A22" workbookViewId="0">
      <selection activeCell="G38" sqref="G38"/>
    </sheetView>
  </sheetViews>
  <sheetFormatPr baseColWidth="10" defaultRowHeight="14.5" x14ac:dyDescent="0.35"/>
  <cols>
    <col min="2" max="2" width="31.26953125" customWidth="1"/>
    <col min="3" max="3" width="29.453125" style="49" customWidth="1"/>
    <col min="4" max="4" width="15.7265625" customWidth="1"/>
    <col min="5" max="5" width="14.08984375" customWidth="1"/>
  </cols>
  <sheetData>
    <row r="1" spans="2:3" s="658" customFormat="1" ht="28.5" x14ac:dyDescent="0.65">
      <c r="B1" s="718" t="s">
        <v>314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3" t="s">
        <v>10</v>
      </c>
      <c r="C4" s="75">
        <v>67200</v>
      </c>
    </row>
    <row r="5" spans="2:3" x14ac:dyDescent="0.35">
      <c r="B5" s="3" t="s">
        <v>15</v>
      </c>
      <c r="C5" s="75">
        <v>227200</v>
      </c>
    </row>
    <row r="6" spans="2:3" x14ac:dyDescent="0.35">
      <c r="B6" s="3" t="s">
        <v>16</v>
      </c>
      <c r="C6" s="75">
        <v>58310</v>
      </c>
    </row>
    <row r="7" spans="2:3" x14ac:dyDescent="0.35">
      <c r="B7" s="3" t="s">
        <v>0</v>
      </c>
      <c r="C7" s="75">
        <v>92820</v>
      </c>
    </row>
    <row r="8" spans="2:3" x14ac:dyDescent="0.35">
      <c r="B8" s="3" t="s">
        <v>28</v>
      </c>
      <c r="C8" s="75">
        <v>74900</v>
      </c>
    </row>
    <row r="9" spans="2:3" x14ac:dyDescent="0.35">
      <c r="B9" s="3"/>
      <c r="C9" s="75"/>
    </row>
    <row r="10" spans="2:3" x14ac:dyDescent="0.35">
      <c r="B10" s="3" t="s">
        <v>245</v>
      </c>
      <c r="C10" s="75">
        <v>59830</v>
      </c>
    </row>
    <row r="11" spans="2:3" x14ac:dyDescent="0.35">
      <c r="B11" s="3" t="s">
        <v>267</v>
      </c>
      <c r="C11" s="75">
        <v>82110</v>
      </c>
    </row>
    <row r="12" spans="2:3" x14ac:dyDescent="0.35">
      <c r="B12" s="3" t="s">
        <v>260</v>
      </c>
      <c r="C12" s="75">
        <v>73700</v>
      </c>
    </row>
    <row r="13" spans="2:3" x14ac:dyDescent="0.35">
      <c r="B13" s="3" t="s">
        <v>276</v>
      </c>
      <c r="C13" s="75">
        <v>54200</v>
      </c>
    </row>
    <row r="14" spans="2:3" x14ac:dyDescent="0.35">
      <c r="B14" s="3" t="s">
        <v>277</v>
      </c>
      <c r="C14" s="75">
        <v>52520</v>
      </c>
    </row>
    <row r="15" spans="2:3" s="646" customFormat="1" ht="26" x14ac:dyDescent="0.6">
      <c r="B15" s="650" t="s">
        <v>315</v>
      </c>
      <c r="C15" s="652">
        <f>SUM(C4:C14)</f>
        <v>842790</v>
      </c>
    </row>
    <row r="20" spans="2:4" s="648" customFormat="1" ht="46" x14ac:dyDescent="1">
      <c r="B20" s="719" t="s">
        <v>327</v>
      </c>
      <c r="C20" s="653"/>
    </row>
    <row r="21" spans="2:4" ht="18.5" x14ac:dyDescent="0.45">
      <c r="B21" s="643" t="s">
        <v>306</v>
      </c>
      <c r="C21" s="654" t="s">
        <v>272</v>
      </c>
      <c r="D21" s="643" t="s">
        <v>200</v>
      </c>
    </row>
    <row r="22" spans="2:4" ht="18.5" x14ac:dyDescent="0.45">
      <c r="B22" s="644" t="s">
        <v>10</v>
      </c>
      <c r="C22" s="655">
        <v>454</v>
      </c>
      <c r="D22" s="644">
        <v>10000</v>
      </c>
    </row>
    <row r="23" spans="2:4" ht="18.5" x14ac:dyDescent="0.45">
      <c r="B23" s="644" t="s">
        <v>15</v>
      </c>
      <c r="C23" s="655">
        <v>970</v>
      </c>
      <c r="D23" s="644">
        <v>10000</v>
      </c>
    </row>
    <row r="24" spans="2:4" ht="18.5" x14ac:dyDescent="0.45">
      <c r="B24" s="644" t="s">
        <v>16</v>
      </c>
      <c r="C24" s="655">
        <v>399</v>
      </c>
      <c r="D24" s="644">
        <v>10000</v>
      </c>
    </row>
    <row r="25" spans="2:4" ht="18.5" x14ac:dyDescent="0.45">
      <c r="B25" s="644" t="s">
        <v>0</v>
      </c>
      <c r="C25" s="655">
        <v>567</v>
      </c>
      <c r="D25" s="644">
        <v>10000</v>
      </c>
    </row>
    <row r="26" spans="2:4" ht="18.5" x14ac:dyDescent="0.45">
      <c r="B26" s="644" t="s">
        <v>28</v>
      </c>
      <c r="C26" s="655">
        <v>567</v>
      </c>
      <c r="D26" s="644">
        <v>10000</v>
      </c>
    </row>
    <row r="27" spans="2:4" ht="18.5" x14ac:dyDescent="0.45">
      <c r="B27" s="644" t="s">
        <v>245</v>
      </c>
      <c r="C27" s="655">
        <v>319</v>
      </c>
      <c r="D27" s="644">
        <v>5000</v>
      </c>
    </row>
    <row r="28" spans="2:4" ht="18.5" x14ac:dyDescent="0.45">
      <c r="B28" s="644" t="s">
        <v>267</v>
      </c>
      <c r="C28" s="655">
        <v>352</v>
      </c>
      <c r="D28" s="644">
        <v>5000</v>
      </c>
    </row>
    <row r="29" spans="2:4" ht="18.5" x14ac:dyDescent="0.45">
      <c r="B29" s="644" t="s">
        <v>260</v>
      </c>
      <c r="C29" s="655">
        <v>567</v>
      </c>
      <c r="D29" s="644">
        <v>5000</v>
      </c>
    </row>
    <row r="30" spans="2:4" ht="18.5" x14ac:dyDescent="0.45">
      <c r="B30" s="645" t="s">
        <v>276</v>
      </c>
      <c r="C30" s="656">
        <v>384</v>
      </c>
      <c r="D30" s="644">
        <v>2500</v>
      </c>
    </row>
    <row r="31" spans="2:4" ht="18.5" x14ac:dyDescent="0.45">
      <c r="B31" s="645" t="s">
        <v>277</v>
      </c>
      <c r="C31" s="655">
        <v>313</v>
      </c>
      <c r="D31" s="644">
        <v>5000</v>
      </c>
    </row>
    <row r="32" spans="2:4" x14ac:dyDescent="0.35">
      <c r="B32" s="176"/>
      <c r="C32" s="50"/>
      <c r="D32" s="4"/>
    </row>
    <row r="34" spans="1:4" x14ac:dyDescent="0.35">
      <c r="A34" s="701" t="s">
        <v>106</v>
      </c>
      <c r="B34" s="702" t="s">
        <v>107</v>
      </c>
      <c r="C34" s="702" t="s">
        <v>262</v>
      </c>
      <c r="D34" s="704"/>
    </row>
    <row r="35" spans="1:4" x14ac:dyDescent="0.35">
      <c r="A35" s="703">
        <v>17</v>
      </c>
      <c r="B35" s="703">
        <v>9</v>
      </c>
      <c r="C35" s="568">
        <f>+A35*B35</f>
        <v>153</v>
      </c>
      <c r="D35" s="592" t="s">
        <v>116</v>
      </c>
    </row>
    <row r="36" spans="1:4" x14ac:dyDescent="0.35">
      <c r="A36" s="703">
        <v>4</v>
      </c>
      <c r="B36" s="703">
        <v>8</v>
      </c>
      <c r="C36" s="568">
        <f>+A36*B36</f>
        <v>32</v>
      </c>
      <c r="D36" s="593" t="s">
        <v>117</v>
      </c>
    </row>
    <row r="37" spans="1:4" x14ac:dyDescent="0.35">
      <c r="A37" s="703">
        <v>1</v>
      </c>
      <c r="B37" s="703">
        <v>8</v>
      </c>
      <c r="C37" s="568">
        <f>+A37*B37</f>
        <v>8</v>
      </c>
      <c r="D37" s="593" t="s">
        <v>111</v>
      </c>
    </row>
    <row r="38" spans="1:4" x14ac:dyDescent="0.35">
      <c r="A38" s="568">
        <f>+A35+A36+A37</f>
        <v>22</v>
      </c>
      <c r="B38" s="75"/>
      <c r="C38" s="568">
        <f>+C35+C36+C37</f>
        <v>193</v>
      </c>
      <c r="D38" s="592" t="s">
        <v>309</v>
      </c>
    </row>
    <row r="39" spans="1:4" x14ac:dyDescent="0.35">
      <c r="B39" s="49"/>
      <c r="C39"/>
    </row>
  </sheetData>
  <pageMargins left="0.7" right="0.7" top="0.75" bottom="0.75" header="0.3" footer="0.3"/>
  <pageSetup paperSize="9" fitToWidth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V182"/>
  <sheetViews>
    <sheetView topLeftCell="A167" zoomScale="90" zoomScaleNormal="90" workbookViewId="0">
      <selection activeCell="F176" sqref="F176"/>
    </sheetView>
  </sheetViews>
  <sheetFormatPr baseColWidth="10" defaultRowHeight="14.5" x14ac:dyDescent="0.35"/>
  <cols>
    <col min="1" max="1" width="4.08984375" customWidth="1"/>
    <col min="2" max="2" width="27.6328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740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2:21" ht="18" customHeight="1" x14ac:dyDescent="0.35">
      <c r="B4" s="3" t="s">
        <v>3</v>
      </c>
      <c r="C4" s="258">
        <v>132</v>
      </c>
      <c r="D4" s="227">
        <v>454</v>
      </c>
      <c r="E4" s="598">
        <f>+C4*D4</f>
        <v>59928</v>
      </c>
      <c r="F4" s="202"/>
      <c r="T4" s="740"/>
    </row>
    <row r="5" spans="2:21" ht="18" customHeight="1" x14ac:dyDescent="0.35">
      <c r="B5" s="3" t="s">
        <v>310</v>
      </c>
      <c r="C5" s="258">
        <v>16</v>
      </c>
      <c r="D5" s="227">
        <f>+D4</f>
        <v>454</v>
      </c>
      <c r="E5" s="598">
        <f>+C5*D5</f>
        <v>7264</v>
      </c>
      <c r="T5" s="202"/>
    </row>
    <row r="6" spans="2:21" ht="18" customHeight="1" x14ac:dyDescent="0.35">
      <c r="B6" s="3" t="s">
        <v>196</v>
      </c>
      <c r="C6" s="258"/>
      <c r="D6" s="227"/>
      <c r="E6" s="598">
        <v>10000</v>
      </c>
    </row>
    <row r="7" spans="2:21" ht="18" customHeight="1" x14ac:dyDescent="0.35">
      <c r="B7" s="3" t="s">
        <v>335</v>
      </c>
      <c r="C7" s="258">
        <v>7</v>
      </c>
      <c r="D7" s="194">
        <f>+D4*1.5</f>
        <v>681</v>
      </c>
      <c r="E7" s="598">
        <f>+C7*D7</f>
        <v>4767</v>
      </c>
    </row>
    <row r="8" spans="2:21" ht="18" customHeight="1" x14ac:dyDescent="0.35">
      <c r="B8" s="3" t="s">
        <v>6</v>
      </c>
      <c r="C8" s="258">
        <v>16000</v>
      </c>
      <c r="D8" s="194"/>
      <c r="E8" s="598">
        <f>+C8</f>
        <v>16000</v>
      </c>
      <c r="U8" s="740"/>
    </row>
    <row r="9" spans="2:21" ht="18" customHeight="1" x14ac:dyDescent="0.35">
      <c r="B9" s="3" t="s">
        <v>330</v>
      </c>
      <c r="C9" s="258">
        <v>2</v>
      </c>
      <c r="D9" s="194">
        <v>1500</v>
      </c>
      <c r="E9" s="598">
        <f>+C9*D9</f>
        <v>3000</v>
      </c>
      <c r="F9" s="202"/>
      <c r="U9" s="740"/>
    </row>
    <row r="10" spans="2:21" ht="18" customHeight="1" x14ac:dyDescent="0.35">
      <c r="B10" s="3" t="s">
        <v>331</v>
      </c>
      <c r="C10" s="258">
        <v>2</v>
      </c>
      <c r="D10" s="194">
        <v>3000</v>
      </c>
      <c r="E10" s="598">
        <f>+C10*D10</f>
        <v>6000</v>
      </c>
      <c r="U10" s="740"/>
    </row>
    <row r="11" spans="2:21" ht="18" customHeight="1" x14ac:dyDescent="0.35">
      <c r="B11" s="3" t="s">
        <v>329</v>
      </c>
      <c r="C11" s="258"/>
      <c r="D11" s="194"/>
      <c r="E11" s="598">
        <v>59498</v>
      </c>
      <c r="U11" s="740"/>
    </row>
    <row r="12" spans="2:21" ht="18" customHeight="1" x14ac:dyDescent="0.35">
      <c r="B12" s="3" t="s">
        <v>332</v>
      </c>
      <c r="C12" s="258">
        <v>168</v>
      </c>
      <c r="D12" s="194">
        <v>454</v>
      </c>
      <c r="E12" s="598">
        <f>+C12*D12</f>
        <v>76272</v>
      </c>
      <c r="U12" s="740"/>
    </row>
    <row r="13" spans="2:21" ht="18" customHeight="1" x14ac:dyDescent="0.35">
      <c r="B13" s="1432" t="s">
        <v>99</v>
      </c>
      <c r="C13" s="1432"/>
      <c r="D13" s="1432"/>
      <c r="E13" s="599">
        <f>+E4+E5+E6+E7+E8+E9+E10+E11+E12</f>
        <v>242729</v>
      </c>
      <c r="F13" s="202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740"/>
    </row>
    <row r="14" spans="2:21" ht="18" customHeight="1" x14ac:dyDescent="0.35">
      <c r="B14" s="723" t="s">
        <v>333</v>
      </c>
      <c r="C14" s="721" t="s">
        <v>63</v>
      </c>
      <c r="D14" s="721" t="s">
        <v>63</v>
      </c>
      <c r="E14" s="722">
        <v>-56930.45</v>
      </c>
      <c r="F14" s="202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R14" s="740"/>
    </row>
    <row r="15" spans="2:21" ht="18" customHeight="1" x14ac:dyDescent="0.35">
      <c r="B15" s="741" t="s">
        <v>334</v>
      </c>
      <c r="C15" s="741"/>
      <c r="D15" s="741"/>
      <c r="E15" s="600">
        <v>-24327.26</v>
      </c>
      <c r="M15" s="51"/>
      <c r="N15" s="66"/>
      <c r="O15" s="66"/>
      <c r="P15" s="49"/>
      <c r="Q15" s="740"/>
    </row>
    <row r="16" spans="2:21" ht="18" customHeight="1" x14ac:dyDescent="0.35">
      <c r="B16" s="1433" t="s">
        <v>11</v>
      </c>
      <c r="C16" s="1433"/>
      <c r="D16" s="1433"/>
      <c r="E16" s="603">
        <f>+E13+E14+E15</f>
        <v>161471.28999999998</v>
      </c>
      <c r="H16" s="321"/>
      <c r="I16" s="321"/>
      <c r="J16" s="321"/>
      <c r="K16" s="473"/>
      <c r="L16" s="321"/>
      <c r="M16" s="321"/>
      <c r="T16" s="740"/>
    </row>
    <row r="17" spans="2:22" ht="18" customHeight="1" x14ac:dyDescent="0.35">
      <c r="B17" s="455"/>
      <c r="C17" s="455"/>
      <c r="D17" s="455"/>
      <c r="E17" s="456"/>
      <c r="H17" s="321"/>
      <c r="I17" s="321"/>
      <c r="J17" s="321"/>
      <c r="K17" s="473"/>
      <c r="L17" s="321"/>
      <c r="M17" s="321"/>
      <c r="T17" s="740"/>
    </row>
    <row r="18" spans="2:22" ht="18" customHeight="1" x14ac:dyDescent="0.35">
      <c r="F18" s="106"/>
      <c r="G18" s="4"/>
      <c r="N18" s="4"/>
      <c r="T18" s="740"/>
    </row>
    <row r="19" spans="2:22" ht="18" customHeight="1" x14ac:dyDescent="0.35">
      <c r="B19" s="1431" t="s">
        <v>15</v>
      </c>
      <c r="C19" s="1431"/>
      <c r="D19" s="1431"/>
      <c r="E19" s="1431"/>
      <c r="F19" s="406"/>
      <c r="K19" s="465"/>
      <c r="L19" s="465"/>
      <c r="M19" s="465"/>
    </row>
    <row r="20" spans="2:22" ht="18" customHeight="1" x14ac:dyDescent="0.35">
      <c r="B20" s="2" t="s">
        <v>7</v>
      </c>
      <c r="C20" s="270" t="s">
        <v>8</v>
      </c>
      <c r="D20" s="217" t="s">
        <v>4</v>
      </c>
      <c r="E20" s="597" t="s">
        <v>9</v>
      </c>
      <c r="F20" s="740"/>
      <c r="K20" s="101"/>
      <c r="L20" s="101"/>
      <c r="M20" s="101"/>
    </row>
    <row r="21" spans="2:22" ht="18" customHeight="1" x14ac:dyDescent="0.35">
      <c r="B21" s="3" t="s">
        <v>3</v>
      </c>
      <c r="C21" s="315">
        <v>176</v>
      </c>
      <c r="D21" s="194">
        <v>970</v>
      </c>
      <c r="E21" s="598">
        <f>+C21*D21</f>
        <v>170720</v>
      </c>
      <c r="F21" s="202"/>
      <c r="K21" s="101"/>
      <c r="L21" s="101"/>
      <c r="M21" s="101"/>
    </row>
    <row r="22" spans="2:22" ht="18" customHeight="1" x14ac:dyDescent="0.35">
      <c r="B22" s="3" t="s">
        <v>311</v>
      </c>
      <c r="C22" s="258">
        <v>16</v>
      </c>
      <c r="D22" s="194">
        <f>+D21</f>
        <v>970</v>
      </c>
      <c r="E22" s="598">
        <f>+C22*D22</f>
        <v>15520</v>
      </c>
      <c r="F22" s="202"/>
      <c r="K22" s="101"/>
      <c r="L22" s="101"/>
      <c r="M22" s="101"/>
    </row>
    <row r="23" spans="2:22" ht="18" customHeight="1" x14ac:dyDescent="0.35">
      <c r="B23" s="3" t="s">
        <v>196</v>
      </c>
      <c r="C23" s="258"/>
      <c r="D23" s="194"/>
      <c r="E23" s="598">
        <v>10000</v>
      </c>
      <c r="F23" s="740"/>
      <c r="H23" s="744"/>
      <c r="N23" s="51"/>
      <c r="O23" s="51"/>
      <c r="P23" s="66"/>
      <c r="Q23" s="49"/>
      <c r="R23" s="49"/>
    </row>
    <row r="24" spans="2:22" ht="18" customHeight="1" x14ac:dyDescent="0.35">
      <c r="B24" s="3" t="s">
        <v>195</v>
      </c>
      <c r="C24" s="315">
        <v>8</v>
      </c>
      <c r="D24" s="194">
        <f>+D22*1.5</f>
        <v>1455</v>
      </c>
      <c r="E24" s="598">
        <f>+C24*D24</f>
        <v>11640</v>
      </c>
      <c r="F24" s="202"/>
      <c r="G24" s="4"/>
      <c r="L24" s="180"/>
      <c r="M24" s="184"/>
    </row>
    <row r="25" spans="2:22" s="740" customFormat="1" ht="18" customHeight="1" x14ac:dyDescent="0.35">
      <c r="B25" s="3" t="s">
        <v>6</v>
      </c>
      <c r="C25" s="258"/>
      <c r="D25" s="194"/>
      <c r="E25" s="598">
        <v>20000</v>
      </c>
      <c r="F25"/>
      <c r="G25"/>
      <c r="L25" s="184"/>
      <c r="M25" s="184"/>
      <c r="N25"/>
      <c r="O25"/>
      <c r="P25"/>
      <c r="Q25"/>
      <c r="R25"/>
      <c r="S25"/>
      <c r="V25"/>
    </row>
    <row r="26" spans="2:22" s="740" customFormat="1" ht="18" customHeight="1" x14ac:dyDescent="0.35">
      <c r="B26" s="3" t="s">
        <v>351</v>
      </c>
      <c r="C26" s="258">
        <v>2</v>
      </c>
      <c r="D26" s="194">
        <v>1500</v>
      </c>
      <c r="E26" s="598">
        <f>+C26*D26</f>
        <v>3000</v>
      </c>
      <c r="F26"/>
      <c r="G26"/>
      <c r="L26" s="181"/>
      <c r="M26" s="184"/>
      <c r="N26" s="180"/>
      <c r="O26" s="180"/>
      <c r="P26" s="181"/>
      <c r="Q26" s="181"/>
      <c r="R26" s="181"/>
      <c r="S26"/>
      <c r="V26"/>
    </row>
    <row r="27" spans="2:22" s="740" customFormat="1" ht="18" customHeight="1" x14ac:dyDescent="0.35">
      <c r="B27" s="3" t="s">
        <v>352</v>
      </c>
      <c r="C27" s="258">
        <v>3</v>
      </c>
      <c r="D27" s="194">
        <v>3000</v>
      </c>
      <c r="E27" s="598">
        <f>+C27*D27</f>
        <v>9000</v>
      </c>
      <c r="F27" s="202"/>
      <c r="G27"/>
      <c r="L27" s="181"/>
      <c r="M27" s="184"/>
      <c r="N27" s="180"/>
      <c r="O27" s="180"/>
      <c r="P27" s="181"/>
      <c r="Q27" s="181"/>
      <c r="R27" s="181"/>
      <c r="S27"/>
      <c r="V27"/>
    </row>
    <row r="28" spans="2:22" s="740" customFormat="1" ht="18" customHeight="1" x14ac:dyDescent="0.35">
      <c r="B28" s="1432" t="s">
        <v>99</v>
      </c>
      <c r="C28" s="1432"/>
      <c r="D28" s="1432"/>
      <c r="E28" s="599">
        <f>+E21+E22+E23+E24+E25+E26+E27</f>
        <v>239880</v>
      </c>
      <c r="F28" s="202"/>
      <c r="G28"/>
      <c r="L28" s="181"/>
      <c r="M28" s="184"/>
      <c r="N28" s="180"/>
      <c r="O28" s="180"/>
      <c r="P28" s="181"/>
      <c r="Q28" s="181"/>
      <c r="R28" s="181"/>
      <c r="S28"/>
      <c r="V28"/>
    </row>
    <row r="29" spans="2:22" s="740" customFormat="1" ht="18" customHeight="1" x14ac:dyDescent="0.35">
      <c r="B29" s="723" t="s">
        <v>63</v>
      </c>
      <c r="C29" s="727" t="s">
        <v>63</v>
      </c>
      <c r="D29" s="727" t="s">
        <v>63</v>
      </c>
      <c r="E29" s="722" t="s">
        <v>63</v>
      </c>
      <c r="F29" s="202"/>
      <c r="G29"/>
      <c r="L29" s="181"/>
      <c r="M29" s="184"/>
      <c r="N29" s="180"/>
      <c r="O29" s="180"/>
      <c r="P29" s="181"/>
      <c r="Q29" s="181"/>
      <c r="R29" s="181"/>
      <c r="S29"/>
      <c r="V29"/>
    </row>
    <row r="30" spans="2:22" ht="18" customHeight="1" x14ac:dyDescent="0.35">
      <c r="B30" s="1387" t="s">
        <v>79</v>
      </c>
      <c r="C30" s="1387"/>
      <c r="D30" s="1387"/>
      <c r="E30" s="600">
        <v>-1540</v>
      </c>
      <c r="F30" s="181"/>
      <c r="L30" s="181"/>
      <c r="M30" s="185"/>
      <c r="N30" s="180"/>
      <c r="O30" s="180"/>
      <c r="P30" s="181"/>
      <c r="Q30" s="181"/>
      <c r="R30" s="181"/>
      <c r="S30" s="740"/>
      <c r="U30" s="740"/>
    </row>
    <row r="31" spans="2:22" ht="18" customHeight="1" x14ac:dyDescent="0.35">
      <c r="B31" s="741" t="s">
        <v>63</v>
      </c>
      <c r="C31" s="741"/>
      <c r="D31" s="741"/>
      <c r="E31" s="600"/>
      <c r="F31" s="181"/>
      <c r="L31" s="181"/>
      <c r="M31" s="185"/>
      <c r="N31" s="180"/>
      <c r="O31" s="180"/>
      <c r="P31" s="181"/>
      <c r="Q31" s="181"/>
      <c r="R31" s="181"/>
      <c r="S31" s="740"/>
      <c r="U31" s="740"/>
    </row>
    <row r="32" spans="2:22" ht="18" customHeight="1" x14ac:dyDescent="0.35">
      <c r="B32" s="1435" t="s">
        <v>11</v>
      </c>
      <c r="C32" s="1435"/>
      <c r="D32" s="1435"/>
      <c r="E32" s="602">
        <f>+E28+E30</f>
        <v>238340</v>
      </c>
      <c r="F32" s="409"/>
      <c r="G32" s="115"/>
      <c r="M32" s="189"/>
      <c r="N32" s="180"/>
      <c r="O32" s="180"/>
      <c r="P32" s="181"/>
      <c r="Q32" s="181"/>
      <c r="R32" s="181"/>
    </row>
    <row r="33" spans="2:18" ht="18" customHeight="1" x14ac:dyDescent="0.35">
      <c r="B33" s="455"/>
      <c r="C33" s="455"/>
      <c r="D33" s="455"/>
      <c r="E33" s="456"/>
      <c r="F33" s="409"/>
      <c r="G33" s="115"/>
      <c r="M33" s="189"/>
      <c r="N33" s="180"/>
      <c r="O33" s="180"/>
      <c r="P33" s="181"/>
      <c r="Q33" s="181"/>
      <c r="R33" s="181"/>
    </row>
    <row r="34" spans="2:18" ht="19.5" customHeight="1" x14ac:dyDescent="0.35">
      <c r="F34" s="409"/>
      <c r="G34" s="115"/>
      <c r="M34" s="185"/>
      <c r="N34" s="181"/>
      <c r="O34" s="181"/>
      <c r="P34" s="181"/>
      <c r="Q34" s="181"/>
    </row>
    <row r="35" spans="2:18" ht="18" customHeight="1" x14ac:dyDescent="0.45">
      <c r="B35" s="1450" t="s">
        <v>350</v>
      </c>
      <c r="C35" s="1451"/>
      <c r="D35" s="1451"/>
      <c r="E35" s="1452"/>
      <c r="F35" s="409"/>
      <c r="G35" s="115"/>
      <c r="M35" s="185"/>
      <c r="N35" s="181"/>
      <c r="O35" s="181"/>
      <c r="P35" s="181"/>
      <c r="Q35" s="181"/>
    </row>
    <row r="36" spans="2:18" ht="18" customHeight="1" x14ac:dyDescent="0.35">
      <c r="B36" s="604" t="s">
        <v>7</v>
      </c>
      <c r="C36" s="605" t="s">
        <v>8</v>
      </c>
      <c r="D36" s="606" t="s">
        <v>4</v>
      </c>
      <c r="E36" s="606" t="s">
        <v>9</v>
      </c>
      <c r="M36" s="185"/>
      <c r="N36" s="181"/>
      <c r="O36" s="181"/>
      <c r="P36" s="184"/>
    </row>
    <row r="37" spans="2:18" ht="18" customHeight="1" x14ac:dyDescent="0.35">
      <c r="B37" s="607" t="s">
        <v>3</v>
      </c>
      <c r="C37" s="267">
        <v>115</v>
      </c>
      <c r="D37" s="211">
        <v>399</v>
      </c>
      <c r="E37" s="211">
        <f>C37*D37</f>
        <v>45885</v>
      </c>
      <c r="M37" s="182"/>
    </row>
    <row r="38" spans="2:18" ht="18" customHeight="1" x14ac:dyDescent="0.35">
      <c r="B38" s="3" t="s">
        <v>311</v>
      </c>
      <c r="C38" s="267">
        <v>16</v>
      </c>
      <c r="D38" s="211">
        <v>399</v>
      </c>
      <c r="E38" s="211">
        <f>+C38*D38</f>
        <v>6384</v>
      </c>
      <c r="F38" s="202"/>
      <c r="I38" s="740"/>
      <c r="J38" s="740"/>
      <c r="K38" s="740"/>
    </row>
    <row r="39" spans="2:18" ht="18" customHeight="1" x14ac:dyDescent="0.35">
      <c r="B39" s="3" t="s">
        <v>196</v>
      </c>
      <c r="C39" s="267"/>
      <c r="D39" s="211"/>
      <c r="E39" s="211">
        <v>10000</v>
      </c>
      <c r="F39" s="202"/>
      <c r="L39" s="740"/>
    </row>
    <row r="40" spans="2:18" ht="18" customHeight="1" x14ac:dyDescent="0.35">
      <c r="B40" s="3" t="s">
        <v>195</v>
      </c>
      <c r="C40" s="267">
        <v>11</v>
      </c>
      <c r="D40" s="211">
        <f>+D37*1.5</f>
        <v>598.5</v>
      </c>
      <c r="E40" s="211">
        <f>C40*D40</f>
        <v>6583.5</v>
      </c>
      <c r="F40" s="649"/>
      <c r="G40" s="180"/>
      <c r="H40" s="180"/>
      <c r="I40" s="181"/>
      <c r="J40" s="187"/>
      <c r="K40" s="188"/>
      <c r="L40" s="740"/>
      <c r="O40" s="740"/>
    </row>
    <row r="41" spans="2:18" ht="18" customHeight="1" x14ac:dyDescent="0.35">
      <c r="B41" s="3" t="s">
        <v>6</v>
      </c>
      <c r="C41" s="267">
        <v>11000</v>
      </c>
      <c r="D41" s="211"/>
      <c r="E41" s="211">
        <f>+C41</f>
        <v>11000</v>
      </c>
      <c r="G41" s="180"/>
      <c r="H41" s="180"/>
      <c r="I41" s="181"/>
      <c r="J41" s="181"/>
      <c r="K41" s="184"/>
      <c r="O41" s="740"/>
    </row>
    <row r="42" spans="2:18" ht="18" customHeight="1" x14ac:dyDescent="0.35">
      <c r="B42" s="3" t="s">
        <v>328</v>
      </c>
      <c r="C42" s="267">
        <v>128</v>
      </c>
      <c r="D42" s="211">
        <v>399</v>
      </c>
      <c r="E42" s="211">
        <f>+C42*D42</f>
        <v>51072</v>
      </c>
      <c r="G42" s="180"/>
      <c r="H42" s="180"/>
      <c r="I42" s="181"/>
      <c r="J42" s="181"/>
      <c r="K42" s="184"/>
      <c r="O42" s="740"/>
    </row>
    <row r="43" spans="2:18" s="740" customFormat="1" ht="18" customHeight="1" x14ac:dyDescent="0.35">
      <c r="B43" s="1439" t="s">
        <v>99</v>
      </c>
      <c r="C43" s="1456"/>
      <c r="D43" s="1441"/>
      <c r="E43" s="599">
        <f>+E37+E38+E39+E40+E41+E42</f>
        <v>130924.5</v>
      </c>
      <c r="F43"/>
      <c r="G43" s="180"/>
      <c r="H43" s="180"/>
      <c r="I43" s="181"/>
      <c r="J43" s="181"/>
      <c r="K43" s="184"/>
      <c r="L43"/>
      <c r="N43"/>
      <c r="O43"/>
    </row>
    <row r="44" spans="2:18" s="740" customFormat="1" ht="18" customHeight="1" x14ac:dyDescent="0.35">
      <c r="B44" s="746" t="s">
        <v>63</v>
      </c>
      <c r="C44" s="747" t="s">
        <v>329</v>
      </c>
      <c r="D44" s="748" t="s">
        <v>63</v>
      </c>
      <c r="E44" s="749">
        <v>49452.5</v>
      </c>
      <c r="F44" s="202"/>
      <c r="G44" s="180"/>
      <c r="H44" s="180"/>
      <c r="I44" s="181"/>
      <c r="J44" s="181"/>
      <c r="K44" s="184"/>
      <c r="L44"/>
      <c r="N44"/>
      <c r="O44"/>
    </row>
    <row r="45" spans="2:18" ht="18" customHeight="1" x14ac:dyDescent="0.5">
      <c r="B45" s="1453" t="s">
        <v>11</v>
      </c>
      <c r="C45" s="1454"/>
      <c r="D45" s="1455"/>
      <c r="E45" s="750">
        <f>+E43+E44</f>
        <v>180377</v>
      </c>
      <c r="G45" s="180"/>
      <c r="H45" s="180"/>
      <c r="I45" s="181"/>
      <c r="J45" s="181"/>
      <c r="K45" s="184"/>
    </row>
    <row r="46" spans="2:18" ht="18" customHeight="1" x14ac:dyDescent="0.35">
      <c r="B46" s="594"/>
      <c r="C46" s="594"/>
      <c r="D46" s="594"/>
      <c r="E46" s="595"/>
      <c r="G46" s="180"/>
      <c r="H46" s="180"/>
      <c r="I46" s="181"/>
      <c r="J46" s="181"/>
      <c r="K46" s="184"/>
    </row>
    <row r="47" spans="2:18" ht="18" customHeight="1" x14ac:dyDescent="0.35">
      <c r="B47" s="594"/>
      <c r="C47" s="594"/>
      <c r="D47" s="594"/>
      <c r="E47" s="595"/>
      <c r="G47" s="180"/>
      <c r="H47" s="180"/>
      <c r="I47" s="181"/>
      <c r="J47" s="181"/>
      <c r="K47" s="184"/>
    </row>
    <row r="48" spans="2:18" ht="15" customHeight="1" x14ac:dyDescent="0.35">
      <c r="B48" s="1431" t="s">
        <v>0</v>
      </c>
      <c r="C48" s="1431"/>
      <c r="D48" s="1431"/>
      <c r="E48" s="1431"/>
      <c r="G48" s="180"/>
      <c r="H48" s="180"/>
      <c r="I48" s="181"/>
      <c r="J48" s="181"/>
      <c r="K48" s="184"/>
      <c r="L48" s="740"/>
    </row>
    <row r="49" spans="2:22" ht="15" customHeight="1" x14ac:dyDescent="0.35">
      <c r="B49" s="2" t="s">
        <v>7</v>
      </c>
      <c r="C49" s="270" t="s">
        <v>8</v>
      </c>
      <c r="D49" s="217" t="s">
        <v>4</v>
      </c>
      <c r="E49" s="597" t="s">
        <v>9</v>
      </c>
      <c r="G49" s="180"/>
      <c r="H49" s="180"/>
      <c r="I49" s="181"/>
      <c r="J49" s="181"/>
      <c r="K49" s="184"/>
      <c r="L49" s="740"/>
    </row>
    <row r="50" spans="2:22" ht="15" customHeight="1" x14ac:dyDescent="0.35">
      <c r="B50" s="3" t="s">
        <v>253</v>
      </c>
      <c r="C50" s="258">
        <v>132</v>
      </c>
      <c r="D50" s="194">
        <v>567</v>
      </c>
      <c r="E50" s="598">
        <f>+C50*D50</f>
        <v>74844</v>
      </c>
      <c r="F50" s="202"/>
      <c r="G50" s="180"/>
      <c r="H50" s="180"/>
      <c r="I50" s="181"/>
      <c r="J50" s="181"/>
      <c r="K50" s="184"/>
    </row>
    <row r="51" spans="2:22" ht="15" customHeight="1" x14ac:dyDescent="0.35">
      <c r="B51" s="3" t="s">
        <v>311</v>
      </c>
      <c r="C51" s="258">
        <v>16</v>
      </c>
      <c r="D51" s="194">
        <f>+D50</f>
        <v>567</v>
      </c>
      <c r="E51" s="598">
        <f>C51*D51</f>
        <v>9072</v>
      </c>
      <c r="F51" s="202"/>
      <c r="G51" s="180"/>
      <c r="H51" s="180"/>
      <c r="I51" s="181"/>
      <c r="J51" s="181"/>
      <c r="K51" s="184"/>
    </row>
    <row r="52" spans="2:22" ht="15" customHeight="1" x14ac:dyDescent="0.35">
      <c r="B52" s="3" t="s">
        <v>196</v>
      </c>
      <c r="C52" s="258"/>
      <c r="D52" s="194"/>
      <c r="E52" s="598">
        <v>10000</v>
      </c>
      <c r="F52" s="740"/>
      <c r="M52" s="176"/>
      <c r="N52" s="180"/>
      <c r="O52" s="180"/>
      <c r="P52" s="181"/>
      <c r="Q52" s="181"/>
      <c r="R52" s="184"/>
    </row>
    <row r="53" spans="2:22" ht="15" customHeight="1" x14ac:dyDescent="0.35">
      <c r="B53" s="3" t="s">
        <v>195</v>
      </c>
      <c r="C53" s="315">
        <v>7.5</v>
      </c>
      <c r="D53" s="194">
        <f>+D51*1.5</f>
        <v>850.5</v>
      </c>
      <c r="E53" s="598">
        <f>+C53*D53</f>
        <v>6378.75</v>
      </c>
      <c r="M53" s="176"/>
      <c r="N53" s="176"/>
      <c r="O53" s="176"/>
      <c r="P53" s="181"/>
      <c r="Q53" s="181"/>
      <c r="R53" s="184"/>
      <c r="T53" s="740"/>
    </row>
    <row r="54" spans="2:22" s="740" customFormat="1" ht="15" customHeight="1" x14ac:dyDescent="0.35">
      <c r="B54" s="3" t="s">
        <v>6</v>
      </c>
      <c r="C54" s="258">
        <v>16500</v>
      </c>
      <c r="D54" s="194"/>
      <c r="E54" s="598">
        <f>+C54</f>
        <v>16500</v>
      </c>
      <c r="F54"/>
      <c r="G54"/>
      <c r="H54"/>
      <c r="I54"/>
      <c r="J54"/>
      <c r="K54"/>
      <c r="L54"/>
      <c r="M54" s="176"/>
      <c r="N54" s="176"/>
      <c r="O54" s="176"/>
      <c r="P54" s="176"/>
      <c r="Q54" s="176"/>
      <c r="R54" s="176"/>
      <c r="S54"/>
      <c r="T54"/>
      <c r="U54"/>
      <c r="V54"/>
    </row>
    <row r="55" spans="2:22" s="740" customFormat="1" ht="15" customHeight="1" x14ac:dyDescent="0.35">
      <c r="B55" s="3" t="s">
        <v>336</v>
      </c>
      <c r="C55" s="258">
        <v>2</v>
      </c>
      <c r="D55" s="194">
        <v>1500</v>
      </c>
      <c r="E55" s="598">
        <f>+C55*D55</f>
        <v>3000</v>
      </c>
      <c r="F55"/>
      <c r="G55"/>
      <c r="H55"/>
      <c r="I55"/>
      <c r="J55"/>
      <c r="K55"/>
      <c r="L55"/>
      <c r="M55" s="176"/>
      <c r="N55" s="176"/>
      <c r="O55" s="176"/>
      <c r="P55" s="176"/>
      <c r="Q55" s="176"/>
      <c r="R55" s="176"/>
      <c r="S55"/>
      <c r="T55"/>
      <c r="U55"/>
      <c r="V55"/>
    </row>
    <row r="56" spans="2:22" s="740" customFormat="1" ht="15" customHeight="1" x14ac:dyDescent="0.35">
      <c r="B56" s="3" t="s">
        <v>337</v>
      </c>
      <c r="C56" s="258">
        <v>2</v>
      </c>
      <c r="D56" s="194">
        <v>3000</v>
      </c>
      <c r="E56" s="598">
        <f>+C56*D56</f>
        <v>6000</v>
      </c>
      <c r="F56" s="202"/>
      <c r="G56"/>
      <c r="H56"/>
      <c r="I56"/>
      <c r="J56"/>
      <c r="K56"/>
      <c r="L56"/>
      <c r="M56" s="176"/>
      <c r="N56" s="176"/>
      <c r="O56" s="176"/>
      <c r="P56" s="176"/>
      <c r="Q56" s="176"/>
      <c r="R56" s="176"/>
      <c r="S56"/>
      <c r="T56"/>
      <c r="U56"/>
      <c r="V56"/>
    </row>
    <row r="57" spans="2:22" s="740" customFormat="1" ht="15" customHeight="1" x14ac:dyDescent="0.35">
      <c r="B57" s="3" t="s">
        <v>338</v>
      </c>
      <c r="C57" s="258">
        <v>56</v>
      </c>
      <c r="D57" s="194">
        <v>567</v>
      </c>
      <c r="E57" s="598">
        <f>+C57*D57</f>
        <v>31752</v>
      </c>
      <c r="F57" s="202"/>
      <c r="G57"/>
      <c r="H57"/>
      <c r="I57"/>
      <c r="J57"/>
      <c r="K57"/>
      <c r="L57"/>
      <c r="M57" s="176"/>
      <c r="N57" s="176"/>
      <c r="O57" s="176"/>
      <c r="P57" s="176"/>
      <c r="Q57" s="176"/>
      <c r="R57" s="176"/>
      <c r="S57"/>
      <c r="T57"/>
      <c r="U57"/>
      <c r="V57"/>
    </row>
    <row r="58" spans="2:22" s="740" customFormat="1" ht="15" customHeight="1" x14ac:dyDescent="0.35">
      <c r="B58" s="3" t="s">
        <v>339</v>
      </c>
      <c r="C58" s="258"/>
      <c r="D58" s="194"/>
      <c r="E58" s="598">
        <v>73492.5</v>
      </c>
      <c r="F58" s="202"/>
      <c r="G58"/>
      <c r="H58"/>
      <c r="I58"/>
      <c r="J58"/>
      <c r="K58"/>
      <c r="L58"/>
      <c r="M58" s="176"/>
      <c r="N58" s="176"/>
      <c r="O58" s="176"/>
      <c r="P58" s="176"/>
      <c r="Q58" s="176"/>
      <c r="R58" s="176"/>
      <c r="S58"/>
      <c r="T58"/>
      <c r="U58"/>
      <c r="V58"/>
    </row>
    <row r="59" spans="2:22" ht="15" customHeight="1" x14ac:dyDescent="0.35">
      <c r="B59" s="1432" t="s">
        <v>99</v>
      </c>
      <c r="C59" s="1432"/>
      <c r="D59" s="1432"/>
      <c r="E59" s="599">
        <f>+E50+E51+E52+E53+E54+E55+E56+E57+E58</f>
        <v>231039.25</v>
      </c>
      <c r="F59" s="202"/>
      <c r="N59" s="183"/>
      <c r="O59" s="183"/>
      <c r="P59" s="176"/>
      <c r="Q59" s="176"/>
      <c r="R59" s="176"/>
      <c r="T59" s="740"/>
    </row>
    <row r="60" spans="2:22" s="90" customFormat="1" ht="15" customHeight="1" x14ac:dyDescent="0.35">
      <c r="B60" s="723" t="s">
        <v>333</v>
      </c>
      <c r="C60" s="727" t="s">
        <v>63</v>
      </c>
      <c r="D60" s="727" t="s">
        <v>63</v>
      </c>
      <c r="E60" s="722">
        <v>-58335.71</v>
      </c>
      <c r="F60" s="553" t="s">
        <v>63</v>
      </c>
      <c r="N60" s="455"/>
      <c r="O60" s="455"/>
      <c r="P60" s="728"/>
      <c r="Q60" s="728"/>
      <c r="R60" s="728"/>
      <c r="T60" s="744"/>
    </row>
    <row r="61" spans="2:22" s="744" customFormat="1" ht="15" customHeight="1" x14ac:dyDescent="0.35">
      <c r="B61" s="724" t="s">
        <v>340</v>
      </c>
      <c r="C61" s="729"/>
      <c r="D61" s="730"/>
      <c r="E61" s="731">
        <v>-25031.89</v>
      </c>
      <c r="F61" s="553"/>
      <c r="G61" s="90"/>
      <c r="H61" s="90"/>
      <c r="I61" s="90"/>
      <c r="J61" s="90"/>
      <c r="K61" s="90"/>
      <c r="L61" s="90"/>
      <c r="M61" s="728"/>
      <c r="N61" s="728"/>
      <c r="O61" s="728"/>
      <c r="P61" s="728"/>
      <c r="Q61" s="728"/>
      <c r="R61" s="728"/>
      <c r="S61" s="90"/>
      <c r="T61" s="90"/>
      <c r="U61" s="90"/>
      <c r="V61" s="90"/>
    </row>
    <row r="62" spans="2:22" s="690" customFormat="1" ht="15" customHeight="1" x14ac:dyDescent="0.35">
      <c r="B62" s="672"/>
      <c r="C62" s="673" t="s">
        <v>11</v>
      </c>
      <c r="D62" s="674"/>
      <c r="E62" s="675">
        <f>+E59+E60+E61</f>
        <v>147671.65000000002</v>
      </c>
      <c r="F62" s="671"/>
      <c r="G62" s="671"/>
      <c r="H62" s="671"/>
      <c r="I62" s="671"/>
      <c r="J62" s="671"/>
      <c r="K62" s="671"/>
      <c r="L62" s="671"/>
      <c r="M62" s="691"/>
      <c r="N62" s="691"/>
      <c r="O62" s="691"/>
      <c r="P62" s="691"/>
      <c r="Q62" s="691"/>
      <c r="R62" s="691"/>
      <c r="S62" s="671"/>
      <c r="T62" s="671"/>
      <c r="U62" s="671"/>
      <c r="V62" s="671"/>
    </row>
    <row r="63" spans="2:22" s="740" customFormat="1" ht="15" customHeight="1" x14ac:dyDescent="0.35">
      <c r="B63" s="455"/>
      <c r="C63" s="455"/>
      <c r="D63" s="455"/>
      <c r="E63" s="456"/>
      <c r="F63"/>
      <c r="G63"/>
      <c r="H63"/>
      <c r="I63"/>
      <c r="J63"/>
      <c r="K63"/>
      <c r="L63"/>
      <c r="M63"/>
      <c r="N63" s="176"/>
      <c r="O63" s="176"/>
      <c r="P63" s="176"/>
      <c r="Q63" s="176"/>
      <c r="R63" s="176"/>
      <c r="S63"/>
      <c r="U63"/>
    </row>
    <row r="64" spans="2:22" s="740" customFormat="1" ht="15" customHeight="1" x14ac:dyDescent="0.35">
      <c r="B64" s="455"/>
      <c r="C64" s="455"/>
      <c r="D64" s="455"/>
      <c r="E64" s="456"/>
      <c r="F64"/>
      <c r="G64"/>
      <c r="H64"/>
      <c r="I64"/>
      <c r="J64"/>
      <c r="K64"/>
      <c r="L64"/>
      <c r="M64"/>
      <c r="N64" s="176"/>
      <c r="O64" s="176"/>
      <c r="P64" s="176"/>
      <c r="Q64" s="176"/>
      <c r="R64" s="176"/>
      <c r="S64"/>
      <c r="U64"/>
    </row>
    <row r="65" spans="2:22" ht="15" customHeight="1" x14ac:dyDescent="0.35">
      <c r="B65" s="1431" t="s">
        <v>28</v>
      </c>
      <c r="C65" s="1431"/>
      <c r="D65" s="1431"/>
      <c r="E65" s="1431"/>
      <c r="N65" s="176"/>
      <c r="O65" s="176"/>
      <c r="P65" s="176"/>
      <c r="Q65" s="176"/>
      <c r="R65" s="176"/>
    </row>
    <row r="66" spans="2:22" ht="15" customHeight="1" x14ac:dyDescent="0.35">
      <c r="B66" s="2" t="s">
        <v>7</v>
      </c>
      <c r="C66" s="270" t="s">
        <v>8</v>
      </c>
      <c r="D66" s="217" t="s">
        <v>4</v>
      </c>
      <c r="E66" s="597" t="s">
        <v>9</v>
      </c>
      <c r="N66" s="176"/>
      <c r="O66" s="176"/>
      <c r="P66" s="176"/>
      <c r="Q66" s="176"/>
      <c r="R66" s="176"/>
    </row>
    <row r="67" spans="2:22" ht="15" customHeight="1" x14ac:dyDescent="0.35">
      <c r="B67" s="3" t="s">
        <v>3</v>
      </c>
      <c r="C67" s="315">
        <v>150</v>
      </c>
      <c r="D67" s="194">
        <v>567</v>
      </c>
      <c r="E67" s="598">
        <f>+C67*D67</f>
        <v>85050</v>
      </c>
      <c r="N67" s="176"/>
      <c r="O67" s="176"/>
      <c r="P67" s="176"/>
      <c r="Q67" s="176"/>
      <c r="R67" s="176"/>
    </row>
    <row r="68" spans="2:22" ht="15" customHeight="1" x14ac:dyDescent="0.35">
      <c r="B68" s="3" t="s">
        <v>311</v>
      </c>
      <c r="C68" s="315">
        <v>16</v>
      </c>
      <c r="D68" s="194">
        <f>+D67</f>
        <v>567</v>
      </c>
      <c r="E68" s="598">
        <f>+C68*D68</f>
        <v>9072</v>
      </c>
      <c r="F68" s="202"/>
      <c r="N68" s="176"/>
      <c r="O68" s="176"/>
      <c r="P68" s="176"/>
      <c r="Q68" s="176"/>
      <c r="R68" s="176"/>
    </row>
    <row r="69" spans="2:22" ht="15" customHeight="1" x14ac:dyDescent="0.35">
      <c r="B69" s="3" t="s">
        <v>348</v>
      </c>
      <c r="C69" s="315">
        <v>24</v>
      </c>
      <c r="D69" s="194">
        <v>567</v>
      </c>
      <c r="E69" s="598">
        <f>+C69*D69</f>
        <v>13608</v>
      </c>
      <c r="F69" s="202"/>
      <c r="N69" s="176"/>
      <c r="O69" s="176"/>
      <c r="P69" s="176"/>
      <c r="Q69" s="176"/>
      <c r="R69" s="176"/>
    </row>
    <row r="70" spans="2:22" ht="15" customHeight="1" x14ac:dyDescent="0.35">
      <c r="B70" s="3" t="s">
        <v>195</v>
      </c>
      <c r="C70" s="315">
        <v>3</v>
      </c>
      <c r="D70" s="194">
        <f>+D67*1.5</f>
        <v>850.5</v>
      </c>
      <c r="E70" s="598">
        <f>+D70*C70</f>
        <v>2551.5</v>
      </c>
      <c r="N70" s="176"/>
      <c r="O70" s="176"/>
      <c r="P70" s="176"/>
      <c r="Q70" s="176"/>
      <c r="R70" s="176"/>
    </row>
    <row r="71" spans="2:22" ht="15" customHeight="1" x14ac:dyDescent="0.35">
      <c r="B71" s="3" t="s">
        <v>6</v>
      </c>
      <c r="C71" s="315">
        <v>16000</v>
      </c>
      <c r="D71" s="194"/>
      <c r="E71" s="598">
        <f>+C71</f>
        <v>16000</v>
      </c>
      <c r="N71" s="176"/>
      <c r="O71" s="176"/>
      <c r="P71" s="176"/>
      <c r="Q71" s="176"/>
      <c r="R71" s="176"/>
    </row>
    <row r="72" spans="2:22" ht="15" customHeight="1" x14ac:dyDescent="0.35">
      <c r="B72" s="3" t="s">
        <v>307</v>
      </c>
      <c r="C72" s="315">
        <v>2</v>
      </c>
      <c r="D72" s="194">
        <v>3000</v>
      </c>
      <c r="E72" s="598">
        <f>+C72*D72</f>
        <v>6000</v>
      </c>
      <c r="N72" s="176"/>
      <c r="O72" s="176"/>
      <c r="P72" s="176"/>
      <c r="Q72" s="176"/>
      <c r="R72" s="176"/>
    </row>
    <row r="73" spans="2:22" ht="15" customHeight="1" x14ac:dyDescent="0.35">
      <c r="B73" s="3" t="s">
        <v>347</v>
      </c>
      <c r="C73" s="315">
        <v>56</v>
      </c>
      <c r="D73" s="194">
        <v>567</v>
      </c>
      <c r="E73" s="598">
        <f>+C73*D73</f>
        <v>31752</v>
      </c>
      <c r="N73" s="176"/>
      <c r="O73" s="176"/>
      <c r="P73" s="176"/>
      <c r="Q73" s="176"/>
      <c r="R73" s="176"/>
    </row>
    <row r="74" spans="2:22" ht="15" customHeight="1" x14ac:dyDescent="0.35">
      <c r="B74" s="1432" t="s">
        <v>99</v>
      </c>
      <c r="C74" s="1432"/>
      <c r="D74" s="1432"/>
      <c r="E74" s="599">
        <f>+E67+E68+E69+E70+E71+E72+E73</f>
        <v>164033.5</v>
      </c>
      <c r="F74" s="202"/>
      <c r="V74" s="740"/>
    </row>
    <row r="75" spans="2:22" ht="15" customHeight="1" x14ac:dyDescent="0.35">
      <c r="B75" s="741" t="s">
        <v>349</v>
      </c>
      <c r="C75" s="741"/>
      <c r="D75" s="741" t="s">
        <v>63</v>
      </c>
      <c r="E75" s="600">
        <v>-52587.71</v>
      </c>
    </row>
    <row r="76" spans="2:22" ht="15" customHeight="1" x14ac:dyDescent="0.35">
      <c r="B76" s="741" t="s">
        <v>63</v>
      </c>
      <c r="C76" s="683"/>
      <c r="D76" s="741"/>
      <c r="E76" s="600" t="s">
        <v>63</v>
      </c>
    </row>
    <row r="77" spans="2:22" ht="15" customHeight="1" x14ac:dyDescent="0.35">
      <c r="B77" s="684"/>
      <c r="C77" s="685" t="s">
        <v>11</v>
      </c>
      <c r="D77" s="686"/>
      <c r="E77" s="687">
        <f>+E74+E75</f>
        <v>111445.79000000001</v>
      </c>
    </row>
    <row r="78" spans="2:22" ht="15" customHeight="1" x14ac:dyDescent="0.35">
      <c r="B78" s="455"/>
      <c r="C78" s="455"/>
      <c r="D78" s="455"/>
      <c r="E78" s="456"/>
      <c r="V78" s="740"/>
    </row>
    <row r="80" spans="2:22" ht="23.5" x14ac:dyDescent="0.35">
      <c r="B80" s="1442" t="s">
        <v>263</v>
      </c>
      <c r="C80" s="1443"/>
      <c r="D80" s="1443"/>
      <c r="E80" s="1444"/>
    </row>
    <row r="81" spans="2:6" x14ac:dyDescent="0.35">
      <c r="B81" s="2" t="s">
        <v>7</v>
      </c>
      <c r="C81" s="270" t="s">
        <v>8</v>
      </c>
      <c r="D81" s="217" t="s">
        <v>4</v>
      </c>
      <c r="E81" s="597" t="s">
        <v>9</v>
      </c>
    </row>
    <row r="82" spans="2:6" x14ac:dyDescent="0.35">
      <c r="B82" s="3" t="s">
        <v>3</v>
      </c>
      <c r="C82" s="258">
        <v>176</v>
      </c>
      <c r="D82" s="227">
        <v>352</v>
      </c>
      <c r="E82" s="598">
        <f>+C82*D82</f>
        <v>61952</v>
      </c>
      <c r="F82" s="202"/>
    </row>
    <row r="83" spans="2:6" x14ac:dyDescent="0.35">
      <c r="B83" s="3" t="s">
        <v>311</v>
      </c>
      <c r="C83" s="258">
        <v>16</v>
      </c>
      <c r="D83" s="227">
        <v>352</v>
      </c>
      <c r="E83" s="598">
        <f>+C83*D83</f>
        <v>5632</v>
      </c>
    </row>
    <row r="84" spans="2:6" x14ac:dyDescent="0.35">
      <c r="B84" s="3" t="s">
        <v>266</v>
      </c>
      <c r="C84" s="258"/>
      <c r="D84" s="227"/>
      <c r="E84" s="598">
        <v>5000</v>
      </c>
    </row>
    <row r="85" spans="2:6" x14ac:dyDescent="0.35">
      <c r="B85" s="3" t="s">
        <v>195</v>
      </c>
      <c r="C85" s="258">
        <v>9</v>
      </c>
      <c r="D85" s="194">
        <f>+D82*1.5</f>
        <v>528</v>
      </c>
      <c r="E85" s="598">
        <f>+C85*D85</f>
        <v>4752</v>
      </c>
    </row>
    <row r="86" spans="2:6" x14ac:dyDescent="0.35">
      <c r="B86" s="3" t="s">
        <v>6</v>
      </c>
      <c r="C86" s="258"/>
      <c r="D86" s="194"/>
      <c r="E86" s="598">
        <v>11000</v>
      </c>
    </row>
    <row r="87" spans="2:6" x14ac:dyDescent="0.35">
      <c r="B87" s="3" t="s">
        <v>338</v>
      </c>
      <c r="C87" s="258">
        <v>56</v>
      </c>
      <c r="D87" s="194">
        <v>352</v>
      </c>
      <c r="E87" s="598">
        <f>+C87*D87</f>
        <v>19712</v>
      </c>
    </row>
    <row r="88" spans="2:6" x14ac:dyDescent="0.35">
      <c r="B88" s="1439" t="s">
        <v>99</v>
      </c>
      <c r="C88" s="1440"/>
      <c r="D88" s="1441"/>
      <c r="E88" s="599">
        <f>+E82+E83+E84+E85+E86+E87</f>
        <v>108048</v>
      </c>
    </row>
    <row r="89" spans="2:6" x14ac:dyDescent="0.35">
      <c r="B89" s="723" t="s">
        <v>326</v>
      </c>
      <c r="C89" s="720" t="s">
        <v>63</v>
      </c>
      <c r="D89" s="720"/>
      <c r="E89" s="722">
        <v>-4334</v>
      </c>
    </row>
    <row r="90" spans="2:6" x14ac:dyDescent="0.35">
      <c r="B90" s="672"/>
      <c r="C90" s="673" t="s">
        <v>11</v>
      </c>
      <c r="D90" s="674"/>
      <c r="E90" s="675">
        <f>+E88+E89</f>
        <v>103714</v>
      </c>
      <c r="F90" s="90"/>
    </row>
    <row r="91" spans="2:6" ht="23.15" customHeight="1" x14ac:dyDescent="0.35"/>
    <row r="92" spans="2:6" ht="14.65" customHeight="1" x14ac:dyDescent="0.35"/>
    <row r="93" spans="2:6" ht="14.65" customHeight="1" x14ac:dyDescent="0.35"/>
    <row r="94" spans="2:6" ht="14.65" customHeight="1" x14ac:dyDescent="0.35"/>
    <row r="95" spans="2:6" ht="14.65" customHeight="1" x14ac:dyDescent="0.35"/>
    <row r="96" spans="2:6" x14ac:dyDescent="0.35">
      <c r="F96" s="202"/>
    </row>
    <row r="97" spans="2:22" ht="14.65" customHeight="1" x14ac:dyDescent="0.35"/>
    <row r="98" spans="2:22" s="740" customFormat="1" ht="14.65" customHeight="1" x14ac:dyDescent="0.35">
      <c r="F98"/>
      <c r="G98"/>
      <c r="H98" s="181"/>
      <c r="I98" s="181"/>
      <c r="J98" s="181"/>
      <c r="K98" s="181"/>
      <c r="L98" s="181"/>
      <c r="M98" s="184"/>
      <c r="N98" s="180"/>
      <c r="O98" s="180"/>
      <c r="P98" s="181"/>
      <c r="Q98" s="181"/>
      <c r="R98" s="181"/>
      <c r="S98"/>
      <c r="V98"/>
    </row>
    <row r="100" spans="2:22" s="106" customFormat="1" x14ac:dyDescent="0.35"/>
    <row r="101" spans="2:22" s="679" customFormat="1" x14ac:dyDescent="0.35"/>
    <row r="102" spans="2:22" s="679" customFormat="1" x14ac:dyDescent="0.35">
      <c r="B102" s="689"/>
      <c r="C102" s="689"/>
      <c r="D102" s="689"/>
      <c r="E102" s="688"/>
    </row>
    <row r="103" spans="2:22" s="679" customFormat="1" x14ac:dyDescent="0.35">
      <c r="B103" s="689"/>
      <c r="C103" s="689"/>
      <c r="D103" s="689"/>
      <c r="E103" s="688"/>
    </row>
    <row r="104" spans="2:22" s="679" customFormat="1" x14ac:dyDescent="0.35">
      <c r="B104" s="689"/>
      <c r="C104" s="689"/>
      <c r="D104" s="689"/>
      <c r="E104" s="688"/>
    </row>
    <row r="105" spans="2:22" s="106" customFormat="1" x14ac:dyDescent="0.35">
      <c r="B105" s="1434"/>
      <c r="C105" s="1434"/>
      <c r="D105" s="1434"/>
      <c r="E105" s="421"/>
    </row>
    <row r="106" spans="2:22" ht="23.5" x14ac:dyDescent="0.35">
      <c r="B106" s="1442" t="s">
        <v>264</v>
      </c>
      <c r="C106" s="1443"/>
      <c r="D106" s="1443"/>
      <c r="E106" s="1444"/>
    </row>
    <row r="107" spans="2:22" x14ac:dyDescent="0.35">
      <c r="B107" s="2" t="s">
        <v>7</v>
      </c>
      <c r="C107" s="270" t="s">
        <v>8</v>
      </c>
      <c r="D107" s="217" t="s">
        <v>4</v>
      </c>
      <c r="E107" s="597" t="s">
        <v>9</v>
      </c>
    </row>
    <row r="108" spans="2:22" x14ac:dyDescent="0.35">
      <c r="B108" s="3" t="s">
        <v>3</v>
      </c>
      <c r="C108" s="258">
        <v>132</v>
      </c>
      <c r="D108" s="227">
        <v>319</v>
      </c>
      <c r="E108" s="598">
        <f>+E109+E110+E111+E112+E113+E114</f>
        <v>94583.75</v>
      </c>
      <c r="F108" s="202"/>
    </row>
    <row r="109" spans="2:22" x14ac:dyDescent="0.35">
      <c r="B109" s="3" t="s">
        <v>311</v>
      </c>
      <c r="C109" s="258">
        <v>16</v>
      </c>
      <c r="D109" s="227">
        <v>319</v>
      </c>
      <c r="E109" s="598">
        <f>C109*D109</f>
        <v>5104</v>
      </c>
    </row>
    <row r="110" spans="2:22" x14ac:dyDescent="0.35">
      <c r="B110" s="3" t="s">
        <v>196</v>
      </c>
      <c r="C110" s="258"/>
      <c r="D110" s="227"/>
      <c r="E110" s="598">
        <v>5000</v>
      </c>
    </row>
    <row r="111" spans="2:22" x14ac:dyDescent="0.35">
      <c r="B111" s="3" t="s">
        <v>195</v>
      </c>
      <c r="C111" s="258">
        <v>6.5</v>
      </c>
      <c r="D111" s="227">
        <f>+D108*1.5</f>
        <v>478.5</v>
      </c>
      <c r="E111" s="598">
        <f>+C111*D111</f>
        <v>3110.25</v>
      </c>
    </row>
    <row r="112" spans="2:22" x14ac:dyDescent="0.35">
      <c r="B112" s="3" t="s">
        <v>6</v>
      </c>
      <c r="C112" s="258"/>
      <c r="D112" s="227"/>
      <c r="E112" s="598">
        <v>8000</v>
      </c>
    </row>
    <row r="113" spans="2:6" x14ac:dyDescent="0.35">
      <c r="B113" s="3" t="s">
        <v>342</v>
      </c>
      <c r="C113" s="258"/>
      <c r="D113" s="227"/>
      <c r="E113" s="598">
        <v>37641.5</v>
      </c>
    </row>
    <row r="114" spans="2:6" x14ac:dyDescent="0.35">
      <c r="B114" s="3" t="s">
        <v>341</v>
      </c>
      <c r="C114" s="258">
        <v>112</v>
      </c>
      <c r="D114" s="227">
        <v>319</v>
      </c>
      <c r="E114" s="598">
        <f>+C114*D114</f>
        <v>35728</v>
      </c>
    </row>
    <row r="115" spans="2:6" x14ac:dyDescent="0.35">
      <c r="B115" s="1439" t="s">
        <v>99</v>
      </c>
      <c r="C115" s="1440"/>
      <c r="D115" s="1441"/>
      <c r="E115" s="599">
        <f>+E108+E109+E110+E111+E112+E113+E114</f>
        <v>189167.5</v>
      </c>
    </row>
    <row r="116" spans="2:6" x14ac:dyDescent="0.35">
      <c r="B116" s="745" t="s">
        <v>343</v>
      </c>
      <c r="C116" s="742" t="s">
        <v>344</v>
      </c>
      <c r="D116" s="743"/>
      <c r="E116" s="600">
        <v>-10000</v>
      </c>
    </row>
    <row r="117" spans="2:6" ht="15.5" x14ac:dyDescent="0.35">
      <c r="B117" s="1446" t="s">
        <v>11</v>
      </c>
      <c r="C117" s="1447"/>
      <c r="D117" s="1448"/>
      <c r="E117" s="603">
        <f>+E115+E116</f>
        <v>179167.5</v>
      </c>
      <c r="F117" s="202" t="s">
        <v>63</v>
      </c>
    </row>
    <row r="118" spans="2:6" x14ac:dyDescent="0.35">
      <c r="E118" s="203" t="s">
        <v>63</v>
      </c>
    </row>
    <row r="121" spans="2:6" ht="23.5" x14ac:dyDescent="0.35">
      <c r="B121" s="1442" t="s">
        <v>276</v>
      </c>
      <c r="C121" s="1443"/>
      <c r="D121" s="1443"/>
      <c r="E121" s="1444"/>
    </row>
    <row r="122" spans="2:6" ht="14.65" customHeight="1" x14ac:dyDescent="0.35">
      <c r="B122" s="2" t="s">
        <v>7</v>
      </c>
      <c r="C122" s="270" t="s">
        <v>8</v>
      </c>
      <c r="D122" s="217" t="s">
        <v>4</v>
      </c>
      <c r="E122" s="597" t="s">
        <v>9</v>
      </c>
    </row>
    <row r="123" spans="2:6" x14ac:dyDescent="0.35">
      <c r="B123" s="3" t="s">
        <v>21</v>
      </c>
      <c r="C123" s="258">
        <v>90</v>
      </c>
      <c r="D123" s="194">
        <v>384</v>
      </c>
      <c r="E123" s="598">
        <f>+C123*D123</f>
        <v>34560</v>
      </c>
    </row>
    <row r="124" spans="2:6" x14ac:dyDescent="0.35">
      <c r="B124" s="3" t="s">
        <v>303</v>
      </c>
      <c r="C124" s="258"/>
      <c r="D124" s="194" t="s">
        <v>63</v>
      </c>
      <c r="E124" s="609">
        <v>10000</v>
      </c>
      <c r="F124" s="202"/>
    </row>
    <row r="125" spans="2:6" x14ac:dyDescent="0.35">
      <c r="B125" s="615" t="s">
        <v>310</v>
      </c>
      <c r="C125" s="258">
        <v>10</v>
      </c>
      <c r="D125" s="194">
        <v>384</v>
      </c>
      <c r="E125" s="194">
        <f>+C125*D125</f>
        <v>3840</v>
      </c>
    </row>
    <row r="126" spans="2:6" x14ac:dyDescent="0.35">
      <c r="B126" s="615" t="s">
        <v>345</v>
      </c>
      <c r="C126" s="258">
        <v>5</v>
      </c>
      <c r="D126" s="194">
        <v>384</v>
      </c>
      <c r="E126" s="194">
        <f>+C126*D126</f>
        <v>1920</v>
      </c>
    </row>
    <row r="127" spans="2:6" x14ac:dyDescent="0.35">
      <c r="B127" s="615" t="s">
        <v>346</v>
      </c>
      <c r="C127" s="258">
        <v>5</v>
      </c>
      <c r="D127" s="194">
        <v>384</v>
      </c>
      <c r="E127" s="194">
        <f>+C127*D127</f>
        <v>1920</v>
      </c>
    </row>
    <row r="128" spans="2:6" x14ac:dyDescent="0.35">
      <c r="B128" s="615" t="s">
        <v>347</v>
      </c>
      <c r="C128" s="258">
        <v>35</v>
      </c>
      <c r="D128" s="194">
        <v>384</v>
      </c>
      <c r="E128" s="194">
        <f>+C128*D128</f>
        <v>13440</v>
      </c>
    </row>
    <row r="129" spans="2:5" x14ac:dyDescent="0.35">
      <c r="B129" s="615" t="s">
        <v>22</v>
      </c>
      <c r="C129" s="458">
        <v>1.2</v>
      </c>
      <c r="D129" s="458">
        <f>+D123*1.5</f>
        <v>576</v>
      </c>
      <c r="E129" s="194">
        <f>+C129*D129</f>
        <v>691.19999999999993</v>
      </c>
    </row>
    <row r="130" spans="2:5" ht="15.5" x14ac:dyDescent="0.35">
      <c r="B130" s="705" t="s">
        <v>11</v>
      </c>
      <c r="C130" s="708"/>
      <c r="D130" s="707"/>
      <c r="E130" s="603">
        <f>+E123+E124+E125+E126+E127+E128+E129</f>
        <v>66371.199999999997</v>
      </c>
    </row>
    <row r="133" spans="2:5" ht="23.5" x14ac:dyDescent="0.35">
      <c r="B133" s="1442" t="s">
        <v>260</v>
      </c>
      <c r="C133" s="1443"/>
      <c r="D133" s="1443"/>
      <c r="E133" s="1444"/>
    </row>
    <row r="134" spans="2:5" x14ac:dyDescent="0.35">
      <c r="B134" s="2" t="s">
        <v>7</v>
      </c>
      <c r="C134" s="270" t="s">
        <v>8</v>
      </c>
      <c r="D134" s="217" t="s">
        <v>4</v>
      </c>
      <c r="E134" s="597" t="s">
        <v>9</v>
      </c>
    </row>
    <row r="135" spans="2:5" x14ac:dyDescent="0.35">
      <c r="B135" s="3" t="s">
        <v>3</v>
      </c>
      <c r="C135" s="258">
        <v>155.5</v>
      </c>
      <c r="D135" s="194">
        <v>567</v>
      </c>
      <c r="E135" s="598">
        <f>+C135*D135</f>
        <v>88168.5</v>
      </c>
    </row>
    <row r="136" spans="2:5" x14ac:dyDescent="0.35">
      <c r="B136" s="3" t="s">
        <v>353</v>
      </c>
      <c r="C136" s="258">
        <v>16</v>
      </c>
      <c r="D136" s="194">
        <v>567</v>
      </c>
      <c r="E136" s="609">
        <f>+C136*D136</f>
        <v>9072</v>
      </c>
    </row>
    <row r="137" spans="2:5" x14ac:dyDescent="0.35">
      <c r="B137" s="3" t="s">
        <v>270</v>
      </c>
      <c r="C137" s="258" t="s">
        <v>63</v>
      </c>
      <c r="D137" s="194" t="s">
        <v>63</v>
      </c>
      <c r="E137" s="609" t="s">
        <v>63</v>
      </c>
    </row>
    <row r="138" spans="2:5" x14ac:dyDescent="0.35">
      <c r="B138" s="614" t="s">
        <v>200</v>
      </c>
      <c r="C138" s="617"/>
      <c r="D138" s="227"/>
      <c r="E138" s="609">
        <v>5000</v>
      </c>
    </row>
    <row r="139" spans="2:5" x14ac:dyDescent="0.35">
      <c r="B139" s="621" t="s">
        <v>99</v>
      </c>
      <c r="C139" s="622"/>
      <c r="D139" s="622"/>
      <c r="E139" s="634">
        <f>+E135+E136+E138</f>
        <v>102240.5</v>
      </c>
    </row>
    <row r="140" spans="2:5" x14ac:dyDescent="0.35">
      <c r="B140" s="615" t="s">
        <v>19</v>
      </c>
      <c r="C140" s="619"/>
      <c r="D140" s="619"/>
      <c r="E140" s="710" t="s">
        <v>63</v>
      </c>
    </row>
    <row r="141" spans="2:5" x14ac:dyDescent="0.35">
      <c r="B141" s="615" t="s">
        <v>63</v>
      </c>
      <c r="C141" s="709"/>
      <c r="D141" s="619"/>
      <c r="E141" s="710" t="s">
        <v>63</v>
      </c>
    </row>
    <row r="142" spans="2:5" ht="15.5" x14ac:dyDescent="0.35">
      <c r="B142" s="705" t="s">
        <v>11</v>
      </c>
      <c r="C142" s="708"/>
      <c r="D142" s="706"/>
      <c r="E142" s="603">
        <f>+E135+E136+E138</f>
        <v>102240.5</v>
      </c>
    </row>
    <row r="143" spans="2:5" ht="23.15" customHeight="1" x14ac:dyDescent="0.35"/>
    <row r="144" spans="2:5" ht="14.65" customHeight="1" x14ac:dyDescent="0.35"/>
    <row r="145" spans="2:6" x14ac:dyDescent="0.35">
      <c r="F145" s="202"/>
    </row>
    <row r="149" spans="2:6" x14ac:dyDescent="0.35">
      <c r="F149" s="202"/>
    </row>
    <row r="157" spans="2:6" ht="23.5" x14ac:dyDescent="0.35">
      <c r="B157" s="1442" t="s">
        <v>301</v>
      </c>
      <c r="C157" s="1443"/>
      <c r="D157" s="1443"/>
      <c r="E157" s="1444"/>
    </row>
    <row r="158" spans="2:6" x14ac:dyDescent="0.35">
      <c r="B158" s="2" t="s">
        <v>7</v>
      </c>
      <c r="C158" s="270" t="s">
        <v>8</v>
      </c>
      <c r="D158" s="217" t="s">
        <v>4</v>
      </c>
      <c r="E158" s="597" t="s">
        <v>9</v>
      </c>
    </row>
    <row r="159" spans="2:6" x14ac:dyDescent="0.35">
      <c r="B159" s="3" t="s">
        <v>3</v>
      </c>
      <c r="C159" s="258">
        <v>176</v>
      </c>
      <c r="D159" s="227">
        <v>313</v>
      </c>
      <c r="E159" s="598">
        <f>+C159*D159</f>
        <v>55088</v>
      </c>
    </row>
    <row r="160" spans="2:6" x14ac:dyDescent="0.35">
      <c r="B160" s="3" t="s">
        <v>311</v>
      </c>
      <c r="C160" s="258">
        <v>16</v>
      </c>
      <c r="D160" s="227">
        <v>313</v>
      </c>
      <c r="E160" s="598">
        <f>+C160*D160</f>
        <v>5008</v>
      </c>
    </row>
    <row r="161" spans="2:6" x14ac:dyDescent="0.35">
      <c r="B161" s="3" t="s">
        <v>200</v>
      </c>
      <c r="C161" s="258"/>
      <c r="D161" s="227"/>
      <c r="E161" s="598">
        <v>5000</v>
      </c>
    </row>
    <row r="162" spans="2:6" x14ac:dyDescent="0.35">
      <c r="B162" s="3" t="s">
        <v>195</v>
      </c>
      <c r="C162" s="258">
        <v>9</v>
      </c>
      <c r="D162" s="194">
        <f>+D159*1.5</f>
        <v>469.5</v>
      </c>
      <c r="E162" s="598">
        <f>+C162*D162</f>
        <v>4225.5</v>
      </c>
    </row>
    <row r="163" spans="2:6" x14ac:dyDescent="0.35">
      <c r="B163" s="3" t="s">
        <v>6</v>
      </c>
      <c r="C163" s="258"/>
      <c r="D163" s="194"/>
      <c r="E163" s="598">
        <v>5000</v>
      </c>
    </row>
    <row r="164" spans="2:6" x14ac:dyDescent="0.35">
      <c r="B164" s="3" t="s">
        <v>63</v>
      </c>
      <c r="C164" s="258" t="s">
        <v>324</v>
      </c>
      <c r="D164" s="194" t="s">
        <v>63</v>
      </c>
      <c r="E164" s="598" t="s">
        <v>63</v>
      </c>
    </row>
    <row r="165" spans="2:6" x14ac:dyDescent="0.35">
      <c r="B165" s="1439" t="s">
        <v>99</v>
      </c>
      <c r="C165" s="1440"/>
      <c r="D165" s="1441"/>
      <c r="E165" s="599">
        <f>+E159+E160+E161+E162+E163</f>
        <v>74321.5</v>
      </c>
      <c r="F165" s="202"/>
    </row>
    <row r="166" spans="2:6" x14ac:dyDescent="0.35">
      <c r="B166" s="724" t="s">
        <v>63</v>
      </c>
      <c r="C166" s="729" t="s">
        <v>63</v>
      </c>
      <c r="D166" s="730" t="s">
        <v>63</v>
      </c>
      <c r="E166" s="731" t="s">
        <v>63</v>
      </c>
      <c r="F166" s="202" t="s">
        <v>63</v>
      </c>
    </row>
    <row r="167" spans="2:6" x14ac:dyDescent="0.35">
      <c r="B167" s="739" t="s">
        <v>63</v>
      </c>
      <c r="C167" s="729"/>
      <c r="D167" s="730"/>
      <c r="E167" s="731" t="s">
        <v>63</v>
      </c>
    </row>
    <row r="168" spans="2:6" s="755" customFormat="1" ht="23.5" x14ac:dyDescent="0.55000000000000004">
      <c r="B168" s="751"/>
      <c r="C168" s="752" t="s">
        <v>11</v>
      </c>
      <c r="D168" s="753"/>
      <c r="E168" s="754">
        <f>+E159+E160+E161+E162+E163</f>
        <v>74321.5</v>
      </c>
    </row>
    <row r="172" spans="2:6" ht="23.5" x14ac:dyDescent="0.35">
      <c r="B172" s="1442" t="s">
        <v>354</v>
      </c>
      <c r="C172" s="1443"/>
      <c r="D172" s="1443"/>
      <c r="E172" s="1444"/>
    </row>
    <row r="173" spans="2:6" x14ac:dyDescent="0.35">
      <c r="B173" s="2" t="s">
        <v>7</v>
      </c>
      <c r="C173" s="270" t="s">
        <v>8</v>
      </c>
      <c r="D173" s="217" t="s">
        <v>4</v>
      </c>
      <c r="E173" s="597" t="s">
        <v>9</v>
      </c>
    </row>
    <row r="174" spans="2:6" x14ac:dyDescent="0.35">
      <c r="B174" s="3" t="s">
        <v>3</v>
      </c>
      <c r="C174" s="258">
        <v>100</v>
      </c>
      <c r="D174" s="227">
        <v>352</v>
      </c>
      <c r="E174" s="598">
        <f>+C174*D174</f>
        <v>35200</v>
      </c>
    </row>
    <row r="175" spans="2:6" x14ac:dyDescent="0.35">
      <c r="B175" s="3" t="s">
        <v>311</v>
      </c>
      <c r="C175" s="258" t="s">
        <v>63</v>
      </c>
      <c r="D175" s="227" t="s">
        <v>63</v>
      </c>
      <c r="E175" s="598" t="s">
        <v>63</v>
      </c>
    </row>
    <row r="176" spans="2:6" x14ac:dyDescent="0.35">
      <c r="B176" s="3" t="s">
        <v>266</v>
      </c>
      <c r="C176" s="258"/>
      <c r="D176" s="227"/>
      <c r="E176" s="598">
        <v>2500</v>
      </c>
    </row>
    <row r="177" spans="2:5" x14ac:dyDescent="0.35">
      <c r="B177" s="3" t="s">
        <v>195</v>
      </c>
      <c r="C177" s="258">
        <v>1</v>
      </c>
      <c r="D177" s="194">
        <f>+D174*1.5</f>
        <v>528</v>
      </c>
      <c r="E177" s="598">
        <f>+C177*D177</f>
        <v>528</v>
      </c>
    </row>
    <row r="178" spans="2:5" x14ac:dyDescent="0.35">
      <c r="B178" s="3" t="s">
        <v>6</v>
      </c>
      <c r="C178" s="258"/>
      <c r="D178" s="194"/>
      <c r="E178" s="598">
        <v>5000</v>
      </c>
    </row>
    <row r="179" spans="2:5" x14ac:dyDescent="0.35">
      <c r="B179" s="3" t="s">
        <v>63</v>
      </c>
      <c r="C179" s="258" t="s">
        <v>63</v>
      </c>
      <c r="D179" s="194" t="s">
        <v>63</v>
      </c>
      <c r="E179" s="598" t="s">
        <v>63</v>
      </c>
    </row>
    <row r="180" spans="2:5" x14ac:dyDescent="0.35">
      <c r="B180" s="1439" t="s">
        <v>99</v>
      </c>
      <c r="C180" s="1440"/>
      <c r="D180" s="1441"/>
      <c r="E180" s="599">
        <f>+E174+E176+E177+E178</f>
        <v>43228</v>
      </c>
    </row>
    <row r="181" spans="2:5" x14ac:dyDescent="0.35">
      <c r="B181" s="723" t="s">
        <v>63</v>
      </c>
      <c r="C181" s="720" t="s">
        <v>63</v>
      </c>
      <c r="D181" s="720"/>
      <c r="E181" s="722" t="s">
        <v>63</v>
      </c>
    </row>
    <row r="182" spans="2:5" s="760" customFormat="1" ht="21" x14ac:dyDescent="0.5">
      <c r="B182" s="756"/>
      <c r="C182" s="757" t="s">
        <v>11</v>
      </c>
      <c r="D182" s="758"/>
      <c r="E182" s="759">
        <f>+E174+E176+E177+E178</f>
        <v>43228</v>
      </c>
    </row>
  </sheetData>
  <mergeCells count="26">
    <mergeCell ref="B172:E172"/>
    <mergeCell ref="B180:D180"/>
    <mergeCell ref="B30:D30"/>
    <mergeCell ref="B2:E2"/>
    <mergeCell ref="B13:D13"/>
    <mergeCell ref="B16:D16"/>
    <mergeCell ref="B19:E19"/>
    <mergeCell ref="B28:D28"/>
    <mergeCell ref="B105:D105"/>
    <mergeCell ref="B32:D32"/>
    <mergeCell ref="B35:E35"/>
    <mergeCell ref="B43:D43"/>
    <mergeCell ref="B45:D45"/>
    <mergeCell ref="B48:E48"/>
    <mergeCell ref="B59:D59"/>
    <mergeCell ref="B65:E65"/>
    <mergeCell ref="B74:D74"/>
    <mergeCell ref="B80:E80"/>
    <mergeCell ref="B88:D88"/>
    <mergeCell ref="B157:E157"/>
    <mergeCell ref="B165:D165"/>
    <mergeCell ref="B106:E106"/>
    <mergeCell ref="B115:D115"/>
    <mergeCell ref="B117:D117"/>
    <mergeCell ref="B121:E121"/>
    <mergeCell ref="B133:E133"/>
  </mergeCells>
  <pageMargins left="0.31496062992125984" right="0.11811023622047245" top="0" bottom="0" header="0.31496062992125984" footer="0.31496062992125984"/>
  <pageSetup paperSize="9" fitToWidth="0" orientation="portrait" r:id="rId1"/>
  <colBreaks count="1" manualBreakCount="1">
    <brk id="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39"/>
  <sheetViews>
    <sheetView topLeftCell="B21" workbookViewId="0">
      <selection activeCell="E32" sqref="E32"/>
    </sheetView>
  </sheetViews>
  <sheetFormatPr baseColWidth="10" defaultRowHeight="14.5" x14ac:dyDescent="0.35"/>
  <cols>
    <col min="2" max="2" width="31.26953125" customWidth="1"/>
    <col min="3" max="3" width="29.453125" style="49" customWidth="1"/>
    <col min="4" max="4" width="15.7265625" customWidth="1"/>
    <col min="5" max="5" width="14.08984375" customWidth="1"/>
  </cols>
  <sheetData>
    <row r="1" spans="2:3" s="658" customFormat="1" ht="28.5" x14ac:dyDescent="0.65">
      <c r="B1" s="718" t="s">
        <v>314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3" t="s">
        <v>10</v>
      </c>
      <c r="C4" s="75">
        <v>67200</v>
      </c>
    </row>
    <row r="5" spans="2:3" x14ac:dyDescent="0.35">
      <c r="B5" s="3" t="s">
        <v>15</v>
      </c>
      <c r="C5" s="75">
        <v>227200</v>
      </c>
    </row>
    <row r="6" spans="2:3" x14ac:dyDescent="0.35">
      <c r="B6" s="3" t="s">
        <v>16</v>
      </c>
      <c r="C6" s="75">
        <v>58310</v>
      </c>
    </row>
    <row r="7" spans="2:3" x14ac:dyDescent="0.35">
      <c r="B7" s="3" t="s">
        <v>0</v>
      </c>
      <c r="C7" s="75">
        <v>92820</v>
      </c>
    </row>
    <row r="8" spans="2:3" x14ac:dyDescent="0.35">
      <c r="B8" s="3" t="s">
        <v>28</v>
      </c>
      <c r="C8" s="75">
        <v>74900</v>
      </c>
    </row>
    <row r="9" spans="2:3" x14ac:dyDescent="0.35">
      <c r="B9" s="3"/>
      <c r="C9" s="75"/>
    </row>
    <row r="10" spans="2:3" x14ac:dyDescent="0.35">
      <c r="B10" s="3" t="s">
        <v>245</v>
      </c>
      <c r="C10" s="75">
        <v>59830</v>
      </c>
    </row>
    <row r="11" spans="2:3" x14ac:dyDescent="0.35">
      <c r="B11" s="3" t="s">
        <v>267</v>
      </c>
      <c r="C11" s="75">
        <v>82110</v>
      </c>
    </row>
    <row r="12" spans="2:3" x14ac:dyDescent="0.35">
      <c r="B12" s="3" t="s">
        <v>260</v>
      </c>
      <c r="C12" s="75">
        <v>73700</v>
      </c>
    </row>
    <row r="13" spans="2:3" x14ac:dyDescent="0.35">
      <c r="B13" s="3" t="s">
        <v>276</v>
      </c>
      <c r="C13" s="75">
        <v>54200</v>
      </c>
    </row>
    <row r="14" spans="2:3" x14ac:dyDescent="0.35">
      <c r="B14" s="3" t="s">
        <v>277</v>
      </c>
      <c r="C14" s="75">
        <v>52520</v>
      </c>
    </row>
    <row r="15" spans="2:3" s="646" customFormat="1" ht="26" x14ac:dyDescent="0.6">
      <c r="B15" s="650" t="s">
        <v>315</v>
      </c>
      <c r="C15" s="652">
        <f>SUM(C4:C14)</f>
        <v>842790</v>
      </c>
    </row>
    <row r="20" spans="2:4" s="648" customFormat="1" ht="46" x14ac:dyDescent="1">
      <c r="B20" s="719" t="s">
        <v>327</v>
      </c>
      <c r="C20" s="653"/>
    </row>
    <row r="21" spans="2:4" ht="18.5" x14ac:dyDescent="0.45">
      <c r="B21" s="643" t="s">
        <v>306</v>
      </c>
      <c r="C21" s="654" t="s">
        <v>272</v>
      </c>
      <c r="D21" s="643" t="s">
        <v>200</v>
      </c>
    </row>
    <row r="22" spans="2:4" ht="18.5" x14ac:dyDescent="0.45">
      <c r="B22" s="644" t="s">
        <v>10</v>
      </c>
      <c r="C22" s="655">
        <v>454</v>
      </c>
      <c r="D22" s="644">
        <v>10000</v>
      </c>
    </row>
    <row r="23" spans="2:4" ht="18.5" x14ac:dyDescent="0.45">
      <c r="B23" s="644" t="s">
        <v>15</v>
      </c>
      <c r="C23" s="655">
        <v>970</v>
      </c>
      <c r="D23" s="644">
        <v>10000</v>
      </c>
    </row>
    <row r="24" spans="2:4" ht="18.5" x14ac:dyDescent="0.45">
      <c r="B24" s="644" t="s">
        <v>16</v>
      </c>
      <c r="C24" s="655">
        <v>399</v>
      </c>
      <c r="D24" s="644">
        <v>10000</v>
      </c>
    </row>
    <row r="25" spans="2:4" ht="18.5" x14ac:dyDescent="0.45">
      <c r="B25" s="644" t="s">
        <v>0</v>
      </c>
      <c r="C25" s="655">
        <v>567</v>
      </c>
      <c r="D25" s="644">
        <v>10000</v>
      </c>
    </row>
    <row r="26" spans="2:4" ht="18.5" x14ac:dyDescent="0.45">
      <c r="B26" s="644" t="s">
        <v>28</v>
      </c>
      <c r="C26" s="655">
        <v>567</v>
      </c>
      <c r="D26" s="644">
        <v>10000</v>
      </c>
    </row>
    <row r="27" spans="2:4" ht="18.5" x14ac:dyDescent="0.45">
      <c r="B27" s="644" t="s">
        <v>245</v>
      </c>
      <c r="C27" s="655">
        <v>319</v>
      </c>
      <c r="D27" s="644">
        <v>5000</v>
      </c>
    </row>
    <row r="28" spans="2:4" ht="18.5" x14ac:dyDescent="0.45">
      <c r="B28" s="644" t="s">
        <v>267</v>
      </c>
      <c r="C28" s="655">
        <v>352</v>
      </c>
      <c r="D28" s="644">
        <v>5000</v>
      </c>
    </row>
    <row r="29" spans="2:4" ht="18.5" x14ac:dyDescent="0.45">
      <c r="B29" s="644" t="s">
        <v>260</v>
      </c>
      <c r="C29" s="655">
        <v>567</v>
      </c>
      <c r="D29" s="644">
        <v>5000</v>
      </c>
    </row>
    <row r="30" spans="2:4" ht="18.5" x14ac:dyDescent="0.45">
      <c r="B30" s="645" t="s">
        <v>276</v>
      </c>
      <c r="C30" s="656">
        <v>384</v>
      </c>
      <c r="D30" s="644">
        <v>2500</v>
      </c>
    </row>
    <row r="31" spans="2:4" ht="18.5" x14ac:dyDescent="0.45">
      <c r="B31" s="645" t="s">
        <v>277</v>
      </c>
      <c r="C31" s="655">
        <v>313</v>
      </c>
      <c r="D31" s="644">
        <v>5000</v>
      </c>
    </row>
    <row r="32" spans="2:4" ht="18.5" x14ac:dyDescent="0.45">
      <c r="B32" s="645" t="s">
        <v>355</v>
      </c>
      <c r="C32" s="655">
        <v>352</v>
      </c>
      <c r="D32" s="645">
        <v>10000</v>
      </c>
    </row>
    <row r="34" spans="1:4" x14ac:dyDescent="0.35">
      <c r="A34" s="701" t="s">
        <v>106</v>
      </c>
      <c r="B34" s="702" t="s">
        <v>107</v>
      </c>
      <c r="C34" s="702" t="s">
        <v>262</v>
      </c>
      <c r="D34" s="704"/>
    </row>
    <row r="35" spans="1:4" x14ac:dyDescent="0.35">
      <c r="A35" s="703">
        <v>17</v>
      </c>
      <c r="B35" s="703">
        <v>9</v>
      </c>
      <c r="C35" s="568">
        <f>+A35*B35</f>
        <v>153</v>
      </c>
      <c r="D35" s="592" t="s">
        <v>116</v>
      </c>
    </row>
    <row r="36" spans="1:4" x14ac:dyDescent="0.35">
      <c r="A36" s="703">
        <v>4</v>
      </c>
      <c r="B36" s="703">
        <v>8</v>
      </c>
      <c r="C36" s="568">
        <f>+A36*B36</f>
        <v>32</v>
      </c>
      <c r="D36" s="593" t="s">
        <v>117</v>
      </c>
    </row>
    <row r="37" spans="1:4" x14ac:dyDescent="0.35">
      <c r="A37" s="703">
        <v>1</v>
      </c>
      <c r="B37" s="703">
        <v>8</v>
      </c>
      <c r="C37" s="568">
        <f>+A37*B37</f>
        <v>8</v>
      </c>
      <c r="D37" s="593" t="s">
        <v>111</v>
      </c>
    </row>
    <row r="38" spans="1:4" x14ac:dyDescent="0.35">
      <c r="A38" s="568">
        <f>+A35+A36+A37</f>
        <v>22</v>
      </c>
      <c r="B38" s="75"/>
      <c r="C38" s="568">
        <f>+C35+C36+C37</f>
        <v>193</v>
      </c>
      <c r="D38" s="592" t="s">
        <v>309</v>
      </c>
    </row>
    <row r="39" spans="1:4" x14ac:dyDescent="0.35">
      <c r="B39" s="49"/>
      <c r="C39"/>
    </row>
  </sheetData>
  <pageMargins left="0.7" right="0.7" top="0.75" bottom="0.75" header="0.3" footer="0.3"/>
  <pageSetup paperSize="9" fitToWidth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V180"/>
  <sheetViews>
    <sheetView topLeftCell="A4" zoomScale="90" zoomScaleNormal="90" workbookViewId="0">
      <selection activeCell="G99" sqref="G99:G100"/>
    </sheetView>
  </sheetViews>
  <sheetFormatPr baseColWidth="10" defaultRowHeight="14.5" x14ac:dyDescent="0.35"/>
  <cols>
    <col min="1" max="1" width="4.08984375" customWidth="1"/>
    <col min="2" max="2" width="27.6328125" customWidth="1"/>
    <col min="3" max="3" width="18.90625" style="261" customWidth="1"/>
    <col min="4" max="4" width="19.90625" style="202" customWidth="1"/>
    <col min="5" max="5" width="18.54296875" style="203" customWidth="1"/>
    <col min="6" max="6" width="23.08984375" bestFit="1" customWidth="1"/>
    <col min="7" max="7" width="14.6328125" bestFit="1" customWidth="1"/>
    <col min="8" max="8" width="27" customWidth="1"/>
    <col min="9" max="9" width="12.6328125" bestFit="1" customWidth="1"/>
    <col min="10" max="10" width="12.54296875" customWidth="1"/>
    <col min="11" max="11" width="13.54296875" bestFit="1" customWidth="1"/>
    <col min="12" max="12" width="13.54296875" customWidth="1"/>
    <col min="13" max="13" width="14.6328125" customWidth="1"/>
    <col min="14" max="14" width="14.54296875" bestFit="1" customWidth="1"/>
    <col min="15" max="15" width="14.54296875" customWidth="1"/>
    <col min="16" max="16" width="13" customWidth="1"/>
    <col min="17" max="18" width="14.453125" bestFit="1" customWidth="1"/>
    <col min="19" max="19" width="14.08984375" customWidth="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761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/>
      <c r="T3"/>
      <c r="U3"/>
    </row>
    <row r="4" spans="2:21" ht="18" customHeight="1" x14ac:dyDescent="0.35">
      <c r="B4" s="3" t="s">
        <v>3</v>
      </c>
      <c r="C4" s="258">
        <v>106</v>
      </c>
      <c r="D4" s="227">
        <v>500</v>
      </c>
      <c r="E4" s="598">
        <f>+C4*D4</f>
        <v>53000</v>
      </c>
      <c r="F4" s="553" t="s">
        <v>63</v>
      </c>
      <c r="T4" s="761"/>
    </row>
    <row r="5" spans="2:21" ht="18" customHeight="1" x14ac:dyDescent="0.35">
      <c r="B5" s="3" t="s">
        <v>282</v>
      </c>
      <c r="C5" s="258" t="s">
        <v>63</v>
      </c>
      <c r="D5" s="227" t="s">
        <v>63</v>
      </c>
      <c r="E5" s="598" t="s">
        <v>63</v>
      </c>
      <c r="T5" s="202"/>
    </row>
    <row r="6" spans="2:21" ht="18" customHeight="1" x14ac:dyDescent="0.35">
      <c r="B6" s="3" t="s">
        <v>196</v>
      </c>
      <c r="C6" s="258"/>
      <c r="D6" s="227"/>
      <c r="E6" s="598">
        <v>10000</v>
      </c>
    </row>
    <row r="7" spans="2:21" ht="18" customHeight="1" x14ac:dyDescent="0.35">
      <c r="B7" s="3" t="s">
        <v>335</v>
      </c>
      <c r="C7" s="258" t="s">
        <v>63</v>
      </c>
      <c r="D7" s="194" t="s">
        <v>63</v>
      </c>
      <c r="E7" s="598" t="s">
        <v>63</v>
      </c>
    </row>
    <row r="8" spans="2:21" ht="18" customHeight="1" x14ac:dyDescent="0.35">
      <c r="B8" s="3" t="s">
        <v>6</v>
      </c>
      <c r="C8" s="258">
        <v>20000</v>
      </c>
      <c r="D8" s="194"/>
      <c r="E8" s="598">
        <f>+C8</f>
        <v>20000</v>
      </c>
      <c r="F8" s="90" t="s">
        <v>63</v>
      </c>
      <c r="U8" s="761"/>
    </row>
    <row r="9" spans="2:21" ht="18" customHeight="1" x14ac:dyDescent="0.35">
      <c r="B9" s="3" t="s">
        <v>360</v>
      </c>
      <c r="C9" s="258">
        <v>1</v>
      </c>
      <c r="D9" s="194">
        <v>1500</v>
      </c>
      <c r="E9" s="598">
        <f>+C9*D9</f>
        <v>1500</v>
      </c>
      <c r="F9" s="202"/>
      <c r="U9" s="761"/>
    </row>
    <row r="10" spans="2:21" ht="18" customHeight="1" x14ac:dyDescent="0.35">
      <c r="B10" s="1432" t="s">
        <v>99</v>
      </c>
      <c r="C10" s="1432"/>
      <c r="D10" s="1432"/>
      <c r="E10" s="599">
        <f>+E4+E6+E8+E9</f>
        <v>84500</v>
      </c>
      <c r="F10" s="202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761"/>
    </row>
    <row r="11" spans="2:21" ht="18" customHeight="1" x14ac:dyDescent="0.35">
      <c r="B11" s="723" t="s">
        <v>333</v>
      </c>
      <c r="C11" s="721" t="s">
        <v>63</v>
      </c>
      <c r="D11" s="721" t="s">
        <v>63</v>
      </c>
      <c r="E11" s="722">
        <v>-50826.26</v>
      </c>
      <c r="F11" s="202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761"/>
    </row>
    <row r="12" spans="2:21" ht="18" customHeight="1" x14ac:dyDescent="0.35">
      <c r="B12" s="1433" t="s">
        <v>11</v>
      </c>
      <c r="C12" s="1433"/>
      <c r="D12" s="1433"/>
      <c r="E12" s="603">
        <f>+E10+E11</f>
        <v>33673.74</v>
      </c>
      <c r="H12" s="321"/>
      <c r="I12" s="321"/>
      <c r="J12" s="321"/>
      <c r="K12" s="473"/>
      <c r="L12" s="321"/>
      <c r="M12" s="321"/>
      <c r="T12" s="761"/>
    </row>
    <row r="13" spans="2:21" ht="18" customHeight="1" x14ac:dyDescent="0.35">
      <c r="B13" s="455"/>
      <c r="C13" s="455"/>
      <c r="D13" s="455"/>
      <c r="E13" s="456"/>
      <c r="H13" s="321"/>
      <c r="I13" s="321"/>
      <c r="J13" s="321"/>
      <c r="K13" s="473"/>
      <c r="L13" s="321"/>
      <c r="M13" s="321"/>
      <c r="T13" s="761"/>
    </row>
    <row r="14" spans="2:21" ht="18" customHeight="1" x14ac:dyDescent="0.35">
      <c r="F14" s="106"/>
      <c r="G14" s="4"/>
      <c r="N14" s="4"/>
      <c r="T14" s="761"/>
    </row>
    <row r="15" spans="2:21" ht="18" customHeight="1" x14ac:dyDescent="0.35">
      <c r="B15" s="1431" t="s">
        <v>15</v>
      </c>
      <c r="C15" s="1431"/>
      <c r="D15" s="1431"/>
      <c r="E15" s="1431"/>
      <c r="F15" s="406"/>
      <c r="K15" s="465"/>
      <c r="L15" s="465"/>
      <c r="M15" s="465"/>
    </row>
    <row r="16" spans="2:21" ht="18" customHeight="1" x14ac:dyDescent="0.35">
      <c r="B16" s="2" t="s">
        <v>7</v>
      </c>
      <c r="C16" s="270" t="s">
        <v>8</v>
      </c>
      <c r="D16" s="217" t="s">
        <v>4</v>
      </c>
      <c r="E16" s="597" t="s">
        <v>9</v>
      </c>
      <c r="F16" s="761"/>
      <c r="K16" s="101"/>
      <c r="L16" s="101"/>
      <c r="M16" s="101"/>
    </row>
    <row r="17" spans="2:22" ht="18" customHeight="1" x14ac:dyDescent="0.35">
      <c r="B17" s="3" t="s">
        <v>3</v>
      </c>
      <c r="C17" s="315">
        <v>106</v>
      </c>
      <c r="D17" s="194">
        <v>1020</v>
      </c>
      <c r="E17" s="598">
        <f>+C17*D17</f>
        <v>108120</v>
      </c>
      <c r="F17" s="202" t="s">
        <v>361</v>
      </c>
      <c r="K17" s="101"/>
      <c r="L17" s="101"/>
      <c r="M17" s="101"/>
    </row>
    <row r="18" spans="2:22" ht="18" customHeight="1" x14ac:dyDescent="0.35">
      <c r="B18" s="3" t="s">
        <v>299</v>
      </c>
      <c r="C18" s="258" t="s">
        <v>63</v>
      </c>
      <c r="D18" s="194" t="s">
        <v>63</v>
      </c>
      <c r="E18" s="598" t="s">
        <v>63</v>
      </c>
      <c r="F18" s="202"/>
      <c r="K18" s="101"/>
      <c r="L18" s="101"/>
      <c r="M18" s="101"/>
    </row>
    <row r="19" spans="2:22" ht="18" customHeight="1" x14ac:dyDescent="0.35">
      <c r="B19" s="3" t="s">
        <v>196</v>
      </c>
      <c r="C19" s="258"/>
      <c r="D19" s="194"/>
      <c r="E19" s="598">
        <v>10000</v>
      </c>
      <c r="F19" s="761"/>
      <c r="H19" s="763"/>
      <c r="N19" s="51"/>
      <c r="O19" s="51"/>
      <c r="P19" s="66"/>
      <c r="Q19" s="49"/>
      <c r="R19" s="49"/>
    </row>
    <row r="20" spans="2:22" ht="18" customHeight="1" x14ac:dyDescent="0.35">
      <c r="B20" s="3" t="s">
        <v>195</v>
      </c>
      <c r="C20" s="315" t="s">
        <v>63</v>
      </c>
      <c r="D20" s="194" t="s">
        <v>63</v>
      </c>
      <c r="E20" s="598" t="s">
        <v>63</v>
      </c>
      <c r="F20" s="202"/>
      <c r="G20" s="4"/>
      <c r="L20" s="180"/>
      <c r="M20" s="184"/>
    </row>
    <row r="21" spans="2:22" s="761" customFormat="1" ht="18" customHeight="1" x14ac:dyDescent="0.35">
      <c r="B21" s="3" t="s">
        <v>6</v>
      </c>
      <c r="C21" s="258"/>
      <c r="D21" s="194"/>
      <c r="E21" s="598">
        <v>20000</v>
      </c>
      <c r="F21"/>
      <c r="G21"/>
      <c r="L21" s="184"/>
      <c r="M21" s="184"/>
      <c r="N21"/>
      <c r="O21"/>
      <c r="P21"/>
      <c r="Q21"/>
      <c r="R21"/>
      <c r="S21"/>
      <c r="V21"/>
    </row>
    <row r="22" spans="2:22" s="761" customFormat="1" ht="18" customHeight="1" x14ac:dyDescent="0.35">
      <c r="B22" s="3" t="s">
        <v>356</v>
      </c>
      <c r="C22" s="258">
        <v>1</v>
      </c>
      <c r="D22" s="194">
        <v>3000</v>
      </c>
      <c r="E22" s="598">
        <f>+C22*D22</f>
        <v>3000</v>
      </c>
      <c r="F22"/>
      <c r="G22"/>
      <c r="L22" s="181"/>
      <c r="M22" s="184"/>
      <c r="N22" s="180"/>
      <c r="O22" s="180"/>
      <c r="P22" s="181"/>
      <c r="Q22" s="181"/>
      <c r="R22" s="181"/>
      <c r="S22"/>
      <c r="V22"/>
    </row>
    <row r="23" spans="2:22" s="761" customFormat="1" ht="18" customHeight="1" x14ac:dyDescent="0.35">
      <c r="B23" s="3" t="s">
        <v>357</v>
      </c>
      <c r="C23" s="258">
        <v>112</v>
      </c>
      <c r="D23" s="194">
        <v>1020</v>
      </c>
      <c r="E23" s="598">
        <f>+D23*C23</f>
        <v>114240</v>
      </c>
      <c r="F23" s="202"/>
      <c r="G23"/>
      <c r="L23" s="181"/>
      <c r="M23" s="184"/>
      <c r="N23" s="180"/>
      <c r="O23" s="180"/>
      <c r="P23" s="181"/>
      <c r="Q23" s="181"/>
      <c r="R23" s="181"/>
      <c r="S23"/>
      <c r="V23"/>
    </row>
    <row r="24" spans="2:22" s="761" customFormat="1" ht="18" customHeight="1" x14ac:dyDescent="0.35">
      <c r="B24" s="1432" t="s">
        <v>99</v>
      </c>
      <c r="C24" s="1432"/>
      <c r="D24" s="1432"/>
      <c r="E24" s="599">
        <f>+E17+E19+E21+E22+E23</f>
        <v>255360</v>
      </c>
      <c r="F24" s="202" t="s">
        <v>63</v>
      </c>
      <c r="G24"/>
      <c r="L24" s="181"/>
      <c r="M24" s="184"/>
      <c r="N24" s="180"/>
      <c r="O24" s="180"/>
      <c r="P24" s="181"/>
      <c r="Q24" s="181"/>
      <c r="R24" s="181"/>
      <c r="S24"/>
      <c r="V24"/>
    </row>
    <row r="25" spans="2:22" ht="18" customHeight="1" x14ac:dyDescent="0.35">
      <c r="B25" s="1387" t="s">
        <v>79</v>
      </c>
      <c r="C25" s="1387"/>
      <c r="D25" s="1387"/>
      <c r="E25" s="600">
        <v>-1540</v>
      </c>
      <c r="F25" s="181"/>
      <c r="L25" s="181"/>
      <c r="M25" s="185"/>
      <c r="N25" s="180"/>
      <c r="O25" s="180"/>
      <c r="P25" s="181"/>
      <c r="Q25" s="181"/>
      <c r="R25" s="181"/>
      <c r="S25" s="761"/>
      <c r="U25" s="761"/>
    </row>
    <row r="26" spans="2:22" ht="18" customHeight="1" x14ac:dyDescent="0.35">
      <c r="B26" s="1435" t="s">
        <v>11</v>
      </c>
      <c r="C26" s="1435"/>
      <c r="D26" s="1435"/>
      <c r="E26" s="602">
        <f>+E24+E25</f>
        <v>253820</v>
      </c>
      <c r="F26" s="409"/>
      <c r="G26" s="115"/>
      <c r="M26" s="189"/>
      <c r="N26" s="180"/>
      <c r="O26" s="180"/>
      <c r="P26" s="181"/>
      <c r="Q26" s="181"/>
      <c r="R26" s="181"/>
    </row>
    <row r="27" spans="2:22" ht="18" customHeight="1" x14ac:dyDescent="0.35">
      <c r="B27" s="455"/>
      <c r="C27" s="455"/>
      <c r="D27" s="455"/>
      <c r="E27" s="456"/>
      <c r="F27" s="409"/>
      <c r="G27" s="115"/>
      <c r="M27" s="189"/>
      <c r="N27" s="180"/>
      <c r="O27" s="180"/>
      <c r="P27" s="181"/>
      <c r="Q27" s="181"/>
      <c r="R27" s="181"/>
    </row>
    <row r="28" spans="2:22" ht="19.5" customHeight="1" x14ac:dyDescent="0.35">
      <c r="F28" s="409"/>
      <c r="G28" s="115"/>
      <c r="M28" s="185"/>
      <c r="N28" s="181"/>
      <c r="O28" s="181"/>
      <c r="P28" s="181"/>
      <c r="Q28" s="181"/>
    </row>
    <row r="29" spans="2:22" ht="18" customHeight="1" x14ac:dyDescent="0.45">
      <c r="B29" s="1450" t="s">
        <v>359</v>
      </c>
      <c r="C29" s="1451"/>
      <c r="D29" s="1451"/>
      <c r="E29" s="1452"/>
      <c r="F29" s="409"/>
      <c r="G29" s="115"/>
      <c r="M29" s="185"/>
      <c r="N29" s="181"/>
      <c r="O29" s="181"/>
      <c r="P29" s="181"/>
      <c r="Q29" s="181"/>
    </row>
    <row r="30" spans="2:22" ht="18" customHeight="1" x14ac:dyDescent="0.35">
      <c r="B30" s="604" t="s">
        <v>7</v>
      </c>
      <c r="C30" s="605" t="s">
        <v>8</v>
      </c>
      <c r="D30" s="606" t="s">
        <v>4</v>
      </c>
      <c r="E30" s="606" t="s">
        <v>9</v>
      </c>
      <c r="M30" s="185"/>
      <c r="N30" s="181"/>
      <c r="O30" s="181"/>
      <c r="P30" s="184"/>
    </row>
    <row r="31" spans="2:22" ht="18" customHeight="1" x14ac:dyDescent="0.35">
      <c r="B31" s="607" t="s">
        <v>3</v>
      </c>
      <c r="C31" s="267">
        <v>150</v>
      </c>
      <c r="D31" s="211">
        <v>440</v>
      </c>
      <c r="E31" s="211">
        <f>C31*D31</f>
        <v>66000</v>
      </c>
      <c r="F31" t="s">
        <v>63</v>
      </c>
      <c r="M31" s="182"/>
    </row>
    <row r="32" spans="2:22" ht="18" customHeight="1" x14ac:dyDescent="0.35">
      <c r="B32" s="3" t="s">
        <v>369</v>
      </c>
      <c r="C32" s="267">
        <v>16</v>
      </c>
      <c r="D32" s="211">
        <v>440</v>
      </c>
      <c r="E32" s="211">
        <f>+C32*D32</f>
        <v>7040</v>
      </c>
      <c r="F32" s="202"/>
      <c r="I32" s="761"/>
      <c r="J32" s="761"/>
      <c r="K32" s="761"/>
    </row>
    <row r="33" spans="2:18" ht="18" customHeight="1" x14ac:dyDescent="0.35">
      <c r="B33" s="3" t="s">
        <v>196</v>
      </c>
      <c r="C33" s="267"/>
      <c r="D33" s="211"/>
      <c r="E33" s="211">
        <v>10000</v>
      </c>
      <c r="F33" s="202"/>
      <c r="L33" s="761"/>
    </row>
    <row r="34" spans="2:18" ht="18" customHeight="1" x14ac:dyDescent="0.35">
      <c r="B34" s="3" t="s">
        <v>195</v>
      </c>
      <c r="C34" s="267">
        <v>9</v>
      </c>
      <c r="D34" s="211">
        <f>+D31*1.5</f>
        <v>660</v>
      </c>
      <c r="E34" s="211">
        <f>C34*D34</f>
        <v>5940</v>
      </c>
      <c r="F34" s="649"/>
      <c r="G34" s="180"/>
      <c r="H34" s="180"/>
      <c r="I34" s="181"/>
      <c r="J34" s="187"/>
      <c r="K34" s="188"/>
      <c r="L34" s="761"/>
      <c r="O34" s="761"/>
    </row>
    <row r="35" spans="2:18" ht="18" customHeight="1" x14ac:dyDescent="0.35">
      <c r="B35" s="3" t="s">
        <v>6</v>
      </c>
      <c r="C35" s="267">
        <v>15000</v>
      </c>
      <c r="D35" s="211"/>
      <c r="E35" s="211">
        <v>15000</v>
      </c>
      <c r="F35" t="s">
        <v>63</v>
      </c>
      <c r="G35" s="180"/>
      <c r="H35" s="180"/>
      <c r="I35" s="181"/>
      <c r="J35" s="181"/>
      <c r="K35" s="184"/>
      <c r="O35" s="761"/>
    </row>
    <row r="36" spans="2:18" s="761" customFormat="1" ht="18" customHeight="1" x14ac:dyDescent="0.35">
      <c r="B36" s="1457" t="s">
        <v>99</v>
      </c>
      <c r="C36" s="1456"/>
      <c r="D36" s="1458"/>
      <c r="E36" s="780">
        <f>+E31+E32+E33+E34+E35</f>
        <v>103980</v>
      </c>
      <c r="F36" s="202" t="s">
        <v>63</v>
      </c>
      <c r="G36" s="180"/>
      <c r="H36" s="180"/>
      <c r="I36" s="181"/>
      <c r="J36" s="181"/>
      <c r="K36" s="184"/>
      <c r="L36"/>
      <c r="N36"/>
      <c r="O36"/>
    </row>
    <row r="37" spans="2:18" ht="18" customHeight="1" x14ac:dyDescent="0.35">
      <c r="B37" s="785" t="s">
        <v>19</v>
      </c>
      <c r="C37" s="781"/>
      <c r="D37" s="781"/>
      <c r="E37" s="782">
        <v>-30000</v>
      </c>
      <c r="G37" s="180"/>
      <c r="H37" s="180"/>
      <c r="I37" s="181"/>
      <c r="J37" s="181"/>
      <c r="K37" s="184"/>
    </row>
    <row r="38" spans="2:18" ht="18" customHeight="1" x14ac:dyDescent="0.35">
      <c r="B38" s="786" t="s">
        <v>11</v>
      </c>
      <c r="C38" s="783"/>
      <c r="D38" s="783"/>
      <c r="E38" s="784">
        <f>+E36+E37</f>
        <v>73980</v>
      </c>
      <c r="G38" s="180"/>
      <c r="H38" s="180"/>
      <c r="I38" s="181"/>
      <c r="J38" s="181"/>
      <c r="K38" s="184"/>
    </row>
    <row r="39" spans="2:18" ht="18" customHeight="1" x14ac:dyDescent="0.35">
      <c r="B39" s="594"/>
      <c r="C39" s="594"/>
      <c r="D39" s="594"/>
      <c r="E39" s="595"/>
      <c r="G39" s="180"/>
      <c r="H39" s="180"/>
      <c r="I39" s="181"/>
      <c r="J39" s="181"/>
      <c r="K39" s="184"/>
    </row>
    <row r="40" spans="2:18" ht="18" customHeight="1" x14ac:dyDescent="0.35">
      <c r="B40" s="594"/>
      <c r="C40" s="594"/>
      <c r="D40" s="594"/>
      <c r="E40" s="595"/>
      <c r="G40" s="180"/>
      <c r="H40" s="180"/>
      <c r="I40" s="181"/>
      <c r="J40" s="181"/>
      <c r="K40" s="184"/>
    </row>
    <row r="41" spans="2:18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8" ht="18" customHeight="1" x14ac:dyDescent="0.35">
      <c r="B42" s="594"/>
      <c r="C42" s="594"/>
      <c r="D42" s="594"/>
      <c r="E42" s="595"/>
      <c r="G42" s="180"/>
      <c r="H42" s="180"/>
      <c r="I42" s="181"/>
      <c r="J42" s="181"/>
      <c r="K42" s="184"/>
    </row>
    <row r="43" spans="2:18" ht="18" customHeight="1" x14ac:dyDescent="0.35">
      <c r="B43" s="594"/>
      <c r="C43" s="594"/>
      <c r="D43" s="594"/>
      <c r="E43" s="595"/>
      <c r="G43" s="180"/>
      <c r="H43" s="180"/>
      <c r="I43" s="181"/>
      <c r="J43" s="181"/>
      <c r="K43" s="184"/>
    </row>
    <row r="44" spans="2:18" ht="15" customHeight="1" x14ac:dyDescent="0.35">
      <c r="B44" s="1431" t="s">
        <v>28</v>
      </c>
      <c r="C44" s="1431"/>
      <c r="D44" s="1431"/>
      <c r="E44" s="1431"/>
      <c r="F44" s="771"/>
      <c r="G44" s="180"/>
      <c r="H44" s="180"/>
      <c r="I44" s="181"/>
      <c r="J44" s="181"/>
      <c r="K44" s="184"/>
      <c r="L44" s="761"/>
    </row>
    <row r="45" spans="2:18" ht="15" customHeight="1" x14ac:dyDescent="0.35">
      <c r="B45" s="2" t="s">
        <v>7</v>
      </c>
      <c r="C45" s="270" t="s">
        <v>8</v>
      </c>
      <c r="D45" s="217" t="s">
        <v>4</v>
      </c>
      <c r="E45" s="597" t="s">
        <v>9</v>
      </c>
      <c r="F45" s="771"/>
      <c r="G45" s="180"/>
      <c r="H45" s="180"/>
      <c r="I45" s="181"/>
      <c r="J45" s="181"/>
      <c r="K45" s="184"/>
      <c r="L45" s="761"/>
    </row>
    <row r="46" spans="2:18" ht="15" customHeight="1" x14ac:dyDescent="0.35">
      <c r="B46" s="772" t="s">
        <v>3</v>
      </c>
      <c r="C46" s="315">
        <v>150</v>
      </c>
      <c r="D46" s="194">
        <v>625</v>
      </c>
      <c r="E46" s="598">
        <f>+C46*D46</f>
        <v>93750</v>
      </c>
      <c r="F46" s="771" t="s">
        <v>362</v>
      </c>
      <c r="G46" s="180"/>
      <c r="H46" s="180"/>
      <c r="I46" s="181"/>
      <c r="J46" s="181"/>
      <c r="K46" s="184"/>
    </row>
    <row r="47" spans="2:18" ht="15" customHeight="1" x14ac:dyDescent="0.35">
      <c r="B47" s="772" t="s">
        <v>299</v>
      </c>
      <c r="C47" s="315" t="s">
        <v>63</v>
      </c>
      <c r="D47" s="194" t="s">
        <v>63</v>
      </c>
      <c r="E47" s="598" t="s">
        <v>63</v>
      </c>
      <c r="F47" s="774"/>
      <c r="G47" s="180"/>
      <c r="H47" s="180"/>
      <c r="I47" s="181"/>
      <c r="J47" s="181"/>
      <c r="K47" s="184"/>
    </row>
    <row r="48" spans="2:18" ht="15" customHeight="1" x14ac:dyDescent="0.35">
      <c r="B48" s="772" t="s">
        <v>200</v>
      </c>
      <c r="C48" s="315">
        <v>10000</v>
      </c>
      <c r="D48" s="194"/>
      <c r="E48" s="598">
        <v>10000</v>
      </c>
      <c r="F48" s="774"/>
      <c r="M48" s="176"/>
      <c r="N48" s="180"/>
      <c r="O48" s="180"/>
      <c r="P48" s="181"/>
      <c r="Q48" s="181"/>
      <c r="R48" s="184"/>
    </row>
    <row r="49" spans="2:22" ht="15" customHeight="1" x14ac:dyDescent="0.35">
      <c r="B49" s="772" t="s">
        <v>195</v>
      </c>
      <c r="C49" s="315" t="s">
        <v>63</v>
      </c>
      <c r="D49" s="194" t="s">
        <v>63</v>
      </c>
      <c r="E49" s="598" t="s">
        <v>63</v>
      </c>
      <c r="F49" s="771"/>
      <c r="M49" s="176"/>
      <c r="N49" s="176"/>
      <c r="O49" s="176"/>
      <c r="P49" s="181"/>
      <c r="Q49" s="181"/>
      <c r="R49" s="184"/>
      <c r="T49" s="761"/>
    </row>
    <row r="50" spans="2:22" s="761" customFormat="1" ht="15" customHeight="1" x14ac:dyDescent="0.35">
      <c r="B50" s="772" t="s">
        <v>6</v>
      </c>
      <c r="C50" s="315">
        <v>20000</v>
      </c>
      <c r="D50" s="194"/>
      <c r="E50" s="598">
        <f>+C50</f>
        <v>20000</v>
      </c>
      <c r="F50" s="771" t="s">
        <v>364</v>
      </c>
      <c r="G50"/>
      <c r="H50"/>
      <c r="I50"/>
      <c r="J50"/>
      <c r="K50"/>
      <c r="L50"/>
      <c r="M50" s="176"/>
      <c r="N50" s="176"/>
      <c r="O50" s="176"/>
      <c r="P50" s="176"/>
      <c r="Q50" s="176"/>
      <c r="R50" s="176"/>
      <c r="S50"/>
      <c r="T50"/>
      <c r="U50"/>
      <c r="V50"/>
    </row>
    <row r="51" spans="2:22" s="775" customFormat="1" ht="15" customHeight="1" x14ac:dyDescent="0.35">
      <c r="B51" s="772" t="s">
        <v>307</v>
      </c>
      <c r="C51" s="315">
        <v>1</v>
      </c>
      <c r="D51" s="194">
        <v>3000</v>
      </c>
      <c r="E51" s="598">
        <f>+C51*D51</f>
        <v>3000</v>
      </c>
      <c r="F51" s="771"/>
      <c r="G51" s="771"/>
      <c r="H51" s="771"/>
      <c r="I51" s="771"/>
      <c r="J51" s="771"/>
      <c r="K51" s="771"/>
      <c r="L51" s="771"/>
      <c r="M51" s="176"/>
      <c r="N51" s="176"/>
      <c r="O51" s="176"/>
      <c r="P51" s="176"/>
      <c r="Q51" s="176"/>
      <c r="R51" s="176"/>
      <c r="S51" s="771"/>
      <c r="T51" s="771"/>
      <c r="U51" s="771"/>
      <c r="V51" s="771"/>
    </row>
    <row r="52" spans="2:22" s="761" customFormat="1" ht="15" customHeight="1" x14ac:dyDescent="0.35">
      <c r="B52" s="1432" t="s">
        <v>99</v>
      </c>
      <c r="C52" s="1432"/>
      <c r="D52" s="1432"/>
      <c r="E52" s="599">
        <f>+E46+E48+E50+E51</f>
        <v>126750</v>
      </c>
      <c r="F52" s="774"/>
      <c r="G52"/>
      <c r="H52"/>
      <c r="I52"/>
      <c r="J52"/>
      <c r="K52"/>
      <c r="L52"/>
      <c r="M52" s="176"/>
      <c r="N52" s="176"/>
      <c r="O52" s="176"/>
      <c r="P52" s="176"/>
      <c r="Q52" s="176"/>
      <c r="R52" s="176"/>
      <c r="S52"/>
      <c r="T52"/>
      <c r="U52"/>
      <c r="V52"/>
    </row>
    <row r="53" spans="2:22" ht="15" customHeight="1" x14ac:dyDescent="0.35">
      <c r="B53" s="776" t="s">
        <v>349</v>
      </c>
      <c r="C53" s="776"/>
      <c r="D53" s="776" t="s">
        <v>63</v>
      </c>
      <c r="E53" s="600">
        <v>-48986.21</v>
      </c>
      <c r="F53" s="774" t="s">
        <v>63</v>
      </c>
      <c r="N53" s="183"/>
      <c r="O53" s="183"/>
      <c r="P53" s="176"/>
      <c r="Q53" s="176"/>
      <c r="R53" s="176"/>
      <c r="T53" s="761"/>
    </row>
    <row r="54" spans="2:22" s="90" customFormat="1" ht="15" customHeight="1" x14ac:dyDescent="0.35">
      <c r="B54" s="776" t="s">
        <v>358</v>
      </c>
      <c r="C54" s="683"/>
      <c r="D54" s="776"/>
      <c r="E54" s="600">
        <v>-20000</v>
      </c>
      <c r="F54" s="771"/>
      <c r="N54" s="455"/>
      <c r="O54" s="455"/>
      <c r="P54" s="728"/>
      <c r="Q54" s="728"/>
      <c r="R54" s="728"/>
      <c r="T54" s="763"/>
    </row>
    <row r="55" spans="2:22" s="690" customFormat="1" ht="15" customHeight="1" x14ac:dyDescent="0.35">
      <c r="B55" s="684"/>
      <c r="C55" s="685" t="s">
        <v>11</v>
      </c>
      <c r="D55" s="686"/>
      <c r="E55" s="687">
        <f>+E52+E53+E54</f>
        <v>57763.790000000008</v>
      </c>
      <c r="F55" s="771"/>
      <c r="G55" s="671"/>
      <c r="H55" s="671"/>
      <c r="I55" s="671"/>
      <c r="J55" s="671"/>
      <c r="K55" s="671"/>
      <c r="L55" s="671"/>
      <c r="M55" s="691"/>
      <c r="N55" s="691"/>
      <c r="O55" s="691"/>
      <c r="P55" s="691"/>
      <c r="Q55" s="691"/>
      <c r="R55" s="691"/>
      <c r="S55" s="671"/>
      <c r="T55" s="671"/>
      <c r="U55" s="671"/>
      <c r="V55" s="671"/>
    </row>
    <row r="56" spans="2:22" s="761" customFormat="1" ht="15" customHeight="1" x14ac:dyDescent="0.35">
      <c r="B56" s="455"/>
      <c r="C56" s="455"/>
      <c r="D56" s="455"/>
      <c r="E56" s="456"/>
      <c r="F56"/>
      <c r="G56"/>
      <c r="H56"/>
      <c r="I56"/>
      <c r="J56"/>
      <c r="K56"/>
      <c r="L56"/>
      <c r="M56"/>
      <c r="N56" s="176"/>
      <c r="O56" s="176"/>
      <c r="P56" s="176"/>
      <c r="Q56" s="176"/>
      <c r="R56" s="176"/>
      <c r="S56"/>
      <c r="U56"/>
    </row>
    <row r="57" spans="2:22" s="761" customFormat="1" ht="15" customHeight="1" x14ac:dyDescent="0.35">
      <c r="B57" s="455"/>
      <c r="C57" s="455"/>
      <c r="D57" s="455"/>
      <c r="E57" s="456"/>
      <c r="F57"/>
      <c r="G57"/>
      <c r="H57"/>
      <c r="I57"/>
      <c r="J57"/>
      <c r="K57"/>
      <c r="L57"/>
      <c r="M57"/>
      <c r="N57" s="176"/>
      <c r="O57" s="176"/>
      <c r="P57" s="176"/>
      <c r="Q57" s="176"/>
      <c r="R57" s="176"/>
      <c r="S57"/>
      <c r="U57"/>
    </row>
    <row r="58" spans="2:22" ht="15" customHeight="1" x14ac:dyDescent="0.35">
      <c r="B58" s="1442" t="s">
        <v>263</v>
      </c>
      <c r="C58" s="1443"/>
      <c r="D58" s="1443"/>
      <c r="E58" s="1444"/>
      <c r="F58" s="771"/>
      <c r="N58" s="176"/>
      <c r="O58" s="176"/>
      <c r="P58" s="176"/>
      <c r="Q58" s="176"/>
      <c r="R58" s="176"/>
    </row>
    <row r="59" spans="2:22" ht="15" customHeight="1" x14ac:dyDescent="0.35">
      <c r="B59" s="2" t="s">
        <v>7</v>
      </c>
      <c r="C59" s="270" t="s">
        <v>8</v>
      </c>
      <c r="D59" s="217" t="s">
        <v>4</v>
      </c>
      <c r="E59" s="597" t="s">
        <v>9</v>
      </c>
      <c r="F59" s="771"/>
      <c r="N59" s="176"/>
      <c r="O59" s="176"/>
      <c r="P59" s="176"/>
      <c r="Q59" s="176"/>
      <c r="R59" s="176"/>
    </row>
    <row r="60" spans="2:22" ht="15" customHeight="1" x14ac:dyDescent="0.35">
      <c r="B60" s="772" t="s">
        <v>3</v>
      </c>
      <c r="C60" s="258">
        <v>150</v>
      </c>
      <c r="D60" s="227">
        <v>405</v>
      </c>
      <c r="E60" s="598">
        <f>+C60*D60</f>
        <v>60750</v>
      </c>
      <c r="F60" s="774" t="s">
        <v>365</v>
      </c>
      <c r="N60" s="176"/>
      <c r="O60" s="176"/>
      <c r="P60" s="176"/>
      <c r="Q60" s="176"/>
      <c r="R60" s="176"/>
    </row>
    <row r="61" spans="2:22" ht="15" customHeight="1" x14ac:dyDescent="0.35">
      <c r="B61" s="772" t="s">
        <v>299</v>
      </c>
      <c r="C61" s="258" t="s">
        <v>63</v>
      </c>
      <c r="D61" s="227" t="s">
        <v>63</v>
      </c>
      <c r="E61" s="598" t="s">
        <v>63</v>
      </c>
      <c r="F61" s="771"/>
      <c r="N61" s="176"/>
      <c r="O61" s="176"/>
      <c r="P61" s="176"/>
      <c r="Q61" s="176"/>
      <c r="R61" s="176"/>
    </row>
    <row r="62" spans="2:22" ht="15" customHeight="1" x14ac:dyDescent="0.35">
      <c r="B62" s="772" t="s">
        <v>266</v>
      </c>
      <c r="C62" s="258"/>
      <c r="D62" s="227"/>
      <c r="E62" s="598">
        <v>5000</v>
      </c>
      <c r="F62" s="771"/>
      <c r="N62" s="176"/>
      <c r="O62" s="176"/>
      <c r="P62" s="176"/>
      <c r="Q62" s="176"/>
      <c r="R62" s="176"/>
    </row>
    <row r="63" spans="2:22" ht="15" customHeight="1" x14ac:dyDescent="0.35">
      <c r="B63" s="772" t="s">
        <v>195</v>
      </c>
      <c r="C63" s="258">
        <v>0.5</v>
      </c>
      <c r="D63" s="194">
        <f>+D60*1.5</f>
        <v>607.5</v>
      </c>
      <c r="E63" s="598">
        <f>+C63*D63</f>
        <v>303.75</v>
      </c>
      <c r="F63" s="771"/>
      <c r="N63" s="176"/>
      <c r="O63" s="176"/>
      <c r="P63" s="176"/>
      <c r="Q63" s="176"/>
      <c r="R63" s="176"/>
    </row>
    <row r="64" spans="2:22" ht="15" customHeight="1" x14ac:dyDescent="0.35">
      <c r="B64" s="772" t="s">
        <v>6</v>
      </c>
      <c r="C64" s="258">
        <v>15000</v>
      </c>
      <c r="D64" s="194"/>
      <c r="E64" s="598">
        <v>15000</v>
      </c>
      <c r="F64" s="771" t="s">
        <v>364</v>
      </c>
      <c r="N64" s="176"/>
      <c r="O64" s="176"/>
      <c r="P64" s="176"/>
      <c r="Q64" s="176"/>
      <c r="R64" s="176"/>
    </row>
    <row r="65" spans="2:22" ht="15" customHeight="1" x14ac:dyDescent="0.35">
      <c r="B65" s="772" t="s">
        <v>63</v>
      </c>
      <c r="C65" s="258" t="s">
        <v>63</v>
      </c>
      <c r="D65" s="194" t="s">
        <v>63</v>
      </c>
      <c r="E65" s="598" t="s">
        <v>63</v>
      </c>
      <c r="F65" s="771"/>
      <c r="N65" s="176"/>
      <c r="O65" s="176"/>
      <c r="P65" s="176"/>
      <c r="Q65" s="176"/>
      <c r="R65" s="176"/>
    </row>
    <row r="66" spans="2:22" ht="15" customHeight="1" x14ac:dyDescent="0.35">
      <c r="B66" s="1439" t="s">
        <v>99</v>
      </c>
      <c r="C66" s="1440"/>
      <c r="D66" s="1441"/>
      <c r="E66" s="599">
        <f>+E60+E62+E63+E64</f>
        <v>81053.75</v>
      </c>
      <c r="F66" s="774" t="s">
        <v>63</v>
      </c>
      <c r="V66" s="761"/>
    </row>
    <row r="67" spans="2:22" ht="15" customHeight="1" x14ac:dyDescent="0.35">
      <c r="B67" s="723" t="s">
        <v>63</v>
      </c>
      <c r="C67" s="720" t="s">
        <v>63</v>
      </c>
      <c r="D67" s="720"/>
      <c r="E67" s="722" t="s">
        <v>63</v>
      </c>
      <c r="F67" s="771"/>
    </row>
    <row r="68" spans="2:22" ht="15" customHeight="1" x14ac:dyDescent="0.35">
      <c r="B68" s="672"/>
      <c r="C68" s="673" t="s">
        <v>11</v>
      </c>
      <c r="D68" s="674"/>
      <c r="E68" s="675">
        <v>81053.75</v>
      </c>
      <c r="F68" s="90"/>
    </row>
    <row r="69" spans="2:22" ht="15" customHeight="1" x14ac:dyDescent="0.35"/>
    <row r="70" spans="2:22" ht="15" customHeight="1" x14ac:dyDescent="0.35">
      <c r="B70" s="455"/>
      <c r="C70" s="455"/>
      <c r="D70" s="455"/>
      <c r="E70" s="456"/>
      <c r="V70" s="761"/>
    </row>
    <row r="74" spans="2:22" x14ac:dyDescent="0.35">
      <c r="F74" s="202" t="s">
        <v>63</v>
      </c>
    </row>
    <row r="78" spans="2:22" x14ac:dyDescent="0.35">
      <c r="F78" t="s">
        <v>63</v>
      </c>
    </row>
    <row r="80" spans="2:22" x14ac:dyDescent="0.35">
      <c r="F80" s="202" t="s">
        <v>63</v>
      </c>
    </row>
    <row r="82" spans="2:22" x14ac:dyDescent="0.35">
      <c r="F82" s="90"/>
    </row>
    <row r="83" spans="2:22" ht="23.15" customHeight="1" x14ac:dyDescent="0.35"/>
    <row r="84" spans="2:22" ht="14.65" customHeight="1" x14ac:dyDescent="0.35"/>
    <row r="85" spans="2:22" ht="14.65" customHeight="1" x14ac:dyDescent="0.35"/>
    <row r="86" spans="2:22" ht="14.65" customHeight="1" x14ac:dyDescent="0.35"/>
    <row r="87" spans="2:22" ht="14.65" customHeight="1" x14ac:dyDescent="0.35"/>
    <row r="88" spans="2:22" x14ac:dyDescent="0.35">
      <c r="F88" s="202"/>
    </row>
    <row r="89" spans="2:22" ht="14.65" customHeight="1" x14ac:dyDescent="0.35"/>
    <row r="90" spans="2:22" s="761" customFormat="1" ht="14.65" customHeight="1" x14ac:dyDescent="0.35">
      <c r="F90"/>
      <c r="G90"/>
      <c r="H90" s="181"/>
      <c r="I90" s="181"/>
      <c r="J90" s="181"/>
      <c r="K90" s="181"/>
      <c r="L90" s="181"/>
      <c r="M90" s="184"/>
      <c r="N90" s="180"/>
      <c r="O90" s="180"/>
      <c r="P90" s="181"/>
      <c r="Q90" s="181"/>
      <c r="R90" s="181"/>
      <c r="S90"/>
      <c r="V90"/>
    </row>
    <row r="92" spans="2:22" s="106" customFormat="1" x14ac:dyDescent="0.35"/>
    <row r="93" spans="2:22" s="679" customFormat="1" x14ac:dyDescent="0.35"/>
    <row r="94" spans="2:22" s="679" customFormat="1" x14ac:dyDescent="0.35">
      <c r="B94" s="689"/>
      <c r="C94" s="689"/>
      <c r="D94" s="689"/>
      <c r="E94" s="688"/>
    </row>
    <row r="95" spans="2:22" s="679" customFormat="1" x14ac:dyDescent="0.35">
      <c r="B95" s="689"/>
      <c r="C95" s="689"/>
      <c r="D95" s="689"/>
      <c r="E95" s="688"/>
    </row>
    <row r="96" spans="2:22" s="679" customFormat="1" x14ac:dyDescent="0.35">
      <c r="B96" s="689"/>
      <c r="C96" s="689"/>
      <c r="D96" s="689"/>
      <c r="E96" s="688"/>
    </row>
    <row r="97" spans="2:6" s="106" customFormat="1" x14ac:dyDescent="0.35">
      <c r="B97" s="1434"/>
      <c r="C97" s="1434"/>
      <c r="D97" s="1434"/>
      <c r="E97" s="421"/>
    </row>
    <row r="100" spans="2:6" x14ac:dyDescent="0.35">
      <c r="F100" s="202" t="s">
        <v>63</v>
      </c>
    </row>
    <row r="104" spans="2:6" x14ac:dyDescent="0.35">
      <c r="F104" t="s">
        <v>63</v>
      </c>
    </row>
    <row r="105" spans="2:6" x14ac:dyDescent="0.35">
      <c r="F105" s="202" t="s">
        <v>63</v>
      </c>
    </row>
    <row r="106" spans="2:6" s="764" customFormat="1" x14ac:dyDescent="0.35">
      <c r="F106" s="769" t="s">
        <v>63</v>
      </c>
    </row>
    <row r="107" spans="2:6" x14ac:dyDescent="0.35">
      <c r="F107" s="202" t="s">
        <v>63</v>
      </c>
    </row>
    <row r="108" spans="2:6" x14ac:dyDescent="0.35">
      <c r="F108" s="202" t="s">
        <v>63</v>
      </c>
    </row>
    <row r="109" spans="2:6" x14ac:dyDescent="0.35">
      <c r="E109" s="203" t="s">
        <v>63</v>
      </c>
    </row>
    <row r="112" spans="2:6" ht="23.5" x14ac:dyDescent="0.35">
      <c r="B112" s="1442" t="s">
        <v>260</v>
      </c>
      <c r="C112" s="1443"/>
      <c r="D112" s="1443"/>
      <c r="E112" s="1444"/>
    </row>
    <row r="113" spans="2:6" x14ac:dyDescent="0.35">
      <c r="B113" s="2" t="s">
        <v>7</v>
      </c>
      <c r="C113" s="270" t="s">
        <v>8</v>
      </c>
      <c r="D113" s="217" t="s">
        <v>4</v>
      </c>
      <c r="E113" s="597" t="s">
        <v>9</v>
      </c>
    </row>
    <row r="114" spans="2:6" x14ac:dyDescent="0.35">
      <c r="B114" s="772" t="s">
        <v>3</v>
      </c>
      <c r="C114" s="258">
        <v>165</v>
      </c>
      <c r="D114" s="194">
        <v>624</v>
      </c>
      <c r="E114" s="598">
        <f>+C114*D114</f>
        <v>102960</v>
      </c>
    </row>
    <row r="115" spans="2:6" x14ac:dyDescent="0.35">
      <c r="B115" s="772" t="s">
        <v>111</v>
      </c>
      <c r="C115" s="258" t="s">
        <v>63</v>
      </c>
      <c r="D115" s="194" t="s">
        <v>63</v>
      </c>
      <c r="E115" s="609" t="s">
        <v>63</v>
      </c>
    </row>
    <row r="116" spans="2:6" x14ac:dyDescent="0.35">
      <c r="B116" s="772" t="s">
        <v>270</v>
      </c>
      <c r="C116" s="258" t="s">
        <v>63</v>
      </c>
      <c r="D116" s="194" t="s">
        <v>63</v>
      </c>
      <c r="E116" s="609" t="s">
        <v>63</v>
      </c>
    </row>
    <row r="117" spans="2:6" x14ac:dyDescent="0.35">
      <c r="B117" s="772" t="s">
        <v>6</v>
      </c>
      <c r="C117" s="258"/>
      <c r="D117" s="194"/>
      <c r="E117" s="609">
        <v>10000</v>
      </c>
    </row>
    <row r="118" spans="2:6" x14ac:dyDescent="0.35">
      <c r="B118" s="614" t="s">
        <v>200</v>
      </c>
      <c r="C118" s="617"/>
      <c r="D118" s="227"/>
      <c r="E118" s="609">
        <v>10000</v>
      </c>
    </row>
    <row r="119" spans="2:6" x14ac:dyDescent="0.35">
      <c r="B119" s="621" t="s">
        <v>99</v>
      </c>
      <c r="C119" s="622"/>
      <c r="D119" s="622"/>
      <c r="E119" s="634">
        <f>+E114+E117+E118</f>
        <v>122960</v>
      </c>
      <c r="F119" s="202" t="s">
        <v>63</v>
      </c>
    </row>
    <row r="120" spans="2:6" x14ac:dyDescent="0.35">
      <c r="B120" s="615" t="s">
        <v>19</v>
      </c>
      <c r="C120" s="619"/>
      <c r="D120" s="619"/>
      <c r="E120" s="710">
        <v>-30000</v>
      </c>
    </row>
    <row r="121" spans="2:6" x14ac:dyDescent="0.35">
      <c r="B121" s="615" t="s">
        <v>63</v>
      </c>
      <c r="C121" s="709"/>
      <c r="D121" s="619"/>
      <c r="E121" s="710" t="s">
        <v>63</v>
      </c>
    </row>
    <row r="122" spans="2:6" ht="15.5" x14ac:dyDescent="0.35">
      <c r="B122" s="705" t="s">
        <v>11</v>
      </c>
      <c r="C122" s="708"/>
      <c r="D122" s="706"/>
      <c r="E122" s="603">
        <f>+E119+E120</f>
        <v>92960</v>
      </c>
    </row>
    <row r="123" spans="2:6" ht="23.15" customHeight="1" x14ac:dyDescent="0.35"/>
    <row r="125" spans="2:6" ht="23.5" x14ac:dyDescent="0.35">
      <c r="B125" s="1431" t="s">
        <v>0</v>
      </c>
      <c r="C125" s="1431"/>
      <c r="D125" s="1431"/>
      <c r="E125" s="1431"/>
      <c r="F125" s="771"/>
    </row>
    <row r="126" spans="2:6" x14ac:dyDescent="0.35">
      <c r="B126" s="2" t="s">
        <v>7</v>
      </c>
      <c r="C126" s="270" t="s">
        <v>8</v>
      </c>
      <c r="D126" s="217" t="s">
        <v>4</v>
      </c>
      <c r="E126" s="597" t="s">
        <v>9</v>
      </c>
      <c r="F126" s="771"/>
    </row>
    <row r="127" spans="2:6" x14ac:dyDescent="0.35">
      <c r="B127" s="772" t="s">
        <v>253</v>
      </c>
      <c r="C127" s="258">
        <v>194</v>
      </c>
      <c r="D127" s="194">
        <v>625</v>
      </c>
      <c r="E127" s="598">
        <f>+C127*D127</f>
        <v>121250</v>
      </c>
      <c r="F127" s="774" t="s">
        <v>362</v>
      </c>
    </row>
    <row r="128" spans="2:6" x14ac:dyDescent="0.35">
      <c r="B128" s="772" t="s">
        <v>299</v>
      </c>
      <c r="C128" s="258" t="s">
        <v>63</v>
      </c>
      <c r="D128" s="194" t="s">
        <v>63</v>
      </c>
      <c r="E128" s="598" t="s">
        <v>63</v>
      </c>
      <c r="F128" s="774"/>
    </row>
    <row r="129" spans="2:6" x14ac:dyDescent="0.35">
      <c r="B129" s="772" t="s">
        <v>196</v>
      </c>
      <c r="C129" s="258"/>
      <c r="D129" s="194"/>
      <c r="E129" s="598">
        <v>10000</v>
      </c>
      <c r="F129" s="775"/>
    </row>
    <row r="130" spans="2:6" x14ac:dyDescent="0.35">
      <c r="B130" s="772" t="s">
        <v>195</v>
      </c>
      <c r="C130" s="315">
        <v>5.5</v>
      </c>
      <c r="D130" s="194">
        <f>+D127*1.5</f>
        <v>937.5</v>
      </c>
      <c r="E130" s="598">
        <f>+D130*C130</f>
        <v>5156.25</v>
      </c>
      <c r="F130" s="771"/>
    </row>
    <row r="131" spans="2:6" x14ac:dyDescent="0.35">
      <c r="B131" s="772" t="s">
        <v>6</v>
      </c>
      <c r="C131" s="258">
        <v>20000</v>
      </c>
      <c r="D131" s="194"/>
      <c r="E131" s="598">
        <f>+C131</f>
        <v>20000</v>
      </c>
      <c r="F131" s="771" t="s">
        <v>363</v>
      </c>
    </row>
    <row r="132" spans="2:6" x14ac:dyDescent="0.35">
      <c r="B132" s="772" t="s">
        <v>296</v>
      </c>
      <c r="C132" s="258">
        <v>1</v>
      </c>
      <c r="D132" s="194">
        <v>3000</v>
      </c>
      <c r="E132" s="598">
        <f>+C132*D132</f>
        <v>3000</v>
      </c>
      <c r="F132" s="771"/>
    </row>
    <row r="133" spans="2:6" x14ac:dyDescent="0.35">
      <c r="B133" s="1432" t="s">
        <v>99</v>
      </c>
      <c r="C133" s="1432"/>
      <c r="D133" s="1432"/>
      <c r="E133" s="599">
        <f>+E127+E129+E130+E131+E132</f>
        <v>159406.25</v>
      </c>
      <c r="F133" s="774" t="s">
        <v>63</v>
      </c>
    </row>
    <row r="134" spans="2:6" x14ac:dyDescent="0.35">
      <c r="B134" s="723" t="s">
        <v>333</v>
      </c>
      <c r="C134" s="727" t="s">
        <v>63</v>
      </c>
      <c r="D134" s="727" t="s">
        <v>63</v>
      </c>
      <c r="E134" s="722">
        <v>-51796.28</v>
      </c>
      <c r="F134" s="553" t="s">
        <v>63</v>
      </c>
    </row>
    <row r="135" spans="2:6" x14ac:dyDescent="0.35">
      <c r="B135" s="672"/>
      <c r="C135" s="673" t="s">
        <v>11</v>
      </c>
      <c r="D135" s="674"/>
      <c r="E135" s="675">
        <f>+E133+E134</f>
        <v>107609.97</v>
      </c>
      <c r="F135" s="768" t="s">
        <v>63</v>
      </c>
    </row>
    <row r="136" spans="2:6" x14ac:dyDescent="0.35">
      <c r="F136" s="774" t="s">
        <v>63</v>
      </c>
    </row>
    <row r="137" spans="2:6" s="755" customFormat="1" ht="23.5" x14ac:dyDescent="0.55000000000000004">
      <c r="F137" s="770" t="s">
        <v>63</v>
      </c>
    </row>
    <row r="153" spans="2:6" x14ac:dyDescent="0.35">
      <c r="F153" t="s">
        <v>63</v>
      </c>
    </row>
    <row r="155" spans="2:6" ht="23.5" x14ac:dyDescent="0.35">
      <c r="B155" s="1442" t="s">
        <v>301</v>
      </c>
      <c r="C155" s="1443"/>
      <c r="D155" s="1443"/>
      <c r="E155" s="1444"/>
    </row>
    <row r="156" spans="2:6" x14ac:dyDescent="0.35">
      <c r="B156" s="2" t="s">
        <v>7</v>
      </c>
      <c r="C156" s="270" t="s">
        <v>8</v>
      </c>
      <c r="D156" s="217" t="s">
        <v>4</v>
      </c>
      <c r="E156" s="597" t="s">
        <v>9</v>
      </c>
    </row>
    <row r="157" spans="2:6" x14ac:dyDescent="0.35">
      <c r="B157" s="772" t="s">
        <v>3</v>
      </c>
      <c r="C157" s="258">
        <v>194</v>
      </c>
      <c r="D157" s="227">
        <v>351</v>
      </c>
      <c r="E157" s="598">
        <f>+C157*D157</f>
        <v>68094</v>
      </c>
    </row>
    <row r="158" spans="2:6" x14ac:dyDescent="0.35">
      <c r="B158" s="772" t="s">
        <v>299</v>
      </c>
      <c r="C158" s="258" t="s">
        <v>63</v>
      </c>
      <c r="D158" s="227" t="s">
        <v>63</v>
      </c>
      <c r="E158" s="598" t="s">
        <v>63</v>
      </c>
    </row>
    <row r="159" spans="2:6" x14ac:dyDescent="0.35">
      <c r="B159" s="772" t="s">
        <v>200</v>
      </c>
      <c r="C159" s="258"/>
      <c r="D159" s="227"/>
      <c r="E159" s="598">
        <v>5000</v>
      </c>
    </row>
    <row r="160" spans="2:6" x14ac:dyDescent="0.35">
      <c r="B160" s="772" t="s">
        <v>195</v>
      </c>
      <c r="C160" s="258">
        <v>1.5</v>
      </c>
      <c r="D160" s="194">
        <f>+D157*1.5</f>
        <v>526.5</v>
      </c>
      <c r="E160" s="598">
        <f>+C160*D160</f>
        <v>789.75</v>
      </c>
    </row>
    <row r="161" spans="2:6" x14ac:dyDescent="0.35">
      <c r="B161" s="772" t="s">
        <v>6</v>
      </c>
      <c r="C161" s="258">
        <v>10000</v>
      </c>
      <c r="D161" s="194"/>
      <c r="E161" s="598">
        <v>10000</v>
      </c>
    </row>
    <row r="162" spans="2:6" x14ac:dyDescent="0.35">
      <c r="B162" s="772" t="s">
        <v>63</v>
      </c>
      <c r="C162" s="258" t="s">
        <v>324</v>
      </c>
      <c r="D162" s="194" t="s">
        <v>63</v>
      </c>
      <c r="E162" s="598" t="s">
        <v>63</v>
      </c>
    </row>
    <row r="163" spans="2:6" x14ac:dyDescent="0.35">
      <c r="B163" s="1439" t="s">
        <v>99</v>
      </c>
      <c r="C163" s="1440"/>
      <c r="D163" s="1441"/>
      <c r="E163" s="599">
        <f>+E157+E159+E160+E161</f>
        <v>83883.75</v>
      </c>
    </row>
    <row r="164" spans="2:6" x14ac:dyDescent="0.35">
      <c r="B164" s="724" t="s">
        <v>19</v>
      </c>
      <c r="C164" s="729" t="s">
        <v>63</v>
      </c>
      <c r="D164" s="730" t="s">
        <v>63</v>
      </c>
      <c r="E164" s="731">
        <v>-25000</v>
      </c>
    </row>
    <row r="165" spans="2:6" x14ac:dyDescent="0.35">
      <c r="B165" s="739" t="s">
        <v>63</v>
      </c>
      <c r="C165" s="729"/>
      <c r="D165" s="730"/>
      <c r="E165" s="731" t="s">
        <v>63</v>
      </c>
    </row>
    <row r="166" spans="2:6" ht="23.5" x14ac:dyDescent="0.55000000000000004">
      <c r="B166" s="751"/>
      <c r="C166" s="752" t="s">
        <v>11</v>
      </c>
      <c r="D166" s="753"/>
      <c r="E166" s="754">
        <f>+E163+E164</f>
        <v>58883.75</v>
      </c>
    </row>
    <row r="170" spans="2:6" ht="23.5" x14ac:dyDescent="0.35">
      <c r="B170" s="1442" t="s">
        <v>354</v>
      </c>
      <c r="C170" s="1443"/>
      <c r="D170" s="1443"/>
      <c r="E170" s="1444"/>
      <c r="F170" s="771"/>
    </row>
    <row r="171" spans="2:6" x14ac:dyDescent="0.35">
      <c r="B171" s="2" t="s">
        <v>7</v>
      </c>
      <c r="C171" s="270" t="s">
        <v>8</v>
      </c>
      <c r="D171" s="217" t="s">
        <v>4</v>
      </c>
      <c r="E171" s="597" t="s">
        <v>9</v>
      </c>
      <c r="F171" s="771"/>
    </row>
    <row r="172" spans="2:6" x14ac:dyDescent="0.35">
      <c r="B172" s="772" t="s">
        <v>3</v>
      </c>
      <c r="C172" s="258">
        <v>194</v>
      </c>
      <c r="D172" s="227">
        <v>405</v>
      </c>
      <c r="E172" s="598">
        <f>+C172*D172</f>
        <v>78570</v>
      </c>
      <c r="F172" s="771" t="s">
        <v>365</v>
      </c>
    </row>
    <row r="173" spans="2:6" x14ac:dyDescent="0.35">
      <c r="B173" s="772" t="s">
        <v>282</v>
      </c>
      <c r="C173" s="258" t="s">
        <v>63</v>
      </c>
      <c r="D173" s="227" t="s">
        <v>63</v>
      </c>
      <c r="E173" s="598" t="s">
        <v>63</v>
      </c>
      <c r="F173" s="771"/>
    </row>
    <row r="174" spans="2:6" x14ac:dyDescent="0.35">
      <c r="B174" s="772" t="s">
        <v>266</v>
      </c>
      <c r="C174" s="258"/>
      <c r="D174" s="227"/>
      <c r="E174" s="598">
        <v>5000</v>
      </c>
      <c r="F174" s="771"/>
    </row>
    <row r="175" spans="2:6" x14ac:dyDescent="0.35">
      <c r="B175" s="772" t="s">
        <v>195</v>
      </c>
      <c r="C175" s="258">
        <v>5</v>
      </c>
      <c r="D175" s="194">
        <f>+D172*1.5</f>
        <v>607.5</v>
      </c>
      <c r="E175" s="598">
        <f>+C175*D175</f>
        <v>3037.5</v>
      </c>
      <c r="F175" s="771"/>
    </row>
    <row r="176" spans="2:6" x14ac:dyDescent="0.35">
      <c r="B176" s="772" t="s">
        <v>6</v>
      </c>
      <c r="C176" s="258">
        <v>15000</v>
      </c>
      <c r="D176" s="194"/>
      <c r="E176" s="598">
        <v>15000</v>
      </c>
      <c r="F176" s="771" t="s">
        <v>366</v>
      </c>
    </row>
    <row r="177" spans="2:6" x14ac:dyDescent="0.35">
      <c r="B177" s="772" t="s">
        <v>303</v>
      </c>
      <c r="C177" s="258" t="s">
        <v>63</v>
      </c>
      <c r="D177" s="194" t="s">
        <v>63</v>
      </c>
      <c r="E177" s="598">
        <v>20000</v>
      </c>
      <c r="F177" s="771"/>
    </row>
    <row r="178" spans="2:6" x14ac:dyDescent="0.35">
      <c r="B178" s="1439" t="s">
        <v>99</v>
      </c>
      <c r="C178" s="1440"/>
      <c r="D178" s="1441"/>
      <c r="E178" s="599">
        <f>+E172+E174+E175+E176+E177</f>
        <v>121607.5</v>
      </c>
      <c r="F178" s="774" t="s">
        <v>63</v>
      </c>
    </row>
    <row r="179" spans="2:6" x14ac:dyDescent="0.35">
      <c r="B179" s="723" t="s">
        <v>63</v>
      </c>
      <c r="C179" s="720" t="s">
        <v>63</v>
      </c>
      <c r="D179" s="720"/>
      <c r="E179" s="722" t="s">
        <v>63</v>
      </c>
      <c r="F179" s="771"/>
    </row>
    <row r="180" spans="2:6" ht="21" x14ac:dyDescent="0.5">
      <c r="B180" s="756"/>
      <c r="C180" s="757" t="s">
        <v>11</v>
      </c>
      <c r="D180" s="758"/>
      <c r="E180" s="759">
        <v>121607.5</v>
      </c>
      <c r="F180" s="760"/>
    </row>
  </sheetData>
  <mergeCells count="21">
    <mergeCell ref="B178:D178"/>
    <mergeCell ref="B170:E170"/>
    <mergeCell ref="B112:E112"/>
    <mergeCell ref="B155:E155"/>
    <mergeCell ref="B163:D163"/>
    <mergeCell ref="B125:E125"/>
    <mergeCell ref="B133:D133"/>
    <mergeCell ref="B66:D66"/>
    <mergeCell ref="B97:D97"/>
    <mergeCell ref="B52:D52"/>
    <mergeCell ref="B25:D25"/>
    <mergeCell ref="B2:E2"/>
    <mergeCell ref="B10:D10"/>
    <mergeCell ref="B12:D12"/>
    <mergeCell ref="B15:E15"/>
    <mergeCell ref="B24:D24"/>
    <mergeCell ref="B26:D26"/>
    <mergeCell ref="B29:E29"/>
    <mergeCell ref="B36:D36"/>
    <mergeCell ref="B44:E44"/>
    <mergeCell ref="B58:E58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E38"/>
  <sheetViews>
    <sheetView workbookViewId="0">
      <selection activeCell="C42" sqref="C42"/>
    </sheetView>
  </sheetViews>
  <sheetFormatPr baseColWidth="10" defaultRowHeight="14.5" x14ac:dyDescent="0.35"/>
  <cols>
    <col min="2" max="2" width="31.26953125" customWidth="1"/>
    <col min="3" max="3" width="29.453125" style="49" customWidth="1"/>
    <col min="4" max="4" width="15.7265625" customWidth="1"/>
    <col min="5" max="5" width="14.08984375" customWidth="1"/>
  </cols>
  <sheetData>
    <row r="1" spans="2:3" s="658" customFormat="1" ht="28.5" x14ac:dyDescent="0.65">
      <c r="B1" s="718" t="s">
        <v>367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3" t="s">
        <v>10</v>
      </c>
      <c r="C4" s="75">
        <v>33700</v>
      </c>
    </row>
    <row r="5" spans="2:3" x14ac:dyDescent="0.35">
      <c r="B5" s="3" t="s">
        <v>15</v>
      </c>
      <c r="C5" s="75">
        <v>253820</v>
      </c>
    </row>
    <row r="6" spans="2:3" x14ac:dyDescent="0.35">
      <c r="B6" s="3" t="s">
        <v>16</v>
      </c>
      <c r="C6" s="75">
        <v>52000</v>
      </c>
    </row>
    <row r="7" spans="2:3" x14ac:dyDescent="0.35">
      <c r="B7" s="3" t="s">
        <v>0</v>
      </c>
      <c r="C7" s="75">
        <v>107610</v>
      </c>
    </row>
    <row r="8" spans="2:3" x14ac:dyDescent="0.35">
      <c r="B8" s="3" t="s">
        <v>28</v>
      </c>
      <c r="C8" s="75">
        <v>57800</v>
      </c>
    </row>
    <row r="9" spans="2:3" x14ac:dyDescent="0.35">
      <c r="B9" s="3"/>
      <c r="C9" s="75"/>
    </row>
    <row r="10" spans="2:3" x14ac:dyDescent="0.35">
      <c r="B10" s="3" t="s">
        <v>245</v>
      </c>
      <c r="C10" s="75">
        <v>48700</v>
      </c>
    </row>
    <row r="11" spans="2:3" x14ac:dyDescent="0.35">
      <c r="B11" s="3" t="s">
        <v>267</v>
      </c>
      <c r="C11" s="75">
        <v>81100</v>
      </c>
    </row>
    <row r="12" spans="2:3" x14ac:dyDescent="0.35">
      <c r="B12" s="3" t="s">
        <v>260</v>
      </c>
      <c r="C12" s="75">
        <v>92960</v>
      </c>
    </row>
    <row r="13" spans="2:3" x14ac:dyDescent="0.35">
      <c r="B13" s="3" t="s">
        <v>277</v>
      </c>
      <c r="C13" s="75">
        <v>58900</v>
      </c>
    </row>
    <row r="14" spans="2:3" s="771" customFormat="1" x14ac:dyDescent="0.35">
      <c r="B14" s="772" t="s">
        <v>355</v>
      </c>
      <c r="C14" s="773">
        <v>121610</v>
      </c>
    </row>
    <row r="15" spans="2:3" s="646" customFormat="1" ht="26" x14ac:dyDescent="0.6">
      <c r="B15" s="650" t="s">
        <v>315</v>
      </c>
      <c r="C15" s="652">
        <f>SUM(C4:C14)</f>
        <v>908200</v>
      </c>
    </row>
    <row r="20" spans="2:5" s="648" customFormat="1" ht="46" x14ac:dyDescent="1">
      <c r="B20" s="719" t="s">
        <v>368</v>
      </c>
      <c r="C20" s="653"/>
    </row>
    <row r="21" spans="2:5" ht="18.5" x14ac:dyDescent="0.45">
      <c r="B21" s="643" t="s">
        <v>306</v>
      </c>
      <c r="C21" s="654" t="s">
        <v>272</v>
      </c>
      <c r="D21" s="643" t="s">
        <v>200</v>
      </c>
    </row>
    <row r="22" spans="2:5" ht="18.5" x14ac:dyDescent="0.45">
      <c r="B22" s="644" t="s">
        <v>10</v>
      </c>
      <c r="C22" s="655">
        <v>500</v>
      </c>
      <c r="D22" s="644">
        <v>10000</v>
      </c>
    </row>
    <row r="23" spans="2:5" ht="18.5" x14ac:dyDescent="0.45">
      <c r="B23" s="644" t="s">
        <v>15</v>
      </c>
      <c r="C23" s="655">
        <v>1020</v>
      </c>
      <c r="D23" s="644">
        <v>10000</v>
      </c>
    </row>
    <row r="24" spans="2:5" ht="18.5" x14ac:dyDescent="0.45">
      <c r="B24" s="644" t="s">
        <v>16</v>
      </c>
      <c r="C24" s="655">
        <v>440</v>
      </c>
      <c r="D24" s="644">
        <v>10000</v>
      </c>
    </row>
    <row r="25" spans="2:5" ht="18.5" x14ac:dyDescent="0.45">
      <c r="B25" s="644" t="s">
        <v>0</v>
      </c>
      <c r="C25" s="655">
        <v>625</v>
      </c>
      <c r="D25" s="644">
        <v>10000</v>
      </c>
    </row>
    <row r="26" spans="2:5" ht="18.5" x14ac:dyDescent="0.45">
      <c r="B26" s="644" t="s">
        <v>28</v>
      </c>
      <c r="C26" s="655">
        <v>625</v>
      </c>
      <c r="D26" s="644">
        <v>10000</v>
      </c>
    </row>
    <row r="27" spans="2:5" ht="18.5" x14ac:dyDescent="0.45">
      <c r="B27" s="644" t="s">
        <v>245</v>
      </c>
      <c r="C27" s="655">
        <v>351</v>
      </c>
      <c r="D27" s="644">
        <v>5000</v>
      </c>
    </row>
    <row r="28" spans="2:5" ht="18.5" x14ac:dyDescent="0.45">
      <c r="B28" s="644" t="s">
        <v>267</v>
      </c>
      <c r="C28" s="655">
        <v>405</v>
      </c>
      <c r="D28" s="644">
        <v>5000</v>
      </c>
    </row>
    <row r="29" spans="2:5" ht="18.5" x14ac:dyDescent="0.45">
      <c r="B29" s="644" t="s">
        <v>260</v>
      </c>
      <c r="C29" s="655">
        <v>624</v>
      </c>
      <c r="D29" s="644">
        <v>10000</v>
      </c>
    </row>
    <row r="30" spans="2:5" ht="18.5" x14ac:dyDescent="0.45">
      <c r="B30" s="645" t="s">
        <v>277</v>
      </c>
      <c r="C30" s="655">
        <v>351</v>
      </c>
      <c r="D30" s="644">
        <v>5000</v>
      </c>
    </row>
    <row r="31" spans="2:5" ht="18.5" x14ac:dyDescent="0.45">
      <c r="B31" s="645" t="s">
        <v>355</v>
      </c>
      <c r="C31" s="655">
        <v>405</v>
      </c>
      <c r="D31" s="645">
        <v>5000</v>
      </c>
      <c r="E31" t="s">
        <v>63</v>
      </c>
    </row>
    <row r="33" spans="1:4" x14ac:dyDescent="0.35">
      <c r="A33" s="701" t="s">
        <v>106</v>
      </c>
      <c r="B33" s="702" t="s">
        <v>107</v>
      </c>
      <c r="C33" s="702" t="s">
        <v>262</v>
      </c>
      <c r="D33" s="704"/>
    </row>
    <row r="34" spans="1:4" x14ac:dyDescent="0.35">
      <c r="A34" s="703">
        <v>18</v>
      </c>
      <c r="B34" s="703">
        <v>9</v>
      </c>
      <c r="C34" s="568">
        <f>+A34*B34</f>
        <v>162</v>
      </c>
      <c r="D34" s="592" t="s">
        <v>116</v>
      </c>
    </row>
    <row r="35" spans="1:4" x14ac:dyDescent="0.35">
      <c r="A35" s="703">
        <v>4</v>
      </c>
      <c r="B35" s="703">
        <v>8</v>
      </c>
      <c r="C35" s="568">
        <f>+A35*B35</f>
        <v>32</v>
      </c>
      <c r="D35" s="593" t="s">
        <v>117</v>
      </c>
    </row>
    <row r="36" spans="1:4" x14ac:dyDescent="0.35">
      <c r="A36" s="703" t="s">
        <v>63</v>
      </c>
      <c r="B36" s="703" t="s">
        <v>63</v>
      </c>
      <c r="C36" s="568" t="s">
        <v>63</v>
      </c>
      <c r="D36" s="593" t="s">
        <v>111</v>
      </c>
    </row>
    <row r="37" spans="1:4" x14ac:dyDescent="0.35">
      <c r="A37" s="568" t="s">
        <v>63</v>
      </c>
      <c r="B37" s="75"/>
      <c r="C37" s="568">
        <f>+C34+C35</f>
        <v>194</v>
      </c>
      <c r="D37" s="592" t="s">
        <v>309</v>
      </c>
    </row>
    <row r="38" spans="1:4" x14ac:dyDescent="0.35">
      <c r="B38" s="49"/>
      <c r="C38"/>
    </row>
  </sheetData>
  <pageMargins left="0.7" right="0.7" top="0.75" bottom="0.75" header="0.3" footer="0.3"/>
  <pageSetup paperSize="9" fitToWidth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1:V160"/>
  <sheetViews>
    <sheetView topLeftCell="A118" zoomScale="90" zoomScaleNormal="90" workbookViewId="0">
      <selection activeCell="B2" sqref="B2:E2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775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 s="771"/>
      <c r="T3" s="771"/>
      <c r="U3" s="771"/>
    </row>
    <row r="4" spans="2:21" ht="18" customHeight="1" x14ac:dyDescent="0.35">
      <c r="B4" s="772" t="s">
        <v>3</v>
      </c>
      <c r="C4" s="258">
        <v>158</v>
      </c>
      <c r="D4" s="227">
        <v>500</v>
      </c>
      <c r="E4" s="598">
        <f>+C4*D4</f>
        <v>79000</v>
      </c>
      <c r="F4" s="553" t="s">
        <v>63</v>
      </c>
      <c r="T4" s="775"/>
    </row>
    <row r="5" spans="2:21" ht="18" customHeight="1" x14ac:dyDescent="0.35">
      <c r="B5" s="772" t="s">
        <v>369</v>
      </c>
      <c r="C5" s="258">
        <v>16</v>
      </c>
      <c r="D5" s="227">
        <v>500</v>
      </c>
      <c r="E5" s="598">
        <f>+C5*D5</f>
        <v>8000</v>
      </c>
      <c r="T5" s="774"/>
    </row>
    <row r="6" spans="2:21" ht="18" customHeight="1" x14ac:dyDescent="0.35">
      <c r="B6" s="772" t="s">
        <v>196</v>
      </c>
      <c r="C6" s="258"/>
      <c r="D6" s="227"/>
      <c r="E6" s="598">
        <v>10000</v>
      </c>
    </row>
    <row r="7" spans="2:21" ht="18" customHeight="1" x14ac:dyDescent="0.35">
      <c r="B7" s="772" t="s">
        <v>335</v>
      </c>
      <c r="C7" s="258">
        <v>9</v>
      </c>
      <c r="D7" s="194">
        <f>+D4*1.5</f>
        <v>750</v>
      </c>
      <c r="E7" s="598">
        <f>+C7*D7</f>
        <v>6750</v>
      </c>
    </row>
    <row r="8" spans="2:21" ht="18" customHeight="1" x14ac:dyDescent="0.35">
      <c r="B8" s="772" t="s">
        <v>6</v>
      </c>
      <c r="C8" s="258">
        <v>20000</v>
      </c>
      <c r="D8" s="194"/>
      <c r="E8" s="598">
        <f>+C8</f>
        <v>20000</v>
      </c>
      <c r="F8" s="90" t="s">
        <v>63</v>
      </c>
      <c r="U8" s="775"/>
    </row>
    <row r="9" spans="2:21" ht="18" customHeight="1" x14ac:dyDescent="0.35">
      <c r="B9" s="772" t="s">
        <v>370</v>
      </c>
      <c r="C9" s="258">
        <v>1</v>
      </c>
      <c r="D9" s="194">
        <v>1500</v>
      </c>
      <c r="E9" s="598">
        <f>+C9*D9</f>
        <v>1500</v>
      </c>
      <c r="F9" s="90"/>
      <c r="U9" s="775"/>
    </row>
    <row r="10" spans="2:21" ht="18" customHeight="1" x14ac:dyDescent="0.35">
      <c r="B10" s="772" t="s">
        <v>372</v>
      </c>
      <c r="C10" s="258">
        <v>4</v>
      </c>
      <c r="D10" s="194">
        <v>1500</v>
      </c>
      <c r="E10" s="598">
        <f>+C10*D10</f>
        <v>6000</v>
      </c>
      <c r="F10" s="774"/>
      <c r="U10" s="775"/>
    </row>
    <row r="11" spans="2:21" ht="18" customHeight="1" x14ac:dyDescent="0.35">
      <c r="B11" s="1432" t="s">
        <v>99</v>
      </c>
      <c r="C11" s="1432"/>
      <c r="D11" s="1432"/>
      <c r="E11" s="599">
        <f>+E4+E5+E6+E7+E8+E9+E10</f>
        <v>131250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775"/>
    </row>
    <row r="12" spans="2:21" ht="18" customHeight="1" x14ac:dyDescent="0.35">
      <c r="B12" s="787" t="s">
        <v>384</v>
      </c>
      <c r="C12" s="779"/>
      <c r="D12" s="779"/>
      <c r="E12" s="599">
        <v>-64822.55</v>
      </c>
      <c r="F12" s="774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778"/>
    </row>
    <row r="13" spans="2:21" ht="18" customHeight="1" x14ac:dyDescent="0.35">
      <c r="B13" s="723" t="s">
        <v>385</v>
      </c>
      <c r="C13" s="721" t="s">
        <v>63</v>
      </c>
      <c r="D13" s="721" t="s">
        <v>63</v>
      </c>
      <c r="E13" s="722">
        <v>-13125</v>
      </c>
      <c r="F13" s="774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775"/>
    </row>
    <row r="14" spans="2:21" ht="18" customHeight="1" x14ac:dyDescent="0.35">
      <c r="B14" s="1433" t="s">
        <v>11</v>
      </c>
      <c r="C14" s="1433"/>
      <c r="D14" s="1433"/>
      <c r="E14" s="603">
        <f>+E11+E12+E13</f>
        <v>53302.45</v>
      </c>
      <c r="H14" s="321"/>
      <c r="I14" s="321"/>
      <c r="J14" s="321"/>
      <c r="K14" s="473"/>
      <c r="L14" s="321"/>
      <c r="M14" s="321"/>
      <c r="T14" s="775"/>
    </row>
    <row r="15" spans="2:21" ht="18" customHeight="1" x14ac:dyDescent="0.35">
      <c r="B15" s="455"/>
      <c r="C15" s="455"/>
      <c r="D15" s="455"/>
      <c r="E15" s="456"/>
      <c r="H15" s="321"/>
      <c r="I15" s="321"/>
      <c r="J15" s="321"/>
      <c r="K15" s="473"/>
      <c r="L15" s="321"/>
      <c r="M15" s="321"/>
      <c r="T15" s="775"/>
    </row>
    <row r="16" spans="2:21" ht="18" customHeight="1" x14ac:dyDescent="0.35">
      <c r="F16" s="106"/>
      <c r="G16" s="4"/>
      <c r="N16" s="4"/>
      <c r="T16" s="775"/>
    </row>
    <row r="17" spans="2:22" ht="18" customHeight="1" x14ac:dyDescent="0.35">
      <c r="B17" s="1431" t="s">
        <v>15</v>
      </c>
      <c r="C17" s="1431"/>
      <c r="D17" s="1431"/>
      <c r="E17" s="1431"/>
      <c r="F17" s="406"/>
      <c r="K17" s="465"/>
      <c r="L17" s="465"/>
      <c r="M17" s="465"/>
    </row>
    <row r="18" spans="2:22" ht="18" customHeight="1" x14ac:dyDescent="0.35">
      <c r="B18" s="2" t="s">
        <v>7</v>
      </c>
      <c r="C18" s="270" t="s">
        <v>8</v>
      </c>
      <c r="D18" s="217" t="s">
        <v>4</v>
      </c>
      <c r="E18" s="597" t="s">
        <v>9</v>
      </c>
      <c r="F18" s="775"/>
      <c r="K18" s="101"/>
      <c r="L18" s="101"/>
      <c r="M18" s="101"/>
    </row>
    <row r="19" spans="2:22" ht="18" customHeight="1" x14ac:dyDescent="0.35">
      <c r="B19" s="772" t="s">
        <v>3</v>
      </c>
      <c r="C19" s="315">
        <v>158</v>
      </c>
      <c r="D19" s="194">
        <v>1020</v>
      </c>
      <c r="E19" s="598">
        <f>+C19*D19</f>
        <v>161160</v>
      </c>
      <c r="F19" s="774" t="s">
        <v>63</v>
      </c>
      <c r="K19" s="101"/>
      <c r="L19" s="101"/>
      <c r="M19" s="101"/>
    </row>
    <row r="20" spans="2:22" ht="18" customHeight="1" x14ac:dyDescent="0.35">
      <c r="B20" s="772" t="s">
        <v>310</v>
      </c>
      <c r="C20" s="258">
        <v>16</v>
      </c>
      <c r="D20" s="194">
        <v>1020</v>
      </c>
      <c r="E20" s="598">
        <f>+C20*D20</f>
        <v>16320</v>
      </c>
      <c r="F20" s="774"/>
      <c r="K20" s="101"/>
      <c r="L20" s="101"/>
      <c r="M20" s="101"/>
    </row>
    <row r="21" spans="2:22" ht="18" customHeight="1" x14ac:dyDescent="0.35">
      <c r="B21" s="772" t="s">
        <v>196</v>
      </c>
      <c r="C21" s="258"/>
      <c r="D21" s="194"/>
      <c r="E21" s="598">
        <v>10000</v>
      </c>
      <c r="F21" s="775"/>
      <c r="H21" s="777"/>
      <c r="N21" s="51"/>
      <c r="O21" s="51"/>
      <c r="P21" s="66"/>
      <c r="Q21" s="49"/>
      <c r="R21" s="49"/>
    </row>
    <row r="22" spans="2:22" ht="18" customHeight="1" x14ac:dyDescent="0.35">
      <c r="B22" s="772" t="s">
        <v>195</v>
      </c>
      <c r="C22" s="315">
        <v>23.5</v>
      </c>
      <c r="D22" s="194">
        <f>+D19*1.5</f>
        <v>1530</v>
      </c>
      <c r="E22" s="598">
        <f>+C22*D22</f>
        <v>35955</v>
      </c>
      <c r="F22" s="774"/>
      <c r="G22" s="4"/>
      <c r="L22" s="180"/>
      <c r="M22" s="184"/>
    </row>
    <row r="23" spans="2:22" s="775" customFormat="1" ht="18" customHeight="1" x14ac:dyDescent="0.35">
      <c r="B23" s="772" t="s">
        <v>6</v>
      </c>
      <c r="C23" s="258"/>
      <c r="D23" s="194"/>
      <c r="E23" s="598">
        <v>20000</v>
      </c>
      <c r="F23" s="771"/>
      <c r="G23" s="771"/>
      <c r="L23" s="184"/>
      <c r="M23" s="184"/>
      <c r="N23" s="771"/>
      <c r="O23" s="771"/>
      <c r="P23" s="771"/>
      <c r="Q23" s="771"/>
      <c r="R23" s="771"/>
      <c r="S23" s="771"/>
      <c r="V23" s="771"/>
    </row>
    <row r="24" spans="2:22" s="775" customFormat="1" ht="18" customHeight="1" x14ac:dyDescent="0.35">
      <c r="B24" s="772" t="s">
        <v>371</v>
      </c>
      <c r="C24" s="258">
        <v>4</v>
      </c>
      <c r="D24" s="194">
        <v>3000</v>
      </c>
      <c r="E24" s="598">
        <f>+C24*D24</f>
        <v>12000</v>
      </c>
      <c r="F24" s="771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775" customFormat="1" ht="18" customHeight="1" x14ac:dyDescent="0.35">
      <c r="B25" s="1432" t="s">
        <v>99</v>
      </c>
      <c r="C25" s="1432"/>
      <c r="D25" s="1432"/>
      <c r="E25" s="599">
        <f>+E19+E20+E21+E22+E23+E24</f>
        <v>255435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ht="18" customHeight="1" x14ac:dyDescent="0.35">
      <c r="B26" s="1387" t="s">
        <v>79</v>
      </c>
      <c r="C26" s="1387"/>
      <c r="D26" s="1387"/>
      <c r="E26" s="600">
        <v>-2490.44</v>
      </c>
      <c r="F26" s="181"/>
      <c r="L26" s="181"/>
      <c r="M26" s="185"/>
      <c r="N26" s="180"/>
      <c r="O26" s="180"/>
      <c r="P26" s="181"/>
      <c r="Q26" s="181"/>
      <c r="R26" s="181"/>
      <c r="S26" s="775"/>
      <c r="U26" s="775"/>
    </row>
    <row r="27" spans="2:22" ht="18" customHeight="1" x14ac:dyDescent="0.35">
      <c r="B27" s="1435" t="s">
        <v>11</v>
      </c>
      <c r="C27" s="1435"/>
      <c r="D27" s="1435"/>
      <c r="E27" s="602">
        <f>+E25+E26</f>
        <v>252944.56</v>
      </c>
      <c r="F27" s="409"/>
      <c r="G27" s="115"/>
      <c r="M27" s="189"/>
      <c r="N27" s="180"/>
      <c r="O27" s="180"/>
      <c r="P27" s="181"/>
      <c r="Q27" s="181"/>
      <c r="R27" s="181"/>
    </row>
    <row r="28" spans="2:22" ht="18" customHeight="1" x14ac:dyDescent="0.35">
      <c r="B28" s="455"/>
      <c r="C28" s="455"/>
      <c r="D28" s="455"/>
      <c r="E28" s="456"/>
      <c r="F28" s="409"/>
      <c r="G28" s="115"/>
      <c r="M28" s="189"/>
      <c r="N28" s="180"/>
      <c r="O28" s="180"/>
      <c r="P28" s="181"/>
      <c r="Q28" s="181"/>
      <c r="R28" s="181"/>
    </row>
    <row r="29" spans="2:22" ht="19.5" customHeight="1" x14ac:dyDescent="0.35">
      <c r="F29" s="409"/>
      <c r="G29" s="115"/>
      <c r="M29" s="185"/>
      <c r="N29" s="181"/>
      <c r="O29" s="181"/>
      <c r="P29" s="181"/>
      <c r="Q29" s="181"/>
    </row>
    <row r="30" spans="2:22" ht="18" customHeight="1" x14ac:dyDescent="0.45">
      <c r="B30" s="1450" t="s">
        <v>359</v>
      </c>
      <c r="C30" s="1451"/>
      <c r="D30" s="1451"/>
      <c r="E30" s="1452"/>
      <c r="F30" s="409"/>
      <c r="G30" s="115"/>
      <c r="M30" s="185"/>
      <c r="N30" s="181"/>
      <c r="O30" s="181"/>
      <c r="P30" s="181"/>
      <c r="Q30" s="181"/>
    </row>
    <row r="31" spans="2:22" ht="18" customHeight="1" x14ac:dyDescent="0.35">
      <c r="B31" s="604" t="s">
        <v>7</v>
      </c>
      <c r="C31" s="605" t="s">
        <v>8</v>
      </c>
      <c r="D31" s="606" t="s">
        <v>4</v>
      </c>
      <c r="E31" s="606" t="s">
        <v>9</v>
      </c>
      <c r="M31" s="185"/>
      <c r="N31" s="181"/>
      <c r="O31" s="181"/>
      <c r="P31" s="184"/>
    </row>
    <row r="32" spans="2:22" ht="18" customHeight="1" x14ac:dyDescent="0.35">
      <c r="B32" s="607" t="s">
        <v>3</v>
      </c>
      <c r="C32" s="267">
        <v>158</v>
      </c>
      <c r="D32" s="211">
        <v>440</v>
      </c>
      <c r="E32" s="211">
        <f>C32*D32</f>
        <v>69520</v>
      </c>
      <c r="F32" s="771" t="s">
        <v>63</v>
      </c>
      <c r="M32" s="182"/>
    </row>
    <row r="33" spans="2:15" ht="18" customHeight="1" x14ac:dyDescent="0.35">
      <c r="B33" s="772" t="s">
        <v>369</v>
      </c>
      <c r="C33" s="267">
        <v>16</v>
      </c>
      <c r="D33" s="211">
        <v>440</v>
      </c>
      <c r="E33" s="211">
        <f>+C33*D33</f>
        <v>7040</v>
      </c>
      <c r="F33" s="774"/>
      <c r="I33" s="775"/>
      <c r="J33" s="775"/>
      <c r="K33" s="775"/>
    </row>
    <row r="34" spans="2:15" ht="18" customHeight="1" x14ac:dyDescent="0.35">
      <c r="B34" s="772" t="s">
        <v>196</v>
      </c>
      <c r="C34" s="267"/>
      <c r="D34" s="211"/>
      <c r="E34" s="211">
        <v>10000</v>
      </c>
      <c r="F34" s="774"/>
      <c r="L34" s="775"/>
    </row>
    <row r="35" spans="2:15" ht="18" customHeight="1" x14ac:dyDescent="0.35">
      <c r="B35" s="772" t="s">
        <v>195</v>
      </c>
      <c r="C35" s="267">
        <v>9</v>
      </c>
      <c r="D35" s="211">
        <f>+D32*1.5</f>
        <v>660</v>
      </c>
      <c r="E35" s="211">
        <f>C35*D35</f>
        <v>5940</v>
      </c>
      <c r="F35" s="649"/>
      <c r="G35" s="180"/>
      <c r="H35" s="180"/>
      <c r="I35" s="181"/>
      <c r="J35" s="187"/>
      <c r="K35" s="188"/>
      <c r="L35" s="775"/>
      <c r="O35" s="775"/>
    </row>
    <row r="36" spans="2:15" ht="18" customHeight="1" x14ac:dyDescent="0.35">
      <c r="B36" s="772" t="s">
        <v>6</v>
      </c>
      <c r="C36" s="267">
        <v>15000</v>
      </c>
      <c r="D36" s="211"/>
      <c r="E36" s="211">
        <v>15000</v>
      </c>
      <c r="F36" s="774" t="s">
        <v>63</v>
      </c>
      <c r="G36" s="180"/>
      <c r="H36" s="180"/>
      <c r="I36" s="181"/>
      <c r="J36" s="181"/>
      <c r="K36" s="184"/>
      <c r="O36" s="775"/>
    </row>
    <row r="37" spans="2:15" s="775" customFormat="1" ht="18" customHeight="1" x14ac:dyDescent="0.35">
      <c r="B37" s="1439" t="s">
        <v>99</v>
      </c>
      <c r="C37" s="1456"/>
      <c r="D37" s="1441"/>
      <c r="E37" s="599">
        <f>+E32+E33+E34+E35+E36</f>
        <v>107500</v>
      </c>
      <c r="F37" s="774" t="s">
        <v>63</v>
      </c>
      <c r="G37" s="180"/>
      <c r="H37" s="180"/>
      <c r="I37" s="181"/>
      <c r="J37" s="181"/>
      <c r="K37" s="184"/>
      <c r="L37" s="771"/>
      <c r="N37" s="771"/>
      <c r="O37" s="771"/>
    </row>
    <row r="38" spans="2:15" s="775" customFormat="1" ht="18" customHeight="1" x14ac:dyDescent="0.35">
      <c r="B38" s="746" t="s">
        <v>19</v>
      </c>
      <c r="C38" s="747" t="s">
        <v>63</v>
      </c>
      <c r="D38" s="748" t="s">
        <v>63</v>
      </c>
      <c r="E38" s="749">
        <v>-30000</v>
      </c>
      <c r="F38" s="774"/>
      <c r="G38" s="180"/>
      <c r="H38" s="180"/>
      <c r="I38" s="181"/>
      <c r="J38" s="181"/>
      <c r="K38" s="184"/>
      <c r="L38" s="771"/>
      <c r="N38" s="771"/>
      <c r="O38" s="771"/>
    </row>
    <row r="39" spans="2:15" ht="18" customHeight="1" x14ac:dyDescent="0.35">
      <c r="B39" s="786" t="s">
        <v>11</v>
      </c>
      <c r="C39" s="783"/>
      <c r="D39" s="783"/>
      <c r="E39" s="784">
        <f>+E37+E38</f>
        <v>77500</v>
      </c>
      <c r="G39" s="180"/>
      <c r="H39" s="180"/>
      <c r="I39" s="181"/>
      <c r="J39" s="181"/>
      <c r="K39" s="184"/>
    </row>
    <row r="40" spans="2:15" ht="18" customHeight="1" x14ac:dyDescent="0.35">
      <c r="B40" s="594"/>
      <c r="C40" s="594"/>
      <c r="D40" s="594"/>
      <c r="E40" s="595"/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1431" t="s">
        <v>0</v>
      </c>
      <c r="C42" s="1431"/>
      <c r="D42" s="1431"/>
      <c r="E42" s="1431"/>
      <c r="G42" s="180"/>
      <c r="H42" s="180"/>
      <c r="I42" s="181"/>
      <c r="J42" s="181"/>
      <c r="K42" s="184"/>
    </row>
    <row r="43" spans="2:15" ht="18" customHeight="1" x14ac:dyDescent="0.35">
      <c r="B43" s="2" t="s">
        <v>7</v>
      </c>
      <c r="C43" s="270" t="s">
        <v>8</v>
      </c>
      <c r="D43" s="217" t="s">
        <v>4</v>
      </c>
      <c r="E43" s="597" t="s">
        <v>9</v>
      </c>
      <c r="G43" s="180"/>
      <c r="H43" s="180"/>
      <c r="I43" s="181"/>
      <c r="J43" s="181"/>
      <c r="K43" s="184"/>
    </row>
    <row r="44" spans="2:15" ht="18" customHeight="1" x14ac:dyDescent="0.35">
      <c r="B44" s="3" t="s">
        <v>253</v>
      </c>
      <c r="C44" s="258">
        <v>158</v>
      </c>
      <c r="D44" s="194">
        <v>662.5</v>
      </c>
      <c r="E44" s="598">
        <f>+C44*D44</f>
        <v>104675</v>
      </c>
      <c r="G44" s="180"/>
      <c r="H44" s="180"/>
      <c r="I44" s="181"/>
      <c r="J44" s="181"/>
      <c r="K44" s="184"/>
    </row>
    <row r="45" spans="2:15" ht="18" customHeight="1" x14ac:dyDescent="0.35">
      <c r="B45" s="3" t="s">
        <v>369</v>
      </c>
      <c r="C45" s="258">
        <v>16</v>
      </c>
      <c r="D45" s="194">
        <v>662.5</v>
      </c>
      <c r="E45" s="598">
        <f>+C45*D45</f>
        <v>10600</v>
      </c>
      <c r="G45" s="180"/>
      <c r="H45" s="180"/>
      <c r="I45" s="181"/>
      <c r="J45" s="181"/>
      <c r="K45" s="184"/>
    </row>
    <row r="46" spans="2:15" ht="15" customHeight="1" x14ac:dyDescent="0.35">
      <c r="B46" s="3" t="s">
        <v>196</v>
      </c>
      <c r="C46" s="258"/>
      <c r="D46" s="194"/>
      <c r="E46" s="598">
        <v>10000</v>
      </c>
      <c r="G46" s="180"/>
      <c r="H46" s="180"/>
      <c r="I46" s="181"/>
      <c r="J46" s="181"/>
      <c r="K46" s="184"/>
      <c r="L46" s="775"/>
    </row>
    <row r="47" spans="2:15" ht="15" customHeight="1" x14ac:dyDescent="0.35">
      <c r="B47" s="3" t="s">
        <v>195</v>
      </c>
      <c r="C47" s="315">
        <v>10</v>
      </c>
      <c r="D47" s="194">
        <f>+D44*1.5</f>
        <v>993.75</v>
      </c>
      <c r="E47" s="598">
        <f>+D47*C47</f>
        <v>9937.5</v>
      </c>
      <c r="G47" s="180"/>
      <c r="H47" s="180"/>
      <c r="I47" s="181"/>
      <c r="J47" s="181"/>
      <c r="K47" s="184"/>
      <c r="L47" s="775"/>
    </row>
    <row r="48" spans="2:15" ht="15" customHeight="1" x14ac:dyDescent="0.35">
      <c r="B48" s="3" t="s">
        <v>6</v>
      </c>
      <c r="C48" s="258">
        <v>20000</v>
      </c>
      <c r="D48" s="194"/>
      <c r="E48" s="598">
        <f>+C48</f>
        <v>20000</v>
      </c>
      <c r="G48" s="180"/>
      <c r="H48" s="180"/>
      <c r="I48" s="181"/>
      <c r="J48" s="181"/>
      <c r="K48" s="184"/>
    </row>
    <row r="49" spans="2:22" ht="15" customHeight="1" x14ac:dyDescent="0.35">
      <c r="B49" s="772" t="s">
        <v>370</v>
      </c>
      <c r="C49" s="258">
        <v>1</v>
      </c>
      <c r="D49" s="194">
        <v>3000</v>
      </c>
      <c r="E49" s="598">
        <v>3000</v>
      </c>
      <c r="G49" s="180"/>
      <c r="H49" s="180"/>
      <c r="I49" s="181"/>
      <c r="J49" s="181"/>
      <c r="K49" s="184"/>
    </row>
    <row r="50" spans="2:22" ht="15" customHeight="1" x14ac:dyDescent="0.35">
      <c r="B50" s="3" t="s">
        <v>372</v>
      </c>
      <c r="C50" s="258">
        <v>4</v>
      </c>
      <c r="D50" s="194">
        <v>3000</v>
      </c>
      <c r="E50" s="598">
        <f>+C50*D50</f>
        <v>12000</v>
      </c>
      <c r="M50" s="176"/>
      <c r="N50" s="180"/>
      <c r="O50" s="180"/>
      <c r="P50" s="181"/>
      <c r="Q50" s="181"/>
      <c r="R50" s="184"/>
    </row>
    <row r="51" spans="2:22" ht="15" customHeight="1" x14ac:dyDescent="0.35">
      <c r="B51" s="1432" t="s">
        <v>99</v>
      </c>
      <c r="C51" s="1432"/>
      <c r="D51" s="1432"/>
      <c r="E51" s="599">
        <f>+E44+E45+E46+E47+E48+E49+E50</f>
        <v>170212.5</v>
      </c>
      <c r="F51" s="774" t="s">
        <v>63</v>
      </c>
      <c r="M51" s="176"/>
      <c r="N51" s="176"/>
      <c r="O51" s="176"/>
      <c r="P51" s="181"/>
      <c r="Q51" s="181"/>
      <c r="R51" s="184"/>
      <c r="T51" s="775"/>
    </row>
    <row r="52" spans="2:22" s="775" customFormat="1" ht="15" customHeight="1" x14ac:dyDescent="0.35">
      <c r="B52" s="723" t="s">
        <v>333</v>
      </c>
      <c r="C52" s="727" t="s">
        <v>63</v>
      </c>
      <c r="D52" s="727" t="s">
        <v>63</v>
      </c>
      <c r="E52" s="722">
        <v>-66059.17</v>
      </c>
      <c r="G52" s="771"/>
      <c r="H52" s="771"/>
      <c r="I52" s="771"/>
      <c r="J52" s="771"/>
      <c r="K52" s="771"/>
      <c r="L52" s="771"/>
      <c r="M52" s="176"/>
      <c r="N52" s="176"/>
      <c r="O52" s="176"/>
      <c r="P52" s="176"/>
      <c r="Q52" s="176"/>
      <c r="R52" s="176"/>
      <c r="S52" s="771"/>
      <c r="T52" s="771"/>
      <c r="U52" s="771"/>
      <c r="V52" s="771"/>
    </row>
    <row r="53" spans="2:22" s="775" customFormat="1" ht="15" customHeight="1" x14ac:dyDescent="0.35">
      <c r="B53" s="672"/>
      <c r="C53" s="673" t="s">
        <v>11</v>
      </c>
      <c r="D53" s="674"/>
      <c r="E53" s="675">
        <f>+E51+E52</f>
        <v>104153.33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ht="15" customHeight="1" x14ac:dyDescent="0.35">
      <c r="C54" s="771"/>
      <c r="D54" s="771"/>
      <c r="E54" s="771"/>
      <c r="N54" s="183"/>
      <c r="O54" s="183"/>
      <c r="P54" s="176"/>
      <c r="Q54" s="176"/>
      <c r="R54" s="176"/>
      <c r="T54" s="775"/>
    </row>
    <row r="55" spans="2:22" s="90" customFormat="1" ht="15" customHeight="1" x14ac:dyDescent="0.35">
      <c r="N55" s="455"/>
      <c r="O55" s="455"/>
      <c r="P55" s="728"/>
      <c r="Q55" s="728"/>
      <c r="R55" s="728"/>
      <c r="T55" s="777"/>
    </row>
    <row r="56" spans="2:22" s="690" customFormat="1" ht="15" customHeight="1" x14ac:dyDescent="0.35">
      <c r="G56" s="671"/>
      <c r="H56" s="671"/>
      <c r="I56" s="671"/>
      <c r="J56" s="671"/>
      <c r="K56" s="671"/>
      <c r="L56" s="671"/>
      <c r="M56" s="691"/>
      <c r="N56" s="691"/>
      <c r="O56" s="691"/>
      <c r="P56" s="691"/>
      <c r="Q56" s="691"/>
      <c r="R56" s="691"/>
      <c r="S56" s="671"/>
      <c r="T56" s="671"/>
      <c r="U56" s="671"/>
      <c r="V56" s="671"/>
    </row>
    <row r="57" spans="2:22" s="775" customFormat="1" ht="15" customHeight="1" x14ac:dyDescent="0.35">
      <c r="B57" s="1431" t="s">
        <v>28</v>
      </c>
      <c r="C57" s="1431"/>
      <c r="D57" s="1431"/>
      <c r="E57" s="1431"/>
      <c r="F57" s="771"/>
      <c r="G57" s="771"/>
      <c r="H57" s="771"/>
      <c r="I57" s="771"/>
      <c r="J57" s="771"/>
      <c r="K57" s="771"/>
      <c r="L57" s="771"/>
      <c r="M57" s="771"/>
      <c r="N57" s="176"/>
      <c r="O57" s="176"/>
      <c r="P57" s="176"/>
      <c r="Q57" s="176"/>
      <c r="R57" s="176"/>
      <c r="S57" s="771"/>
      <c r="U57" s="771"/>
    </row>
    <row r="58" spans="2:22" s="775" customFormat="1" ht="15" customHeight="1" x14ac:dyDescent="0.35">
      <c r="B58" s="2" t="s">
        <v>7</v>
      </c>
      <c r="C58" s="270" t="s">
        <v>8</v>
      </c>
      <c r="D58" s="217" t="s">
        <v>4</v>
      </c>
      <c r="E58" s="597" t="s">
        <v>9</v>
      </c>
      <c r="F58" s="771"/>
      <c r="G58" s="771"/>
      <c r="H58" s="771"/>
      <c r="I58" s="771"/>
      <c r="J58" s="771"/>
      <c r="K58" s="771"/>
      <c r="L58" s="771"/>
      <c r="M58" s="771"/>
      <c r="N58" s="176"/>
      <c r="O58" s="176"/>
      <c r="P58" s="176"/>
      <c r="Q58" s="176"/>
      <c r="R58" s="176"/>
      <c r="S58" s="771"/>
      <c r="U58" s="771"/>
    </row>
    <row r="59" spans="2:22" ht="15" customHeight="1" x14ac:dyDescent="0.35">
      <c r="B59" s="3" t="s">
        <v>3</v>
      </c>
      <c r="C59" s="315">
        <v>158</v>
      </c>
      <c r="D59" s="194">
        <v>662.5</v>
      </c>
      <c r="E59" s="598">
        <f>+C59*D59</f>
        <v>104675</v>
      </c>
      <c r="N59" s="176"/>
      <c r="O59" s="176"/>
      <c r="P59" s="176"/>
      <c r="Q59" s="176"/>
      <c r="R59" s="176"/>
    </row>
    <row r="60" spans="2:22" ht="15" customHeight="1" x14ac:dyDescent="0.35">
      <c r="B60" s="3" t="s">
        <v>373</v>
      </c>
      <c r="C60" s="315">
        <v>16</v>
      </c>
      <c r="D60" s="194">
        <v>662.5</v>
      </c>
      <c r="E60" s="598">
        <f>+C60*D60</f>
        <v>10600</v>
      </c>
      <c r="N60" s="176"/>
      <c r="O60" s="176"/>
      <c r="P60" s="176"/>
      <c r="Q60" s="176"/>
      <c r="R60" s="176"/>
    </row>
    <row r="61" spans="2:22" ht="15" customHeight="1" x14ac:dyDescent="0.35">
      <c r="B61" s="3" t="s">
        <v>200</v>
      </c>
      <c r="C61" s="315">
        <v>10000</v>
      </c>
      <c r="D61" s="194"/>
      <c r="E61" s="598">
        <v>10000</v>
      </c>
      <c r="N61" s="176"/>
      <c r="O61" s="176"/>
      <c r="P61" s="176"/>
      <c r="Q61" s="176"/>
      <c r="R61" s="176"/>
    </row>
    <row r="62" spans="2:22" ht="15" customHeight="1" x14ac:dyDescent="0.35">
      <c r="B62" s="3" t="s">
        <v>195</v>
      </c>
      <c r="C62" s="315">
        <v>15</v>
      </c>
      <c r="D62" s="194">
        <f>+D59*1.5</f>
        <v>993.75</v>
      </c>
      <c r="E62" s="598">
        <f>+C62*D62</f>
        <v>14906.25</v>
      </c>
      <c r="N62" s="176"/>
      <c r="O62" s="176"/>
      <c r="P62" s="176"/>
      <c r="Q62" s="176"/>
      <c r="R62" s="176"/>
    </row>
    <row r="63" spans="2:22" ht="15" customHeight="1" x14ac:dyDescent="0.35">
      <c r="B63" s="3" t="s">
        <v>6</v>
      </c>
      <c r="C63" s="315">
        <v>20000</v>
      </c>
      <c r="D63" s="194"/>
      <c r="E63" s="598">
        <f>+C63</f>
        <v>20000</v>
      </c>
      <c r="N63" s="176"/>
      <c r="O63" s="176"/>
      <c r="P63" s="176"/>
      <c r="Q63" s="176"/>
      <c r="R63" s="176"/>
    </row>
    <row r="64" spans="2:22" ht="15" customHeight="1" x14ac:dyDescent="0.35">
      <c r="B64" s="3" t="s">
        <v>372</v>
      </c>
      <c r="C64" s="315">
        <v>4</v>
      </c>
      <c r="D64" s="194">
        <v>3000</v>
      </c>
      <c r="E64" s="598">
        <f>+C64*D64</f>
        <v>12000</v>
      </c>
      <c r="F64" s="774" t="s">
        <v>63</v>
      </c>
      <c r="N64" s="176"/>
      <c r="O64" s="176"/>
      <c r="P64" s="176"/>
      <c r="Q64" s="176"/>
      <c r="R64" s="176"/>
    </row>
    <row r="65" spans="2:22" ht="15" customHeight="1" x14ac:dyDescent="0.35">
      <c r="B65" s="1432" t="s">
        <v>99</v>
      </c>
      <c r="C65" s="1432"/>
      <c r="D65" s="1432"/>
      <c r="E65" s="599">
        <f>+E59+E60+E61+E62+E63+E64</f>
        <v>172181.25</v>
      </c>
      <c r="N65" s="176"/>
      <c r="O65" s="176"/>
      <c r="P65" s="176"/>
      <c r="Q65" s="176"/>
      <c r="R65" s="176"/>
    </row>
    <row r="66" spans="2:22" ht="15" customHeight="1" x14ac:dyDescent="0.35">
      <c r="B66" s="762" t="s">
        <v>375</v>
      </c>
      <c r="C66" s="762"/>
      <c r="D66" s="762" t="s">
        <v>63</v>
      </c>
      <c r="E66" s="600">
        <v>-62449.31</v>
      </c>
      <c r="N66" s="176"/>
      <c r="O66" s="176"/>
      <c r="P66" s="176"/>
      <c r="Q66" s="176"/>
      <c r="R66" s="176"/>
    </row>
    <row r="67" spans="2:22" ht="15" customHeight="1" x14ac:dyDescent="0.35">
      <c r="B67" s="762" t="s">
        <v>374</v>
      </c>
      <c r="C67" s="683"/>
      <c r="D67" s="762"/>
      <c r="E67" s="600">
        <v>-30000</v>
      </c>
      <c r="V67" s="775"/>
    </row>
    <row r="68" spans="2:22" ht="15" customHeight="1" x14ac:dyDescent="0.35">
      <c r="B68" s="684"/>
      <c r="C68" s="685" t="s">
        <v>11</v>
      </c>
      <c r="D68" s="686"/>
      <c r="E68" s="687">
        <f>+E65+E66+E67</f>
        <v>79731.94</v>
      </c>
    </row>
    <row r="69" spans="2:22" ht="15" customHeight="1" x14ac:dyDescent="0.35">
      <c r="C69" s="771"/>
      <c r="D69" s="771"/>
      <c r="E69" s="771"/>
    </row>
    <row r="70" spans="2:22" ht="15" customHeight="1" x14ac:dyDescent="0.35">
      <c r="C70" s="771"/>
      <c r="D70" s="771"/>
      <c r="E70" s="771"/>
    </row>
    <row r="71" spans="2:22" ht="15" customHeight="1" x14ac:dyDescent="0.35">
      <c r="B71" s="1442" t="s">
        <v>263</v>
      </c>
      <c r="C71" s="1443"/>
      <c r="D71" s="1443"/>
      <c r="E71" s="1444"/>
      <c r="V71" s="775"/>
    </row>
    <row r="72" spans="2:22" x14ac:dyDescent="0.35">
      <c r="B72" s="2" t="s">
        <v>7</v>
      </c>
      <c r="C72" s="270" t="s">
        <v>8</v>
      </c>
      <c r="D72" s="217" t="s">
        <v>4</v>
      </c>
      <c r="E72" s="597" t="s">
        <v>9</v>
      </c>
    </row>
    <row r="73" spans="2:22" x14ac:dyDescent="0.35">
      <c r="B73" s="3" t="s">
        <v>3</v>
      </c>
      <c r="C73" s="258">
        <v>158</v>
      </c>
      <c r="D73" s="227">
        <v>405</v>
      </c>
      <c r="E73" s="598">
        <f>+C73*D73</f>
        <v>63990</v>
      </c>
    </row>
    <row r="74" spans="2:22" x14ac:dyDescent="0.35">
      <c r="B74" s="3" t="s">
        <v>373</v>
      </c>
      <c r="C74" s="258">
        <v>16</v>
      </c>
      <c r="D74" s="227">
        <v>405</v>
      </c>
      <c r="E74" s="598">
        <f>+C74*D74</f>
        <v>6480</v>
      </c>
    </row>
    <row r="75" spans="2:22" x14ac:dyDescent="0.35">
      <c r="B75" s="3" t="s">
        <v>266</v>
      </c>
      <c r="C75" s="258"/>
      <c r="D75" s="227"/>
      <c r="E75" s="598">
        <v>10000</v>
      </c>
    </row>
    <row r="76" spans="2:22" x14ac:dyDescent="0.35">
      <c r="B76" s="3" t="s">
        <v>195</v>
      </c>
      <c r="C76" s="258">
        <v>12.5</v>
      </c>
      <c r="D76" s="194">
        <f>+D73*1.5</f>
        <v>607.5</v>
      </c>
      <c r="E76" s="598">
        <f>+C76*D76</f>
        <v>7593.75</v>
      </c>
    </row>
    <row r="77" spans="2:22" x14ac:dyDescent="0.35">
      <c r="B77" s="3" t="s">
        <v>6</v>
      </c>
      <c r="C77" s="258">
        <v>15000</v>
      </c>
      <c r="D77" s="194"/>
      <c r="E77" s="598">
        <v>15000</v>
      </c>
    </row>
    <row r="78" spans="2:22" x14ac:dyDescent="0.35">
      <c r="B78" s="3" t="s">
        <v>63</v>
      </c>
      <c r="C78" s="258" t="s">
        <v>63</v>
      </c>
      <c r="D78" s="194" t="s">
        <v>63</v>
      </c>
      <c r="E78" s="598" t="s">
        <v>63</v>
      </c>
    </row>
    <row r="79" spans="2:22" x14ac:dyDescent="0.35">
      <c r="B79" s="1439" t="s">
        <v>99</v>
      </c>
      <c r="C79" s="1440"/>
      <c r="D79" s="1441"/>
      <c r="E79" s="599">
        <f>+E73+E74+E75+E76+E77</f>
        <v>103063.75</v>
      </c>
      <c r="F79" s="774" t="s">
        <v>63</v>
      </c>
    </row>
    <row r="80" spans="2:22" x14ac:dyDescent="0.35">
      <c r="B80" s="723" t="s">
        <v>63</v>
      </c>
      <c r="C80" s="720" t="s">
        <v>63</v>
      </c>
      <c r="D80" s="720"/>
      <c r="E80" s="722" t="s">
        <v>63</v>
      </c>
    </row>
    <row r="81" spans="2:6" x14ac:dyDescent="0.35">
      <c r="B81" s="672"/>
      <c r="C81" s="673" t="s">
        <v>11</v>
      </c>
      <c r="D81" s="674"/>
      <c r="E81" s="675">
        <f>+E73+E74+E75+E76+E77</f>
        <v>103063.75</v>
      </c>
    </row>
    <row r="82" spans="2:6" x14ac:dyDescent="0.35">
      <c r="C82" s="771"/>
      <c r="D82" s="771"/>
      <c r="E82" s="771"/>
    </row>
    <row r="85" spans="2:6" ht="23.5" x14ac:dyDescent="0.35">
      <c r="B85" s="1442" t="s">
        <v>301</v>
      </c>
      <c r="C85" s="1443"/>
      <c r="D85" s="1443"/>
      <c r="E85" s="1444"/>
    </row>
    <row r="86" spans="2:6" x14ac:dyDescent="0.35">
      <c r="B86" s="2" t="s">
        <v>7</v>
      </c>
      <c r="C86" s="270" t="s">
        <v>8</v>
      </c>
      <c r="D86" s="217" t="s">
        <v>4</v>
      </c>
      <c r="E86" s="597" t="s">
        <v>9</v>
      </c>
    </row>
    <row r="87" spans="2:6" x14ac:dyDescent="0.35">
      <c r="B87" s="3" t="s">
        <v>3</v>
      </c>
      <c r="C87" s="258">
        <v>114</v>
      </c>
      <c r="D87" s="227">
        <v>351</v>
      </c>
      <c r="E87" s="598">
        <f>+C87*D87</f>
        <v>40014</v>
      </c>
      <c r="F87" s="771" t="s">
        <v>63</v>
      </c>
    </row>
    <row r="88" spans="2:6" x14ac:dyDescent="0.35">
      <c r="B88" s="3" t="s">
        <v>376</v>
      </c>
      <c r="C88" s="258">
        <v>16</v>
      </c>
      <c r="D88" s="227">
        <v>351</v>
      </c>
      <c r="E88" s="598">
        <f>+C88*D88</f>
        <v>5616</v>
      </c>
    </row>
    <row r="89" spans="2:6" x14ac:dyDescent="0.35">
      <c r="B89" s="3" t="s">
        <v>200</v>
      </c>
      <c r="C89" s="258"/>
      <c r="D89" s="227"/>
      <c r="E89" s="598">
        <v>10000</v>
      </c>
    </row>
    <row r="90" spans="2:6" x14ac:dyDescent="0.35">
      <c r="B90" s="3" t="s">
        <v>195</v>
      </c>
      <c r="C90" s="258">
        <v>3</v>
      </c>
      <c r="D90" s="194">
        <f>+D87*1.5</f>
        <v>526.5</v>
      </c>
      <c r="E90" s="598">
        <f>+C90*D90</f>
        <v>1579.5</v>
      </c>
    </row>
    <row r="91" spans="2:6" x14ac:dyDescent="0.35">
      <c r="B91" s="3" t="s">
        <v>6</v>
      </c>
      <c r="C91" s="258">
        <v>10000</v>
      </c>
      <c r="D91" s="194"/>
      <c r="E91" s="598">
        <v>10000</v>
      </c>
      <c r="F91" s="771" t="s">
        <v>63</v>
      </c>
    </row>
    <row r="92" spans="2:6" x14ac:dyDescent="0.35">
      <c r="B92" s="3" t="s">
        <v>380</v>
      </c>
      <c r="C92" s="258">
        <v>48</v>
      </c>
      <c r="D92" s="194">
        <v>351</v>
      </c>
      <c r="E92" s="598">
        <f>+C92*D92</f>
        <v>16848</v>
      </c>
    </row>
    <row r="93" spans="2:6" x14ac:dyDescent="0.35">
      <c r="B93" s="1439" t="s">
        <v>99</v>
      </c>
      <c r="C93" s="1440"/>
      <c r="D93" s="1441"/>
      <c r="E93" s="599">
        <f>+E87+E88+E89+E90+E91+E92</f>
        <v>84057.5</v>
      </c>
      <c r="F93" s="774" t="s">
        <v>63</v>
      </c>
    </row>
    <row r="94" spans="2:6" x14ac:dyDescent="0.35">
      <c r="B94" s="724" t="s">
        <v>19</v>
      </c>
      <c r="C94" s="729" t="s">
        <v>63</v>
      </c>
      <c r="D94" s="730" t="s">
        <v>63</v>
      </c>
      <c r="E94" s="731">
        <v>-10000</v>
      </c>
      <c r="F94" s="774" t="s">
        <v>63</v>
      </c>
    </row>
    <row r="95" spans="2:6" x14ac:dyDescent="0.35">
      <c r="B95" s="739" t="s">
        <v>381</v>
      </c>
      <c r="C95" s="729"/>
      <c r="D95" s="730"/>
      <c r="E95" s="731">
        <v>-16848</v>
      </c>
    </row>
    <row r="96" spans="2:6" s="755" customFormat="1" ht="23.5" x14ac:dyDescent="0.55000000000000004">
      <c r="B96" s="751"/>
      <c r="C96" s="752" t="s">
        <v>11</v>
      </c>
      <c r="D96" s="753"/>
      <c r="E96" s="754">
        <f>+E93+E94+E95</f>
        <v>57209.5</v>
      </c>
      <c r="F96" s="770" t="s">
        <v>63</v>
      </c>
    </row>
    <row r="100" spans="2:6" ht="21" customHeight="1" x14ac:dyDescent="0.35">
      <c r="B100" s="1442" t="s">
        <v>354</v>
      </c>
      <c r="C100" s="1443"/>
      <c r="D100" s="1443"/>
      <c r="E100" s="1444"/>
    </row>
    <row r="101" spans="2:6" ht="21" customHeight="1" x14ac:dyDescent="0.35">
      <c r="B101" s="2" t="s">
        <v>7</v>
      </c>
      <c r="C101" s="270" t="s">
        <v>8</v>
      </c>
      <c r="D101" s="217" t="s">
        <v>4</v>
      </c>
      <c r="E101" s="597" t="s">
        <v>9</v>
      </c>
    </row>
    <row r="102" spans="2:6" ht="14.5" customHeight="1" x14ac:dyDescent="0.35">
      <c r="B102" s="772" t="s">
        <v>3</v>
      </c>
      <c r="C102" s="258">
        <v>158</v>
      </c>
      <c r="D102" s="227">
        <v>405</v>
      </c>
      <c r="E102" s="598">
        <f>+C102*D102</f>
        <v>63990</v>
      </c>
    </row>
    <row r="103" spans="2:6" ht="13.5" customHeight="1" x14ac:dyDescent="0.35">
      <c r="B103" s="772" t="s">
        <v>310</v>
      </c>
      <c r="C103" s="258">
        <v>16</v>
      </c>
      <c r="D103" s="227">
        <v>405</v>
      </c>
      <c r="E103" s="598">
        <f>+C103*D103</f>
        <v>6480</v>
      </c>
    </row>
    <row r="104" spans="2:6" x14ac:dyDescent="0.35">
      <c r="B104" s="772" t="s">
        <v>266</v>
      </c>
      <c r="C104" s="258"/>
      <c r="D104" s="227"/>
      <c r="E104" s="598">
        <v>10000</v>
      </c>
    </row>
    <row r="105" spans="2:6" x14ac:dyDescent="0.35">
      <c r="B105" s="772" t="s">
        <v>195</v>
      </c>
      <c r="C105" s="258">
        <v>11.5</v>
      </c>
      <c r="D105" s="194">
        <f>+D102*1.5</f>
        <v>607.5</v>
      </c>
      <c r="E105" s="598">
        <f>+C105*D105</f>
        <v>6986.25</v>
      </c>
    </row>
    <row r="106" spans="2:6" x14ac:dyDescent="0.35">
      <c r="B106" s="772" t="s">
        <v>6</v>
      </c>
      <c r="C106" s="258">
        <v>15000</v>
      </c>
      <c r="D106" s="194"/>
      <c r="E106" s="598">
        <v>15000</v>
      </c>
    </row>
    <row r="107" spans="2:6" x14ac:dyDescent="0.35">
      <c r="B107" s="772" t="s">
        <v>303</v>
      </c>
      <c r="C107" s="258" t="s">
        <v>63</v>
      </c>
      <c r="D107" s="194" t="s">
        <v>63</v>
      </c>
      <c r="E107" s="598">
        <v>20000</v>
      </c>
    </row>
    <row r="108" spans="2:6" x14ac:dyDescent="0.35">
      <c r="B108" s="1439" t="s">
        <v>99</v>
      </c>
      <c r="C108" s="1440"/>
      <c r="D108" s="1441"/>
      <c r="E108" s="599">
        <f>+E102+E103+E104+E105+E106+E107</f>
        <v>122456.25</v>
      </c>
      <c r="F108" s="774" t="s">
        <v>63</v>
      </c>
    </row>
    <row r="109" spans="2:6" x14ac:dyDescent="0.35">
      <c r="B109" s="723" t="s">
        <v>19</v>
      </c>
      <c r="C109" s="720" t="s">
        <v>63</v>
      </c>
      <c r="D109" s="720"/>
      <c r="E109" s="722">
        <v>-20000</v>
      </c>
    </row>
    <row r="110" spans="2:6" s="760" customFormat="1" ht="21" x14ac:dyDescent="0.5">
      <c r="B110" s="756"/>
      <c r="C110" s="757" t="s">
        <v>11</v>
      </c>
      <c r="D110" s="758"/>
      <c r="E110" s="759">
        <f>+E108+E109</f>
        <v>102456.25</v>
      </c>
    </row>
    <row r="113" spans="2:5" ht="23.5" x14ac:dyDescent="0.35">
      <c r="B113" s="1442" t="s">
        <v>260</v>
      </c>
      <c r="C113" s="1443"/>
      <c r="D113" s="1443"/>
      <c r="E113" s="1444"/>
    </row>
    <row r="114" spans="2:5" x14ac:dyDescent="0.35">
      <c r="B114" s="2" t="s">
        <v>7</v>
      </c>
      <c r="C114" s="270" t="s">
        <v>8</v>
      </c>
      <c r="D114" s="217" t="s">
        <v>4</v>
      </c>
      <c r="E114" s="597" t="s">
        <v>9</v>
      </c>
    </row>
    <row r="115" spans="2:5" x14ac:dyDescent="0.35">
      <c r="B115" s="3" t="s">
        <v>3</v>
      </c>
      <c r="C115" s="258">
        <v>77</v>
      </c>
      <c r="D115" s="194">
        <v>624</v>
      </c>
      <c r="E115" s="598">
        <f>+C115*D115</f>
        <v>48048</v>
      </c>
    </row>
    <row r="116" spans="2:5" x14ac:dyDescent="0.35">
      <c r="B116" s="3" t="s">
        <v>379</v>
      </c>
      <c r="C116" s="258">
        <v>16</v>
      </c>
      <c r="D116" s="194">
        <v>624</v>
      </c>
      <c r="E116" s="609">
        <f>+C116*D116</f>
        <v>9984</v>
      </c>
    </row>
    <row r="117" spans="2:5" x14ac:dyDescent="0.35">
      <c r="B117" s="3" t="s">
        <v>357</v>
      </c>
      <c r="C117" s="258">
        <v>98</v>
      </c>
      <c r="D117" s="194">
        <v>624</v>
      </c>
      <c r="E117" s="609">
        <f>+C117*D117</f>
        <v>61152</v>
      </c>
    </row>
    <row r="118" spans="2:5" x14ac:dyDescent="0.35">
      <c r="B118" s="3" t="s">
        <v>6</v>
      </c>
      <c r="C118" s="258"/>
      <c r="D118" s="194"/>
      <c r="E118" s="609">
        <v>10000</v>
      </c>
    </row>
    <row r="119" spans="2:5" x14ac:dyDescent="0.35">
      <c r="B119" s="614" t="s">
        <v>200</v>
      </c>
      <c r="C119" s="617"/>
      <c r="D119" s="227"/>
      <c r="E119" s="609">
        <v>10000</v>
      </c>
    </row>
    <row r="120" spans="2:5" x14ac:dyDescent="0.35">
      <c r="B120" s="621" t="s">
        <v>99</v>
      </c>
      <c r="C120" s="622"/>
      <c r="D120" s="622"/>
      <c r="E120" s="634">
        <f>+E115+E116+E117+E118+E119</f>
        <v>139184</v>
      </c>
    </row>
    <row r="121" spans="2:5" x14ac:dyDescent="0.35">
      <c r="B121" s="615" t="s">
        <v>19</v>
      </c>
      <c r="C121" s="619"/>
      <c r="D121" s="619"/>
      <c r="E121" s="710">
        <v>-35000</v>
      </c>
    </row>
    <row r="122" spans="2:5" x14ac:dyDescent="0.35">
      <c r="B122" s="615" t="s">
        <v>63</v>
      </c>
      <c r="C122" s="709"/>
      <c r="D122" s="619"/>
      <c r="E122" s="710" t="s">
        <v>63</v>
      </c>
    </row>
    <row r="123" spans="2:5" ht="15.5" x14ac:dyDescent="0.35">
      <c r="B123" s="705" t="s">
        <v>11</v>
      </c>
      <c r="C123" s="708"/>
      <c r="D123" s="706"/>
      <c r="E123" s="603">
        <f>+E120+E121</f>
        <v>104184</v>
      </c>
    </row>
    <row r="126" spans="2:5" ht="23.5" x14ac:dyDescent="0.35">
      <c r="B126" s="1442" t="s">
        <v>264</v>
      </c>
      <c r="C126" s="1443"/>
      <c r="D126" s="1443"/>
      <c r="E126" s="1444"/>
    </row>
    <row r="127" spans="2:5" x14ac:dyDescent="0.35">
      <c r="B127" s="2" t="s">
        <v>7</v>
      </c>
      <c r="C127" s="270" t="s">
        <v>8</v>
      </c>
      <c r="D127" s="217" t="s">
        <v>4</v>
      </c>
      <c r="E127" s="597" t="s">
        <v>9</v>
      </c>
    </row>
    <row r="128" spans="2:5" x14ac:dyDescent="0.35">
      <c r="B128" s="3" t="s">
        <v>3</v>
      </c>
      <c r="C128" s="258">
        <v>158</v>
      </c>
      <c r="D128" s="227">
        <v>351</v>
      </c>
      <c r="E128" s="598">
        <f>+D128*C128</f>
        <v>55458</v>
      </c>
    </row>
    <row r="129" spans="2:6" x14ac:dyDescent="0.35">
      <c r="B129" s="3" t="s">
        <v>376</v>
      </c>
      <c r="C129" s="258">
        <v>16</v>
      </c>
      <c r="D129" s="227">
        <v>351</v>
      </c>
      <c r="E129" s="598">
        <f>+C129*D129</f>
        <v>5616</v>
      </c>
    </row>
    <row r="130" spans="2:6" x14ac:dyDescent="0.35">
      <c r="B130" s="3" t="s">
        <v>196</v>
      </c>
      <c r="C130" s="258"/>
      <c r="D130" s="227"/>
      <c r="E130" s="598">
        <v>10000</v>
      </c>
    </row>
    <row r="131" spans="2:6" x14ac:dyDescent="0.35">
      <c r="B131" s="3" t="s">
        <v>195</v>
      </c>
      <c r="C131" s="258">
        <v>22.5</v>
      </c>
      <c r="D131" s="227">
        <f>+D128*1.5</f>
        <v>526.5</v>
      </c>
      <c r="E131" s="598">
        <f>+C131*D131</f>
        <v>11846.25</v>
      </c>
    </row>
    <row r="132" spans="2:6" x14ac:dyDescent="0.35">
      <c r="B132" s="3" t="s">
        <v>6</v>
      </c>
      <c r="C132" s="258">
        <v>10000</v>
      </c>
      <c r="D132" s="227"/>
      <c r="E132" s="598">
        <v>10000</v>
      </c>
    </row>
    <row r="133" spans="2:6" x14ac:dyDescent="0.35">
      <c r="B133" s="1439" t="s">
        <v>99</v>
      </c>
      <c r="C133" s="1440"/>
      <c r="D133" s="1441"/>
      <c r="E133" s="599">
        <f>+E128+E129+E130+E131+E132</f>
        <v>92920.25</v>
      </c>
      <c r="F133" s="774" t="s">
        <v>63</v>
      </c>
    </row>
    <row r="134" spans="2:6" x14ac:dyDescent="0.35">
      <c r="B134" s="723" t="s">
        <v>50</v>
      </c>
      <c r="C134" s="721"/>
      <c r="D134" s="721"/>
      <c r="E134" s="722">
        <v>-7500</v>
      </c>
      <c r="F134" s="774" t="s">
        <v>63</v>
      </c>
    </row>
    <row r="135" spans="2:6" x14ac:dyDescent="0.35">
      <c r="B135" s="767" t="s">
        <v>377</v>
      </c>
      <c r="C135" s="765" t="s">
        <v>378</v>
      </c>
      <c r="D135" s="766"/>
      <c r="E135" s="600">
        <v>-10000</v>
      </c>
    </row>
    <row r="136" spans="2:6" ht="15.5" x14ac:dyDescent="0.35">
      <c r="B136" s="1446" t="s">
        <v>11</v>
      </c>
      <c r="C136" s="1447"/>
      <c r="D136" s="1448"/>
      <c r="E136" s="603">
        <f>+E133+E134+E135</f>
        <v>75420.25</v>
      </c>
    </row>
    <row r="139" spans="2:6" ht="23.5" x14ac:dyDescent="0.35">
      <c r="B139" s="1442" t="s">
        <v>386</v>
      </c>
      <c r="C139" s="1443"/>
      <c r="D139" s="1443"/>
      <c r="E139" s="1444"/>
    </row>
    <row r="140" spans="2:6" x14ac:dyDescent="0.35">
      <c r="B140" s="2" t="s">
        <v>7</v>
      </c>
      <c r="C140" s="270" t="s">
        <v>388</v>
      </c>
      <c r="D140" s="217" t="s">
        <v>272</v>
      </c>
      <c r="E140" s="597" t="s">
        <v>9</v>
      </c>
    </row>
    <row r="141" spans="2:6" x14ac:dyDescent="0.35">
      <c r="B141" s="772" t="s">
        <v>387</v>
      </c>
      <c r="C141" s="258">
        <v>33</v>
      </c>
      <c r="D141" s="227">
        <v>450</v>
      </c>
      <c r="E141" s="598">
        <f>+C141*D141</f>
        <v>14850</v>
      </c>
    </row>
    <row r="142" spans="2:6" x14ac:dyDescent="0.35">
      <c r="B142" s="772"/>
      <c r="C142" s="258"/>
      <c r="D142" s="227"/>
      <c r="E142" s="598"/>
    </row>
    <row r="143" spans="2:6" x14ac:dyDescent="0.35">
      <c r="B143" s="772"/>
      <c r="C143" s="258"/>
      <c r="D143" s="227"/>
      <c r="E143" s="598"/>
    </row>
    <row r="144" spans="2:6" x14ac:dyDescent="0.35">
      <c r="B144" s="772"/>
      <c r="C144" s="258"/>
      <c r="D144" s="227"/>
      <c r="E144" s="598"/>
    </row>
    <row r="145" spans="2:5" x14ac:dyDescent="0.35">
      <c r="B145" s="772"/>
      <c r="C145" s="258"/>
      <c r="D145" s="227"/>
      <c r="E145" s="598"/>
    </row>
    <row r="146" spans="2:5" x14ac:dyDescent="0.35">
      <c r="B146" s="1439" t="s">
        <v>389</v>
      </c>
      <c r="C146" s="1440"/>
      <c r="D146" s="1441"/>
      <c r="E146" s="599">
        <v>14850</v>
      </c>
    </row>
    <row r="147" spans="2:5" x14ac:dyDescent="0.35">
      <c r="B147" s="723"/>
      <c r="C147" s="721"/>
      <c r="D147" s="721"/>
      <c r="E147" s="722"/>
    </row>
    <row r="148" spans="2:5" ht="15.5" x14ac:dyDescent="0.35">
      <c r="B148" s="1446" t="s">
        <v>11</v>
      </c>
      <c r="C148" s="1447"/>
      <c r="D148" s="1448"/>
      <c r="E148" s="603">
        <v>14850</v>
      </c>
    </row>
    <row r="151" spans="2:5" ht="23.5" x14ac:dyDescent="0.35">
      <c r="B151" s="1442" t="s">
        <v>390</v>
      </c>
      <c r="C151" s="1443"/>
      <c r="D151" s="1443"/>
      <c r="E151" s="1444"/>
    </row>
    <row r="152" spans="2:5" x14ac:dyDescent="0.35">
      <c r="B152" s="2"/>
      <c r="C152" s="270"/>
      <c r="D152" s="217"/>
      <c r="E152" s="597"/>
    </row>
    <row r="153" spans="2:5" x14ac:dyDescent="0.35">
      <c r="B153" s="772" t="s">
        <v>391</v>
      </c>
      <c r="C153" s="258">
        <v>79</v>
      </c>
      <c r="D153" s="227">
        <v>351</v>
      </c>
      <c r="E153" s="598">
        <f>+C153*D153</f>
        <v>27729</v>
      </c>
    </row>
    <row r="154" spans="2:5" x14ac:dyDescent="0.35">
      <c r="B154" s="772" t="s">
        <v>310</v>
      </c>
      <c r="C154" s="258">
        <v>16</v>
      </c>
      <c r="D154" s="227">
        <v>351</v>
      </c>
      <c r="E154" s="598">
        <f>+C154*D154</f>
        <v>5616</v>
      </c>
    </row>
    <row r="155" spans="2:5" x14ac:dyDescent="0.35">
      <c r="B155" s="772" t="s">
        <v>392</v>
      </c>
      <c r="C155" s="258">
        <v>26</v>
      </c>
      <c r="D155" s="227">
        <v>351</v>
      </c>
      <c r="E155" s="598">
        <f>+C155*D155</f>
        <v>9126</v>
      </c>
    </row>
    <row r="156" spans="2:5" x14ac:dyDescent="0.35">
      <c r="B156" s="772" t="s">
        <v>22</v>
      </c>
      <c r="C156" s="258">
        <v>2</v>
      </c>
      <c r="D156" s="227">
        <f>+D153*1.5</f>
        <v>526.5</v>
      </c>
      <c r="E156" s="598">
        <f>+C156*D156</f>
        <v>1053</v>
      </c>
    </row>
    <row r="157" spans="2:5" x14ac:dyDescent="0.35">
      <c r="B157" s="772"/>
      <c r="C157" s="258"/>
      <c r="D157" s="227"/>
      <c r="E157" s="598"/>
    </row>
    <row r="158" spans="2:5" x14ac:dyDescent="0.35">
      <c r="B158" s="1439" t="s">
        <v>389</v>
      </c>
      <c r="C158" s="1440"/>
      <c r="D158" s="1441"/>
      <c r="E158" s="599">
        <f>+E153+E154+E155+E156</f>
        <v>43524</v>
      </c>
    </row>
    <row r="159" spans="2:5" x14ac:dyDescent="0.35">
      <c r="B159" s="723"/>
      <c r="C159" s="721"/>
      <c r="D159" s="721"/>
      <c r="E159" s="722"/>
    </row>
    <row r="160" spans="2:5" ht="15.5" x14ac:dyDescent="0.35">
      <c r="B160" s="1446" t="s">
        <v>11</v>
      </c>
      <c r="C160" s="1447"/>
      <c r="D160" s="1448"/>
      <c r="E160" s="603">
        <v>43524</v>
      </c>
    </row>
  </sheetData>
  <mergeCells count="29">
    <mergeCell ref="B85:E85"/>
    <mergeCell ref="B93:D93"/>
    <mergeCell ref="B100:E100"/>
    <mergeCell ref="B51:D51"/>
    <mergeCell ref="B57:E57"/>
    <mergeCell ref="B65:D65"/>
    <mergeCell ref="B71:E71"/>
    <mergeCell ref="B79:D79"/>
    <mergeCell ref="B2:E2"/>
    <mergeCell ref="B11:D11"/>
    <mergeCell ref="B14:D14"/>
    <mergeCell ref="B17:E17"/>
    <mergeCell ref="B25:D25"/>
    <mergeCell ref="B151:E151"/>
    <mergeCell ref="B158:D158"/>
    <mergeCell ref="B160:D160"/>
    <mergeCell ref="B26:D26"/>
    <mergeCell ref="B139:E139"/>
    <mergeCell ref="B146:D146"/>
    <mergeCell ref="B148:D148"/>
    <mergeCell ref="B133:D133"/>
    <mergeCell ref="B136:D136"/>
    <mergeCell ref="B126:E126"/>
    <mergeCell ref="B27:D27"/>
    <mergeCell ref="B30:E30"/>
    <mergeCell ref="B37:D37"/>
    <mergeCell ref="B108:D108"/>
    <mergeCell ref="B113:E113"/>
    <mergeCell ref="B42:E42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E38"/>
  <sheetViews>
    <sheetView workbookViewId="0">
      <selection activeCell="D11" sqref="D11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15.7265625" style="771" customWidth="1"/>
    <col min="5" max="5" width="14.08984375" style="771" customWidth="1"/>
    <col min="6" max="16384" width="10.90625" style="771"/>
  </cols>
  <sheetData>
    <row r="1" spans="2:3" s="658" customFormat="1" ht="28.5" x14ac:dyDescent="0.65">
      <c r="B1" s="718" t="s">
        <v>382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772" t="s">
        <v>10</v>
      </c>
      <c r="C4" s="773">
        <v>53320</v>
      </c>
    </row>
    <row r="5" spans="2:3" x14ac:dyDescent="0.35">
      <c r="B5" s="772" t="s">
        <v>15</v>
      </c>
      <c r="C5" s="773">
        <v>252950</v>
      </c>
    </row>
    <row r="6" spans="2:3" x14ac:dyDescent="0.35">
      <c r="B6" s="772" t="s">
        <v>16</v>
      </c>
      <c r="C6" s="773">
        <v>77500</v>
      </c>
    </row>
    <row r="7" spans="2:3" x14ac:dyDescent="0.35">
      <c r="B7" s="772" t="s">
        <v>0</v>
      </c>
      <c r="C7" s="773">
        <v>104200</v>
      </c>
    </row>
    <row r="8" spans="2:3" x14ac:dyDescent="0.35">
      <c r="B8" s="772" t="s">
        <v>28</v>
      </c>
      <c r="C8" s="773">
        <v>79750</v>
      </c>
    </row>
    <row r="9" spans="2:3" x14ac:dyDescent="0.35">
      <c r="B9" s="772" t="s">
        <v>393</v>
      </c>
      <c r="C9" s="773">
        <v>43530</v>
      </c>
    </row>
    <row r="10" spans="2:3" x14ac:dyDescent="0.35">
      <c r="B10" s="772" t="s">
        <v>245</v>
      </c>
      <c r="C10" s="773">
        <v>75450</v>
      </c>
    </row>
    <row r="11" spans="2:3" x14ac:dyDescent="0.35">
      <c r="B11" s="772" t="s">
        <v>267</v>
      </c>
      <c r="C11" s="773">
        <v>103100</v>
      </c>
    </row>
    <row r="12" spans="2:3" x14ac:dyDescent="0.35">
      <c r="B12" s="772" t="s">
        <v>260</v>
      </c>
      <c r="C12" s="773">
        <v>104200</v>
      </c>
    </row>
    <row r="13" spans="2:3" x14ac:dyDescent="0.35">
      <c r="B13" s="772" t="s">
        <v>277</v>
      </c>
      <c r="C13" s="773">
        <v>57210</v>
      </c>
    </row>
    <row r="14" spans="2:3" x14ac:dyDescent="0.35">
      <c r="B14" s="772" t="s">
        <v>355</v>
      </c>
      <c r="C14" s="773">
        <v>102500</v>
      </c>
    </row>
    <row r="15" spans="2:3" s="646" customFormat="1" ht="26" x14ac:dyDescent="0.6">
      <c r="B15" s="650" t="s">
        <v>315</v>
      </c>
      <c r="C15" s="652">
        <f>SUM(C4:C14)</f>
        <v>1053710</v>
      </c>
    </row>
    <row r="20" spans="2:5" s="648" customFormat="1" ht="46" x14ac:dyDescent="1">
      <c r="B20" s="719" t="s">
        <v>383</v>
      </c>
      <c r="C20" s="653"/>
    </row>
    <row r="21" spans="2:5" ht="18.5" x14ac:dyDescent="0.45">
      <c r="B21" s="643" t="s">
        <v>306</v>
      </c>
      <c r="C21" s="654" t="s">
        <v>272</v>
      </c>
      <c r="D21" s="643" t="s">
        <v>200</v>
      </c>
    </row>
    <row r="22" spans="2:5" ht="18.5" x14ac:dyDescent="0.45">
      <c r="B22" s="644" t="s">
        <v>10</v>
      </c>
      <c r="C22" s="655">
        <v>500</v>
      </c>
      <c r="D22" s="644">
        <v>10000</v>
      </c>
    </row>
    <row r="23" spans="2:5" ht="18.5" x14ac:dyDescent="0.45">
      <c r="B23" s="644" t="s">
        <v>15</v>
      </c>
      <c r="C23" s="655">
        <v>1020</v>
      </c>
      <c r="D23" s="644">
        <v>10000</v>
      </c>
    </row>
    <row r="24" spans="2:5" ht="18.5" x14ac:dyDescent="0.45">
      <c r="B24" s="644" t="s">
        <v>16</v>
      </c>
      <c r="C24" s="655">
        <v>440</v>
      </c>
      <c r="D24" s="644">
        <v>10000</v>
      </c>
    </row>
    <row r="25" spans="2:5" ht="18.5" x14ac:dyDescent="0.45">
      <c r="B25" s="644" t="s">
        <v>0</v>
      </c>
      <c r="C25" s="655">
        <v>625</v>
      </c>
      <c r="D25" s="644">
        <v>10000</v>
      </c>
    </row>
    <row r="26" spans="2:5" ht="18.5" x14ac:dyDescent="0.45">
      <c r="B26" s="644" t="s">
        <v>28</v>
      </c>
      <c r="C26" s="655">
        <v>625</v>
      </c>
      <c r="D26" s="644">
        <v>10000</v>
      </c>
    </row>
    <row r="27" spans="2:5" ht="18.5" x14ac:dyDescent="0.45">
      <c r="B27" s="644" t="s">
        <v>245</v>
      </c>
      <c r="C27" s="655">
        <v>351</v>
      </c>
      <c r="D27" s="644">
        <v>10000</v>
      </c>
    </row>
    <row r="28" spans="2:5" ht="18.5" x14ac:dyDescent="0.45">
      <c r="B28" s="644" t="s">
        <v>267</v>
      </c>
      <c r="C28" s="655">
        <v>405</v>
      </c>
      <c r="D28" s="644">
        <v>10000</v>
      </c>
    </row>
    <row r="29" spans="2:5" ht="18.5" x14ac:dyDescent="0.45">
      <c r="B29" s="644" t="s">
        <v>260</v>
      </c>
      <c r="C29" s="655">
        <v>624</v>
      </c>
      <c r="D29" s="644">
        <v>10000</v>
      </c>
    </row>
    <row r="30" spans="2:5" ht="18.5" x14ac:dyDescent="0.45">
      <c r="B30" s="645" t="s">
        <v>277</v>
      </c>
      <c r="C30" s="655">
        <v>351</v>
      </c>
      <c r="D30" s="644">
        <v>10000</v>
      </c>
    </row>
    <row r="31" spans="2:5" ht="18.5" x14ac:dyDescent="0.45">
      <c r="B31" s="645" t="s">
        <v>355</v>
      </c>
      <c r="C31" s="655">
        <v>405</v>
      </c>
      <c r="D31" s="645">
        <v>10000</v>
      </c>
      <c r="E31" s="771" t="s">
        <v>63</v>
      </c>
    </row>
    <row r="33" spans="1:4" x14ac:dyDescent="0.35">
      <c r="A33" s="701" t="s">
        <v>106</v>
      </c>
      <c r="B33" s="702" t="s">
        <v>107</v>
      </c>
      <c r="C33" s="702" t="s">
        <v>262</v>
      </c>
      <c r="D33" s="704"/>
    </row>
    <row r="34" spans="1:4" x14ac:dyDescent="0.35">
      <c r="A34" s="703">
        <v>14</v>
      </c>
      <c r="B34" s="703">
        <v>9</v>
      </c>
      <c r="C34" s="568">
        <f>+A34*B34</f>
        <v>126</v>
      </c>
      <c r="D34" s="592" t="s">
        <v>116</v>
      </c>
    </row>
    <row r="35" spans="1:4" x14ac:dyDescent="0.35">
      <c r="A35" s="703">
        <v>4</v>
      </c>
      <c r="B35" s="703">
        <v>8</v>
      </c>
      <c r="C35" s="568">
        <f>+A35*B35</f>
        <v>32</v>
      </c>
      <c r="D35" s="593" t="s">
        <v>117</v>
      </c>
    </row>
    <row r="36" spans="1:4" x14ac:dyDescent="0.35">
      <c r="A36" s="703">
        <v>2</v>
      </c>
      <c r="B36" s="703">
        <v>8</v>
      </c>
      <c r="C36" s="568">
        <v>16</v>
      </c>
      <c r="D36" s="593" t="s">
        <v>111</v>
      </c>
    </row>
    <row r="37" spans="1:4" x14ac:dyDescent="0.35">
      <c r="A37" s="568" t="s">
        <v>63</v>
      </c>
      <c r="B37" s="773"/>
      <c r="C37" s="568">
        <f>+C34+C35</f>
        <v>158</v>
      </c>
      <c r="D37" s="592" t="s">
        <v>309</v>
      </c>
    </row>
    <row r="38" spans="1:4" x14ac:dyDescent="0.35">
      <c r="B38" s="49"/>
      <c r="C38" s="771"/>
    </row>
  </sheetData>
  <pageMargins left="0.7" right="0.7" top="0.75" bottom="0.75" header="0.3" footer="0.3"/>
  <pageSetup paperSize="9" fitToWidth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1:V165"/>
  <sheetViews>
    <sheetView topLeftCell="A145" zoomScale="90" zoomScaleNormal="90" workbookViewId="0">
      <selection activeCell="C11" sqref="C11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788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 s="771"/>
      <c r="T3" s="771"/>
      <c r="U3" s="771"/>
    </row>
    <row r="4" spans="2:21" ht="18" customHeight="1" x14ac:dyDescent="0.35">
      <c r="B4" s="772" t="s">
        <v>3</v>
      </c>
      <c r="C4" s="258">
        <v>194</v>
      </c>
      <c r="D4" s="227">
        <v>530</v>
      </c>
      <c r="E4" s="598">
        <f>+C4*D4</f>
        <v>102820</v>
      </c>
      <c r="F4" s="553" t="s">
        <v>414</v>
      </c>
      <c r="T4" s="788"/>
    </row>
    <row r="5" spans="2:21" ht="18" customHeight="1" x14ac:dyDescent="0.35">
      <c r="B5" s="772" t="s">
        <v>394</v>
      </c>
      <c r="C5" s="258">
        <v>8</v>
      </c>
      <c r="D5" s="227">
        <v>530</v>
      </c>
      <c r="E5" s="598">
        <f>+C5*D5</f>
        <v>4240</v>
      </c>
      <c r="T5" s="774"/>
    </row>
    <row r="6" spans="2:21" ht="18" customHeight="1" x14ac:dyDescent="0.35">
      <c r="B6" s="772" t="s">
        <v>196</v>
      </c>
      <c r="C6" s="258"/>
      <c r="D6" s="227"/>
      <c r="E6" s="598">
        <v>10000</v>
      </c>
    </row>
    <row r="7" spans="2:21" ht="18" customHeight="1" x14ac:dyDescent="0.35">
      <c r="B7" s="772" t="s">
        <v>335</v>
      </c>
      <c r="C7" s="258">
        <v>10</v>
      </c>
      <c r="D7" s="194">
        <f>+D4*1.5</f>
        <v>795</v>
      </c>
      <c r="E7" s="598">
        <f>+C7*D7</f>
        <v>7950</v>
      </c>
    </row>
    <row r="8" spans="2:21" ht="18" customHeight="1" x14ac:dyDescent="0.35">
      <c r="B8" s="772" t="s">
        <v>6</v>
      </c>
      <c r="C8" s="258">
        <v>20000</v>
      </c>
      <c r="D8" s="194"/>
      <c r="E8" s="598">
        <f>+C8</f>
        <v>20000</v>
      </c>
      <c r="F8" s="90" t="s">
        <v>63</v>
      </c>
      <c r="U8" s="788"/>
    </row>
    <row r="9" spans="2:21" ht="18" customHeight="1" x14ac:dyDescent="0.35">
      <c r="B9" s="772" t="s">
        <v>395</v>
      </c>
      <c r="C9" s="258">
        <v>2</v>
      </c>
      <c r="D9" s="194">
        <v>1500</v>
      </c>
      <c r="E9" s="598">
        <f>+C9*D9</f>
        <v>3000</v>
      </c>
      <c r="F9" s="774"/>
      <c r="U9" s="788"/>
    </row>
    <row r="10" spans="2:21" ht="18" customHeight="1" x14ac:dyDescent="0.35">
      <c r="B10" s="1432" t="s">
        <v>99</v>
      </c>
      <c r="C10" s="1432"/>
      <c r="D10" s="1432"/>
      <c r="E10" s="599">
        <f>+E4+E5+E6+E7+E8+E9</f>
        <v>148010</v>
      </c>
      <c r="F10" s="774" t="s">
        <v>63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788"/>
    </row>
    <row r="11" spans="2:21" ht="18" customHeight="1" x14ac:dyDescent="0.35">
      <c r="B11" s="787" t="s">
        <v>384</v>
      </c>
      <c r="C11" s="793"/>
      <c r="D11" s="793"/>
      <c r="E11" s="599">
        <v>-66424.539999999994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788"/>
    </row>
    <row r="12" spans="2:21" ht="18" customHeight="1" x14ac:dyDescent="0.35">
      <c r="B12" s="800" t="s">
        <v>415</v>
      </c>
      <c r="C12" s="721" t="s">
        <v>63</v>
      </c>
      <c r="D12" s="721" t="s">
        <v>63</v>
      </c>
      <c r="E12" s="722">
        <v>-14801</v>
      </c>
      <c r="F12" s="774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788"/>
    </row>
    <row r="13" spans="2:21" ht="18" customHeight="1" x14ac:dyDescent="0.35">
      <c r="B13" s="1433" t="s">
        <v>11</v>
      </c>
      <c r="C13" s="1433"/>
      <c r="D13" s="1433"/>
      <c r="E13" s="603">
        <f>+E10+E11+E12</f>
        <v>66784.460000000006</v>
      </c>
      <c r="F13" s="774" t="s">
        <v>63</v>
      </c>
      <c r="H13" s="321"/>
      <c r="I13" s="321"/>
      <c r="J13" s="321"/>
      <c r="K13" s="473"/>
      <c r="L13" s="321"/>
      <c r="M13" s="321"/>
      <c r="T13" s="788"/>
    </row>
    <row r="14" spans="2:21" ht="18" customHeight="1" x14ac:dyDescent="0.35">
      <c r="B14" s="455"/>
      <c r="C14" s="455"/>
      <c r="D14" s="455"/>
      <c r="E14" s="456"/>
      <c r="H14" s="321"/>
      <c r="I14" s="321"/>
      <c r="J14" s="321"/>
      <c r="K14" s="473"/>
      <c r="L14" s="321"/>
      <c r="M14" s="321"/>
      <c r="T14" s="788"/>
    </row>
    <row r="15" spans="2:21" ht="18" customHeight="1" x14ac:dyDescent="0.35">
      <c r="F15" s="106"/>
      <c r="G15" s="4"/>
      <c r="N15" s="4"/>
      <c r="T15" s="788"/>
    </row>
    <row r="16" spans="2:21" ht="18" customHeight="1" x14ac:dyDescent="0.35">
      <c r="B16" s="1431" t="s">
        <v>15</v>
      </c>
      <c r="C16" s="1431"/>
      <c r="D16" s="1431"/>
      <c r="E16" s="1431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788"/>
      <c r="K17" s="101"/>
      <c r="L17" s="101"/>
      <c r="M17" s="101"/>
    </row>
    <row r="18" spans="2:22" ht="18" customHeight="1" x14ac:dyDescent="0.35">
      <c r="B18" s="772" t="s">
        <v>3</v>
      </c>
      <c r="C18" s="315">
        <v>194</v>
      </c>
      <c r="D18" s="194">
        <v>1085</v>
      </c>
      <c r="E18" s="598">
        <f>+C18*D18</f>
        <v>210490</v>
      </c>
      <c r="F18" s="774" t="s">
        <v>414</v>
      </c>
      <c r="K18" s="101"/>
      <c r="L18" s="101"/>
      <c r="M18" s="101"/>
    </row>
    <row r="19" spans="2:22" ht="18" customHeight="1" x14ac:dyDescent="0.35">
      <c r="B19" s="772" t="s">
        <v>394</v>
      </c>
      <c r="C19" s="258">
        <v>8</v>
      </c>
      <c r="D19" s="194">
        <v>1085</v>
      </c>
      <c r="E19" s="598">
        <f>+C19*D19</f>
        <v>8680</v>
      </c>
      <c r="F19" s="774"/>
      <c r="K19" s="101"/>
      <c r="L19" s="101"/>
      <c r="M19" s="101"/>
    </row>
    <row r="20" spans="2:22" ht="18" customHeight="1" x14ac:dyDescent="0.35">
      <c r="B20" s="772" t="s">
        <v>196</v>
      </c>
      <c r="C20" s="258"/>
      <c r="D20" s="194"/>
      <c r="E20" s="598">
        <v>10000</v>
      </c>
      <c r="F20" s="788"/>
      <c r="H20" s="792"/>
      <c r="N20" s="51"/>
      <c r="O20" s="51"/>
      <c r="P20" s="66"/>
      <c r="Q20" s="49"/>
      <c r="R20" s="49"/>
    </row>
    <row r="21" spans="2:22" ht="18" customHeight="1" x14ac:dyDescent="0.35">
      <c r="B21" s="772" t="s">
        <v>195</v>
      </c>
      <c r="C21" s="315">
        <v>15.5</v>
      </c>
      <c r="D21" s="194">
        <f>+D18*1.5</f>
        <v>1627.5</v>
      </c>
      <c r="E21" s="598">
        <f>+C21*D21</f>
        <v>25226.25</v>
      </c>
      <c r="F21" s="774"/>
      <c r="G21" s="4"/>
      <c r="L21" s="180"/>
      <c r="M21" s="184"/>
    </row>
    <row r="22" spans="2:22" s="788" customFormat="1" ht="18" customHeight="1" x14ac:dyDescent="0.35">
      <c r="B22" s="772" t="s">
        <v>6</v>
      </c>
      <c r="C22" s="258"/>
      <c r="D22" s="194"/>
      <c r="E22" s="598">
        <v>20000</v>
      </c>
      <c r="F22" s="774" t="s">
        <v>63</v>
      </c>
      <c r="G22" s="771"/>
      <c r="L22" s="184"/>
      <c r="M22" s="184"/>
      <c r="N22" s="771"/>
      <c r="O22" s="771"/>
      <c r="P22" s="771"/>
      <c r="Q22" s="771"/>
      <c r="R22" s="771"/>
      <c r="S22" s="771"/>
      <c r="V22" s="771"/>
    </row>
    <row r="23" spans="2:22" s="788" customFormat="1" ht="18" customHeight="1" x14ac:dyDescent="0.35">
      <c r="B23" s="772" t="s">
        <v>396</v>
      </c>
      <c r="C23" s="258">
        <v>2</v>
      </c>
      <c r="D23" s="194">
        <v>3000</v>
      </c>
      <c r="E23" s="598">
        <f>+C23*D23</f>
        <v>6000</v>
      </c>
      <c r="F23" s="771"/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788" customFormat="1" ht="18" customHeight="1" x14ac:dyDescent="0.35">
      <c r="B24" s="1432" t="s">
        <v>99</v>
      </c>
      <c r="C24" s="1432"/>
      <c r="D24" s="1432"/>
      <c r="E24" s="599">
        <f>+E18+E19+E20+E21+E22+E23</f>
        <v>280396.25</v>
      </c>
      <c r="F24" s="774" t="s">
        <v>63</v>
      </c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788" customFormat="1" ht="18" customHeight="1" x14ac:dyDescent="0.35">
      <c r="B25" s="772" t="s">
        <v>397</v>
      </c>
      <c r="C25" s="258"/>
      <c r="D25" s="194"/>
      <c r="E25" s="598">
        <v>-6814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788" customFormat="1" ht="18" customHeight="1" x14ac:dyDescent="0.35">
      <c r="B26" s="772" t="s">
        <v>79</v>
      </c>
      <c r="C26" s="258"/>
      <c r="D26" s="194"/>
      <c r="E26" s="598">
        <v>-2480</v>
      </c>
      <c r="F26" s="774" t="s">
        <v>63</v>
      </c>
      <c r="G26" s="771"/>
      <c r="L26" s="181"/>
      <c r="M26" s="184"/>
      <c r="N26" s="180"/>
      <c r="O26" s="180"/>
      <c r="P26" s="181"/>
      <c r="Q26" s="181"/>
      <c r="R26" s="181"/>
      <c r="S26" s="771"/>
      <c r="V26" s="771"/>
    </row>
    <row r="27" spans="2:22" ht="18" customHeight="1" x14ac:dyDescent="0.35">
      <c r="B27" s="1435" t="s">
        <v>11</v>
      </c>
      <c r="C27" s="1435"/>
      <c r="D27" s="1435"/>
      <c r="E27" s="602">
        <f>+E24+E25+E26</f>
        <v>271102.25</v>
      </c>
      <c r="F27" s="796" t="s">
        <v>63</v>
      </c>
      <c r="G27" s="115"/>
      <c r="M27" s="189"/>
      <c r="N27" s="180"/>
      <c r="O27" s="180"/>
      <c r="P27" s="181"/>
      <c r="Q27" s="181"/>
      <c r="R27" s="181"/>
    </row>
    <row r="28" spans="2:22" ht="18" customHeight="1" x14ac:dyDescent="0.35">
      <c r="B28" s="455"/>
      <c r="C28" s="455"/>
      <c r="D28" s="455"/>
      <c r="E28" s="456"/>
      <c r="F28" s="409"/>
      <c r="G28" s="115"/>
      <c r="M28" s="189"/>
      <c r="N28" s="180"/>
      <c r="O28" s="180"/>
      <c r="P28" s="181"/>
      <c r="Q28" s="181"/>
      <c r="R28" s="181"/>
    </row>
    <row r="29" spans="2:22" ht="19.5" customHeight="1" x14ac:dyDescent="0.35">
      <c r="F29" s="409"/>
      <c r="G29" s="115"/>
      <c r="M29" s="185"/>
      <c r="N29" s="181"/>
      <c r="O29" s="181"/>
      <c r="P29" s="181"/>
      <c r="Q29" s="181"/>
    </row>
    <row r="30" spans="2:22" ht="18" customHeight="1" x14ac:dyDescent="0.45">
      <c r="B30" s="1450" t="s">
        <v>359</v>
      </c>
      <c r="C30" s="1451"/>
      <c r="D30" s="1451"/>
      <c r="E30" s="1452"/>
      <c r="F30" s="409"/>
      <c r="G30" s="115"/>
      <c r="M30" s="185"/>
      <c r="N30" s="181"/>
      <c r="O30" s="181"/>
      <c r="P30" s="181"/>
      <c r="Q30" s="181"/>
    </row>
    <row r="31" spans="2:22" ht="18" customHeight="1" x14ac:dyDescent="0.35">
      <c r="B31" s="604" t="s">
        <v>7</v>
      </c>
      <c r="C31" s="605" t="s">
        <v>8</v>
      </c>
      <c r="D31" s="606" t="s">
        <v>4</v>
      </c>
      <c r="E31" s="606" t="s">
        <v>9</v>
      </c>
      <c r="M31" s="185"/>
      <c r="N31" s="181"/>
      <c r="O31" s="181"/>
      <c r="P31" s="184"/>
    </row>
    <row r="32" spans="2:22" ht="18" customHeight="1" x14ac:dyDescent="0.35">
      <c r="B32" s="607" t="s">
        <v>3</v>
      </c>
      <c r="C32" s="267">
        <v>194</v>
      </c>
      <c r="D32" s="211">
        <v>470</v>
      </c>
      <c r="E32" s="211">
        <f>C32*D32</f>
        <v>91180</v>
      </c>
      <c r="F32" s="771" t="s">
        <v>417</v>
      </c>
      <c r="M32" s="182"/>
    </row>
    <row r="33" spans="2:15" ht="18" customHeight="1" x14ac:dyDescent="0.35">
      <c r="B33" s="772" t="s">
        <v>394</v>
      </c>
      <c r="C33" s="267">
        <v>8</v>
      </c>
      <c r="D33" s="211">
        <v>470</v>
      </c>
      <c r="E33" s="211">
        <f>+C33*D33</f>
        <v>3760</v>
      </c>
      <c r="F33" s="774"/>
      <c r="I33" s="788"/>
      <c r="J33" s="788"/>
      <c r="K33" s="788"/>
    </row>
    <row r="34" spans="2:15" ht="18" customHeight="1" x14ac:dyDescent="0.35">
      <c r="B34" s="772" t="s">
        <v>196</v>
      </c>
      <c r="C34" s="267"/>
      <c r="D34" s="211"/>
      <c r="E34" s="211">
        <v>10000</v>
      </c>
      <c r="F34" s="774"/>
      <c r="L34" s="788"/>
    </row>
    <row r="35" spans="2:15" ht="18" customHeight="1" x14ac:dyDescent="0.35">
      <c r="B35" s="772" t="s">
        <v>195</v>
      </c>
      <c r="C35" s="267">
        <v>17</v>
      </c>
      <c r="D35" s="211">
        <f>+D32*1.5</f>
        <v>705</v>
      </c>
      <c r="E35" s="211">
        <f>C35*D35</f>
        <v>11985</v>
      </c>
      <c r="F35" s="649"/>
      <c r="G35" s="180"/>
      <c r="H35" s="180"/>
      <c r="I35" s="181"/>
      <c r="J35" s="187"/>
      <c r="K35" s="188"/>
      <c r="L35" s="788"/>
      <c r="O35" s="788"/>
    </row>
    <row r="36" spans="2:15" ht="18" customHeight="1" x14ac:dyDescent="0.35">
      <c r="B36" s="772" t="s">
        <v>6</v>
      </c>
      <c r="C36" s="267">
        <v>15000</v>
      </c>
      <c r="D36" s="211"/>
      <c r="E36" s="211">
        <v>15000</v>
      </c>
      <c r="F36" s="774" t="s">
        <v>63</v>
      </c>
      <c r="G36" s="180"/>
      <c r="H36" s="180"/>
      <c r="I36" s="181"/>
      <c r="J36" s="181"/>
      <c r="K36" s="184"/>
      <c r="O36" s="788"/>
    </row>
    <row r="37" spans="2:15" ht="18" customHeight="1" x14ac:dyDescent="0.35">
      <c r="B37" s="772" t="s">
        <v>416</v>
      </c>
      <c r="C37" s="267"/>
      <c r="D37" s="211"/>
      <c r="E37" s="211">
        <v>10000</v>
      </c>
      <c r="F37" s="774"/>
      <c r="G37" s="180"/>
      <c r="H37" s="180"/>
      <c r="I37" s="181"/>
      <c r="J37" s="181"/>
      <c r="K37" s="184"/>
      <c r="O37" s="795"/>
    </row>
    <row r="38" spans="2:15" s="788" customFormat="1" ht="18" customHeight="1" x14ac:dyDescent="0.35">
      <c r="B38" s="1459" t="s">
        <v>99</v>
      </c>
      <c r="C38" s="1459"/>
      <c r="D38" s="1459"/>
      <c r="E38" s="599">
        <f>+E32+E33+E34+E35+E36+E37</f>
        <v>141925</v>
      </c>
      <c r="F38" s="774" t="s">
        <v>63</v>
      </c>
      <c r="G38" s="180"/>
      <c r="H38" s="180"/>
      <c r="I38" s="181"/>
      <c r="J38" s="181"/>
      <c r="K38" s="184"/>
      <c r="L38" s="771"/>
      <c r="N38" s="771"/>
      <c r="O38" s="771"/>
    </row>
    <row r="39" spans="2:15" s="788" customFormat="1" ht="18" customHeight="1" x14ac:dyDescent="0.35">
      <c r="B39" s="825" t="s">
        <v>19</v>
      </c>
      <c r="C39" s="826" t="s">
        <v>63</v>
      </c>
      <c r="D39" s="823" t="s">
        <v>63</v>
      </c>
      <c r="E39" s="824">
        <v>-40000</v>
      </c>
      <c r="F39" s="774"/>
      <c r="G39" s="180"/>
      <c r="H39" s="180"/>
      <c r="I39" s="181"/>
      <c r="J39" s="181"/>
      <c r="K39" s="184"/>
      <c r="L39" s="771"/>
      <c r="N39" s="771"/>
      <c r="O39" s="771"/>
    </row>
    <row r="40" spans="2:15" ht="18" customHeight="1" x14ac:dyDescent="0.35">
      <c r="B40" s="786" t="s">
        <v>11</v>
      </c>
      <c r="C40" s="783"/>
      <c r="D40" s="783"/>
      <c r="E40" s="784">
        <f>+E38+E39</f>
        <v>101925</v>
      </c>
      <c r="F40" s="774" t="s">
        <v>63</v>
      </c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594"/>
      <c r="C42" s="594"/>
      <c r="D42" s="594"/>
      <c r="E42" s="595"/>
      <c r="G42" s="180"/>
      <c r="H42" s="180"/>
      <c r="I42" s="181"/>
      <c r="J42" s="181"/>
      <c r="K42" s="184"/>
    </row>
    <row r="43" spans="2:15" ht="18" customHeight="1" x14ac:dyDescent="0.35">
      <c r="B43" s="1431" t="s">
        <v>0</v>
      </c>
      <c r="C43" s="1431"/>
      <c r="D43" s="1431"/>
      <c r="E43" s="1431"/>
      <c r="G43" s="180"/>
      <c r="H43" s="180"/>
      <c r="I43" s="181"/>
      <c r="J43" s="181"/>
      <c r="K43" s="184"/>
    </row>
    <row r="44" spans="2:15" ht="18" customHeight="1" x14ac:dyDescent="0.35">
      <c r="B44" s="2" t="s">
        <v>7</v>
      </c>
      <c r="C44" s="270" t="s">
        <v>8</v>
      </c>
      <c r="D44" s="217" t="s">
        <v>4</v>
      </c>
      <c r="E44" s="597" t="s">
        <v>9</v>
      </c>
      <c r="G44" s="180"/>
      <c r="H44" s="180"/>
      <c r="I44" s="181"/>
      <c r="J44" s="181"/>
      <c r="K44" s="184"/>
    </row>
    <row r="45" spans="2:15" ht="18" customHeight="1" x14ac:dyDescent="0.35">
      <c r="B45" s="772" t="s">
        <v>253</v>
      </c>
      <c r="C45" s="258">
        <v>194</v>
      </c>
      <c r="D45" s="194">
        <v>702.5</v>
      </c>
      <c r="E45" s="598">
        <f>+C45*D45</f>
        <v>136285</v>
      </c>
      <c r="F45" s="771" t="s">
        <v>414</v>
      </c>
      <c r="G45" s="180"/>
      <c r="H45" s="180"/>
      <c r="I45" s="181"/>
      <c r="J45" s="181"/>
      <c r="K45" s="184"/>
    </row>
    <row r="46" spans="2:15" ht="18" customHeight="1" x14ac:dyDescent="0.35">
      <c r="B46" s="772" t="s">
        <v>394</v>
      </c>
      <c r="C46" s="258">
        <v>8</v>
      </c>
      <c r="D46" s="194">
        <v>702.5</v>
      </c>
      <c r="E46" s="598">
        <f>+C46*D46</f>
        <v>5620</v>
      </c>
      <c r="G46" s="180"/>
      <c r="H46" s="180"/>
      <c r="I46" s="181"/>
      <c r="J46" s="181"/>
      <c r="K46" s="184"/>
    </row>
    <row r="47" spans="2:15" ht="15" customHeight="1" x14ac:dyDescent="0.35">
      <c r="B47" s="772" t="s">
        <v>196</v>
      </c>
      <c r="C47" s="258"/>
      <c r="D47" s="194"/>
      <c r="E47" s="598">
        <v>10000</v>
      </c>
      <c r="G47" s="180"/>
      <c r="H47" s="180"/>
      <c r="I47" s="181"/>
      <c r="J47" s="181"/>
      <c r="K47" s="184"/>
      <c r="L47" s="788"/>
    </row>
    <row r="48" spans="2:15" ht="15" customHeight="1" x14ac:dyDescent="0.35">
      <c r="B48" s="772" t="s">
        <v>195</v>
      </c>
      <c r="C48" s="315">
        <v>11</v>
      </c>
      <c r="D48" s="194">
        <f>+D45*1.5</f>
        <v>1053.75</v>
      </c>
      <c r="E48" s="598">
        <f>+D48*C48</f>
        <v>11591.25</v>
      </c>
      <c r="G48" s="180"/>
      <c r="H48" s="180"/>
      <c r="I48" s="181"/>
      <c r="J48" s="181"/>
      <c r="K48" s="184"/>
      <c r="L48" s="788"/>
    </row>
    <row r="49" spans="2:22" ht="15" customHeight="1" x14ac:dyDescent="0.35">
      <c r="B49" s="772" t="s">
        <v>6</v>
      </c>
      <c r="C49" s="258">
        <v>20000</v>
      </c>
      <c r="D49" s="194"/>
      <c r="E49" s="598">
        <f>+C49</f>
        <v>20000</v>
      </c>
      <c r="G49" s="180"/>
      <c r="H49" s="180"/>
      <c r="I49" s="181"/>
      <c r="J49" s="181"/>
      <c r="K49" s="184"/>
    </row>
    <row r="50" spans="2:22" ht="15" customHeight="1" x14ac:dyDescent="0.35">
      <c r="B50" s="772" t="s">
        <v>395</v>
      </c>
      <c r="C50" s="258">
        <v>2</v>
      </c>
      <c r="D50" s="194">
        <v>3000</v>
      </c>
      <c r="E50" s="598">
        <f>+C50*D50</f>
        <v>6000</v>
      </c>
      <c r="M50" s="176"/>
      <c r="N50" s="180"/>
      <c r="O50" s="180"/>
      <c r="P50" s="181"/>
      <c r="Q50" s="181"/>
      <c r="R50" s="184"/>
    </row>
    <row r="51" spans="2:22" ht="15" customHeight="1" x14ac:dyDescent="0.35">
      <c r="B51" s="1432" t="s">
        <v>99</v>
      </c>
      <c r="C51" s="1432"/>
      <c r="D51" s="1432"/>
      <c r="E51" s="599">
        <f>+E45+E46+E47+E48+E49+E50</f>
        <v>189496.25</v>
      </c>
      <c r="F51" s="774" t="s">
        <v>63</v>
      </c>
      <c r="M51" s="176"/>
      <c r="N51" s="176"/>
      <c r="O51" s="176"/>
      <c r="P51" s="181"/>
      <c r="Q51" s="181"/>
      <c r="R51" s="184"/>
      <c r="T51" s="788"/>
    </row>
    <row r="52" spans="2:22" s="788" customFormat="1" ht="15" customHeight="1" x14ac:dyDescent="0.35">
      <c r="B52" s="723" t="s">
        <v>333</v>
      </c>
      <c r="C52" s="727" t="s">
        <v>63</v>
      </c>
      <c r="D52" s="727" t="s">
        <v>63</v>
      </c>
      <c r="E52" s="722">
        <v>-67691.67</v>
      </c>
      <c r="F52" s="649" t="s">
        <v>63</v>
      </c>
      <c r="G52" s="771"/>
      <c r="H52" s="771"/>
      <c r="I52" s="771"/>
      <c r="J52" s="771"/>
      <c r="K52" s="771"/>
      <c r="L52" s="771"/>
      <c r="M52" s="176"/>
      <c r="N52" s="176"/>
      <c r="O52" s="176"/>
      <c r="P52" s="176"/>
      <c r="Q52" s="176"/>
      <c r="R52" s="176"/>
      <c r="S52" s="771"/>
      <c r="T52" s="771"/>
      <c r="U52" s="771"/>
      <c r="V52" s="771"/>
    </row>
    <row r="53" spans="2:22" s="788" customFormat="1" ht="15" customHeight="1" x14ac:dyDescent="0.35">
      <c r="B53" s="672"/>
      <c r="C53" s="673" t="s">
        <v>11</v>
      </c>
      <c r="D53" s="674"/>
      <c r="E53" s="675">
        <f>+E51+E52</f>
        <v>121804.58</v>
      </c>
      <c r="F53" s="649" t="s">
        <v>63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ht="15" customHeight="1" x14ac:dyDescent="0.35">
      <c r="C54" s="771"/>
      <c r="D54" s="771"/>
      <c r="E54" s="771"/>
      <c r="N54" s="183"/>
      <c r="O54" s="183"/>
      <c r="P54" s="176"/>
      <c r="Q54" s="176"/>
      <c r="R54" s="176"/>
      <c r="T54" s="788"/>
    </row>
    <row r="55" spans="2:22" s="90" customFormat="1" ht="15" customHeight="1" x14ac:dyDescent="0.35">
      <c r="N55" s="455"/>
      <c r="O55" s="455"/>
      <c r="P55" s="728"/>
      <c r="Q55" s="728"/>
      <c r="R55" s="728"/>
      <c r="T55" s="792"/>
    </row>
    <row r="56" spans="2:22" s="690" customFormat="1" ht="15" customHeight="1" x14ac:dyDescent="0.35">
      <c r="G56" s="671"/>
      <c r="H56" s="671"/>
      <c r="I56" s="671"/>
      <c r="J56" s="671"/>
      <c r="K56" s="671"/>
      <c r="L56" s="671"/>
      <c r="M56" s="691"/>
      <c r="N56" s="691"/>
      <c r="O56" s="691"/>
      <c r="P56" s="691"/>
      <c r="Q56" s="691"/>
      <c r="R56" s="691"/>
      <c r="S56" s="671"/>
      <c r="T56" s="671"/>
      <c r="U56" s="671"/>
      <c r="V56" s="671"/>
    </row>
    <row r="57" spans="2:22" s="788" customFormat="1" ht="15" customHeight="1" x14ac:dyDescent="0.35">
      <c r="B57" s="1431" t="s">
        <v>28</v>
      </c>
      <c r="C57" s="1431"/>
      <c r="D57" s="1431"/>
      <c r="E57" s="1431"/>
      <c r="F57" s="771"/>
      <c r="G57" s="771"/>
      <c r="H57" s="771"/>
      <c r="I57" s="771"/>
      <c r="J57" s="771"/>
      <c r="K57" s="771"/>
      <c r="L57" s="771"/>
      <c r="M57" s="771"/>
      <c r="N57" s="176"/>
      <c r="O57" s="176"/>
      <c r="P57" s="176"/>
      <c r="Q57" s="176"/>
      <c r="R57" s="176"/>
      <c r="S57" s="771"/>
      <c r="U57" s="771"/>
    </row>
    <row r="58" spans="2:22" s="788" customFormat="1" ht="15" customHeight="1" x14ac:dyDescent="0.35">
      <c r="B58" s="2" t="s">
        <v>7</v>
      </c>
      <c r="C58" s="270" t="s">
        <v>8</v>
      </c>
      <c r="D58" s="217" t="s">
        <v>4</v>
      </c>
      <c r="E58" s="597" t="s">
        <v>9</v>
      </c>
      <c r="F58" s="771"/>
      <c r="G58" s="771"/>
      <c r="H58" s="771"/>
      <c r="I58" s="771"/>
      <c r="J58" s="771"/>
      <c r="K58" s="771"/>
      <c r="L58" s="771"/>
      <c r="M58" s="771"/>
      <c r="N58" s="176"/>
      <c r="O58" s="176"/>
      <c r="P58" s="176"/>
      <c r="Q58" s="176"/>
      <c r="R58" s="176"/>
      <c r="S58" s="771"/>
      <c r="U58" s="771"/>
    </row>
    <row r="59" spans="2:22" ht="15" customHeight="1" x14ac:dyDescent="0.35">
      <c r="B59" s="772" t="s">
        <v>3</v>
      </c>
      <c r="C59" s="315">
        <v>132</v>
      </c>
      <c r="D59" s="194">
        <v>662.5</v>
      </c>
      <c r="E59" s="598">
        <f>+C59*D59</f>
        <v>87450</v>
      </c>
      <c r="N59" s="176"/>
      <c r="O59" s="176"/>
      <c r="P59" s="176"/>
      <c r="Q59" s="176"/>
      <c r="R59" s="176"/>
    </row>
    <row r="60" spans="2:22" ht="15" customHeight="1" x14ac:dyDescent="0.35">
      <c r="B60" s="772" t="s">
        <v>398</v>
      </c>
      <c r="C60" s="315">
        <v>8</v>
      </c>
      <c r="D60" s="194">
        <v>662.5</v>
      </c>
      <c r="E60" s="598">
        <f>+C60*D60</f>
        <v>5300</v>
      </c>
      <c r="N60" s="176"/>
      <c r="O60" s="176"/>
      <c r="P60" s="176"/>
      <c r="Q60" s="176"/>
      <c r="R60" s="176"/>
    </row>
    <row r="61" spans="2:22" ht="15" customHeight="1" x14ac:dyDescent="0.35">
      <c r="B61" s="772" t="s">
        <v>399</v>
      </c>
      <c r="C61" s="315">
        <v>60</v>
      </c>
      <c r="D61" s="194">
        <v>662.5</v>
      </c>
      <c r="E61" s="598">
        <f>+C61*D61</f>
        <v>39750</v>
      </c>
      <c r="N61" s="176"/>
      <c r="O61" s="176"/>
      <c r="P61" s="176"/>
      <c r="Q61" s="176"/>
      <c r="R61" s="176"/>
    </row>
    <row r="62" spans="2:22" ht="15" customHeight="1" x14ac:dyDescent="0.35">
      <c r="B62" s="772" t="s">
        <v>200</v>
      </c>
      <c r="C62" s="315" t="s">
        <v>63</v>
      </c>
      <c r="D62" s="194"/>
      <c r="E62" s="598" t="s">
        <v>63</v>
      </c>
      <c r="N62" s="176"/>
      <c r="O62" s="176"/>
      <c r="P62" s="176"/>
      <c r="Q62" s="176"/>
      <c r="R62" s="176"/>
    </row>
    <row r="63" spans="2:22" ht="15" customHeight="1" x14ac:dyDescent="0.35">
      <c r="B63" s="772" t="s">
        <v>195</v>
      </c>
      <c r="C63" s="315">
        <v>7.5</v>
      </c>
      <c r="D63" s="194">
        <f>+D59*1.5</f>
        <v>993.75</v>
      </c>
      <c r="E63" s="598">
        <f>+C63*D63</f>
        <v>7453.125</v>
      </c>
      <c r="N63" s="176"/>
      <c r="O63" s="176"/>
      <c r="P63" s="176"/>
      <c r="Q63" s="176"/>
      <c r="R63" s="176"/>
    </row>
    <row r="64" spans="2:22" ht="15" customHeight="1" x14ac:dyDescent="0.35">
      <c r="B64" s="772" t="s">
        <v>6</v>
      </c>
      <c r="C64" s="315">
        <v>20000</v>
      </c>
      <c r="D64" s="194"/>
      <c r="E64" s="598">
        <f>+C64</f>
        <v>20000</v>
      </c>
      <c r="N64" s="176"/>
      <c r="O64" s="176"/>
      <c r="P64" s="176"/>
      <c r="Q64" s="176"/>
      <c r="R64" s="176"/>
    </row>
    <row r="65" spans="2:22" ht="15" customHeight="1" x14ac:dyDescent="0.35">
      <c r="B65" s="772" t="s">
        <v>400</v>
      </c>
      <c r="C65" s="315">
        <v>1</v>
      </c>
      <c r="D65" s="194">
        <v>3000</v>
      </c>
      <c r="E65" s="598">
        <f>+C65*D65</f>
        <v>3000</v>
      </c>
      <c r="F65" s="774" t="s">
        <v>63</v>
      </c>
      <c r="N65" s="176"/>
      <c r="O65" s="176"/>
      <c r="P65" s="176"/>
      <c r="Q65" s="176"/>
      <c r="R65" s="176"/>
    </row>
    <row r="66" spans="2:22" ht="15" customHeight="1" x14ac:dyDescent="0.35">
      <c r="B66" s="1432" t="s">
        <v>99</v>
      </c>
      <c r="C66" s="1432"/>
      <c r="D66" s="1432"/>
      <c r="E66" s="599">
        <f>+E59+E60+E61+E63+E64+E65</f>
        <v>162953.125</v>
      </c>
      <c r="F66" s="774" t="s">
        <v>63</v>
      </c>
      <c r="N66" s="176"/>
      <c r="O66" s="176"/>
      <c r="P66" s="176"/>
      <c r="Q66" s="176"/>
      <c r="R66" s="176"/>
    </row>
    <row r="67" spans="2:22" ht="15" customHeight="1" x14ac:dyDescent="0.35">
      <c r="B67" s="789" t="s">
        <v>375</v>
      </c>
      <c r="C67" s="789"/>
      <c r="D67" s="789" t="s">
        <v>63</v>
      </c>
      <c r="E67" s="600">
        <v>-63990.27</v>
      </c>
      <c r="N67" s="176"/>
      <c r="O67" s="176"/>
      <c r="P67" s="176"/>
      <c r="Q67" s="176"/>
      <c r="R67" s="176"/>
    </row>
    <row r="68" spans="2:22" ht="15" customHeight="1" x14ac:dyDescent="0.35">
      <c r="B68" s="684"/>
      <c r="C68" s="685" t="s">
        <v>11</v>
      </c>
      <c r="D68" s="686"/>
      <c r="E68" s="687">
        <f>+E66+E67</f>
        <v>98962.85500000001</v>
      </c>
    </row>
    <row r="69" spans="2:22" ht="15" customHeight="1" x14ac:dyDescent="0.35">
      <c r="C69" s="771"/>
      <c r="D69" s="771"/>
      <c r="E69" s="771"/>
    </row>
    <row r="70" spans="2:22" ht="15" customHeight="1" x14ac:dyDescent="0.35">
      <c r="C70" s="771"/>
      <c r="D70" s="771"/>
      <c r="E70" s="771"/>
    </row>
    <row r="71" spans="2:22" ht="15" customHeight="1" x14ac:dyDescent="0.35">
      <c r="B71" s="1442" t="s">
        <v>263</v>
      </c>
      <c r="C71" s="1443"/>
      <c r="D71" s="1443"/>
      <c r="E71" s="1444"/>
      <c r="V71" s="788"/>
    </row>
    <row r="72" spans="2:22" x14ac:dyDescent="0.35">
      <c r="B72" s="2" t="s">
        <v>7</v>
      </c>
      <c r="C72" s="270" t="s">
        <v>8</v>
      </c>
      <c r="D72" s="217" t="s">
        <v>4</v>
      </c>
      <c r="E72" s="597" t="s">
        <v>9</v>
      </c>
    </row>
    <row r="73" spans="2:22" x14ac:dyDescent="0.35">
      <c r="B73" s="772" t="s">
        <v>3</v>
      </c>
      <c r="C73" s="258">
        <v>194</v>
      </c>
      <c r="D73" s="227">
        <v>430</v>
      </c>
      <c r="E73" s="598">
        <f>+C73*D73</f>
        <v>83420</v>
      </c>
      <c r="F73" s="771" t="s">
        <v>414</v>
      </c>
    </row>
    <row r="74" spans="2:22" x14ac:dyDescent="0.35">
      <c r="B74" s="772" t="s">
        <v>398</v>
      </c>
      <c r="C74" s="258">
        <v>8</v>
      </c>
      <c r="D74" s="227">
        <v>430</v>
      </c>
      <c r="E74" s="598">
        <f>+C74*D74</f>
        <v>3440</v>
      </c>
    </row>
    <row r="75" spans="2:22" x14ac:dyDescent="0.35">
      <c r="B75" s="772" t="s">
        <v>266</v>
      </c>
      <c r="C75" s="258"/>
      <c r="D75" s="227"/>
      <c r="E75" s="598">
        <v>10000</v>
      </c>
    </row>
    <row r="76" spans="2:22" x14ac:dyDescent="0.35">
      <c r="B76" s="772" t="s">
        <v>195</v>
      </c>
      <c r="C76" s="258">
        <v>15.5</v>
      </c>
      <c r="D76" s="194">
        <f>+D73*1.5</f>
        <v>645</v>
      </c>
      <c r="E76" s="598">
        <f>+C76*D76</f>
        <v>9997.5</v>
      </c>
    </row>
    <row r="77" spans="2:22" x14ac:dyDescent="0.35">
      <c r="B77" s="772" t="s">
        <v>6</v>
      </c>
      <c r="C77" s="258">
        <v>15000</v>
      </c>
      <c r="D77" s="194"/>
      <c r="E77" s="598">
        <v>15000</v>
      </c>
    </row>
    <row r="78" spans="2:22" x14ac:dyDescent="0.35">
      <c r="B78" s="772" t="s">
        <v>63</v>
      </c>
      <c r="C78" s="258" t="s">
        <v>63</v>
      </c>
      <c r="D78" s="194" t="s">
        <v>63</v>
      </c>
      <c r="E78" s="598" t="s">
        <v>63</v>
      </c>
    </row>
    <row r="79" spans="2:22" x14ac:dyDescent="0.35">
      <c r="B79" s="1439" t="s">
        <v>99</v>
      </c>
      <c r="C79" s="1440"/>
      <c r="D79" s="1441"/>
      <c r="E79" s="599">
        <f>+E73+E74+E75+E76+E77</f>
        <v>121857.5</v>
      </c>
      <c r="F79" s="774" t="s">
        <v>63</v>
      </c>
    </row>
    <row r="80" spans="2:22" x14ac:dyDescent="0.35">
      <c r="B80" s="723" t="s">
        <v>63</v>
      </c>
      <c r="C80" s="720" t="s">
        <v>63</v>
      </c>
      <c r="D80" s="720"/>
      <c r="E80" s="722" t="s">
        <v>63</v>
      </c>
      <c r="F80" s="774" t="s">
        <v>63</v>
      </c>
    </row>
    <row r="81" spans="2:6" x14ac:dyDescent="0.35">
      <c r="B81" s="672"/>
      <c r="C81" s="673" t="s">
        <v>11</v>
      </c>
      <c r="D81" s="674"/>
      <c r="E81" s="675">
        <f>+E73+E74+E75+E76+E77</f>
        <v>121857.5</v>
      </c>
    </row>
    <row r="82" spans="2:6" x14ac:dyDescent="0.35">
      <c r="C82" s="771"/>
      <c r="D82" s="771"/>
      <c r="E82" s="771"/>
    </row>
    <row r="85" spans="2:6" ht="23.5" x14ac:dyDescent="0.35">
      <c r="B85" s="1442" t="s">
        <v>301</v>
      </c>
      <c r="C85" s="1443"/>
      <c r="D85" s="1443"/>
      <c r="E85" s="1444"/>
    </row>
    <row r="86" spans="2:6" x14ac:dyDescent="0.35">
      <c r="B86" s="2" t="s">
        <v>7</v>
      </c>
      <c r="C86" s="270" t="s">
        <v>8</v>
      </c>
      <c r="D86" s="217" t="s">
        <v>4</v>
      </c>
      <c r="E86" s="597" t="s">
        <v>9</v>
      </c>
    </row>
    <row r="87" spans="2:6" x14ac:dyDescent="0.35">
      <c r="B87" s="772" t="s">
        <v>3</v>
      </c>
      <c r="C87" s="258">
        <v>194</v>
      </c>
      <c r="D87" s="227">
        <v>375</v>
      </c>
      <c r="E87" s="598">
        <f>+C87*D87</f>
        <v>72750</v>
      </c>
      <c r="F87" s="771" t="s">
        <v>414</v>
      </c>
    </row>
    <row r="88" spans="2:6" x14ac:dyDescent="0.35">
      <c r="B88" s="772" t="s">
        <v>401</v>
      </c>
      <c r="C88" s="258">
        <v>8</v>
      </c>
      <c r="D88" s="227">
        <v>375</v>
      </c>
      <c r="E88" s="598">
        <f>+C88*D88</f>
        <v>3000</v>
      </c>
    </row>
    <row r="89" spans="2:6" x14ac:dyDescent="0.35">
      <c r="B89" s="772" t="s">
        <v>200</v>
      </c>
      <c r="C89" s="258"/>
      <c r="D89" s="227"/>
      <c r="E89" s="598">
        <v>10000</v>
      </c>
    </row>
    <row r="90" spans="2:6" x14ac:dyDescent="0.35">
      <c r="B90" s="772" t="s">
        <v>195</v>
      </c>
      <c r="C90" s="258">
        <v>20.5</v>
      </c>
      <c r="D90" s="194">
        <f>+D87*1.5</f>
        <v>562.5</v>
      </c>
      <c r="E90" s="598">
        <f>+C90*D90</f>
        <v>11531.25</v>
      </c>
    </row>
    <row r="91" spans="2:6" x14ac:dyDescent="0.35">
      <c r="B91" s="772" t="s">
        <v>6</v>
      </c>
      <c r="C91" s="258">
        <v>10000</v>
      </c>
      <c r="D91" s="194"/>
      <c r="E91" s="598">
        <v>10000</v>
      </c>
      <c r="F91" s="771" t="s">
        <v>63</v>
      </c>
    </row>
    <row r="92" spans="2:6" x14ac:dyDescent="0.35">
      <c r="B92" s="772" t="s">
        <v>63</v>
      </c>
      <c r="C92" s="258" t="s">
        <v>63</v>
      </c>
      <c r="D92" s="194" t="s">
        <v>63</v>
      </c>
      <c r="E92" s="598" t="s">
        <v>63</v>
      </c>
    </row>
    <row r="93" spans="2:6" x14ac:dyDescent="0.35">
      <c r="B93" s="1439" t="s">
        <v>99</v>
      </c>
      <c r="C93" s="1440"/>
      <c r="D93" s="1441"/>
      <c r="E93" s="599">
        <f>+E87+E88+E89+E90+E91</f>
        <v>107281.25</v>
      </c>
      <c r="F93" s="774" t="s">
        <v>63</v>
      </c>
    </row>
    <row r="94" spans="2:6" x14ac:dyDescent="0.35">
      <c r="B94" s="724" t="s">
        <v>19</v>
      </c>
      <c r="C94" s="729" t="s">
        <v>63</v>
      </c>
      <c r="D94" s="730" t="s">
        <v>63</v>
      </c>
      <c r="E94" s="731">
        <v>-15000</v>
      </c>
      <c r="F94" s="774" t="s">
        <v>63</v>
      </c>
    </row>
    <row r="95" spans="2:6" x14ac:dyDescent="0.35">
      <c r="B95" s="739" t="s">
        <v>402</v>
      </c>
      <c r="C95" s="729"/>
      <c r="D95" s="730"/>
      <c r="E95" s="731">
        <v>-10000</v>
      </c>
    </row>
    <row r="96" spans="2:6" s="755" customFormat="1" ht="23.5" x14ac:dyDescent="0.55000000000000004">
      <c r="B96" s="751"/>
      <c r="C96" s="752" t="s">
        <v>11</v>
      </c>
      <c r="D96" s="753"/>
      <c r="E96" s="754">
        <f>+E93+E94+E95</f>
        <v>82281.25</v>
      </c>
      <c r="F96" s="770" t="s">
        <v>63</v>
      </c>
    </row>
    <row r="100" spans="2:6" ht="21" customHeight="1" x14ac:dyDescent="0.35">
      <c r="B100" s="1442" t="s">
        <v>354</v>
      </c>
      <c r="C100" s="1443"/>
      <c r="D100" s="1443"/>
      <c r="E100" s="1444"/>
    </row>
    <row r="101" spans="2:6" ht="21" customHeight="1" x14ac:dyDescent="0.35">
      <c r="B101" s="2" t="s">
        <v>7</v>
      </c>
      <c r="C101" s="270" t="s">
        <v>8</v>
      </c>
      <c r="D101" s="217" t="s">
        <v>4</v>
      </c>
      <c r="E101" s="597" t="s">
        <v>9</v>
      </c>
    </row>
    <row r="102" spans="2:6" ht="14.5" customHeight="1" x14ac:dyDescent="0.35">
      <c r="B102" s="772" t="s">
        <v>3</v>
      </c>
      <c r="C102" s="258">
        <v>194</v>
      </c>
      <c r="D102" s="227">
        <v>430</v>
      </c>
      <c r="E102" s="598">
        <f>+C102*D102</f>
        <v>83420</v>
      </c>
      <c r="F102" s="771" t="s">
        <v>414</v>
      </c>
    </row>
    <row r="103" spans="2:6" ht="13.5" customHeight="1" x14ac:dyDescent="0.35">
      <c r="B103" s="772" t="s">
        <v>394</v>
      </c>
      <c r="C103" s="258">
        <v>8</v>
      </c>
      <c r="D103" s="227">
        <v>430</v>
      </c>
      <c r="E103" s="598">
        <f>+C103*D103</f>
        <v>3440</v>
      </c>
    </row>
    <row r="104" spans="2:6" x14ac:dyDescent="0.35">
      <c r="B104" s="772" t="s">
        <v>266</v>
      </c>
      <c r="C104" s="258"/>
      <c r="D104" s="227"/>
      <c r="E104" s="598">
        <v>10000</v>
      </c>
    </row>
    <row r="105" spans="2:6" x14ac:dyDescent="0.35">
      <c r="B105" s="772" t="s">
        <v>195</v>
      </c>
      <c r="C105" s="258">
        <v>12</v>
      </c>
      <c r="D105" s="194">
        <f>+D102*1.5</f>
        <v>645</v>
      </c>
      <c r="E105" s="598">
        <f>+C105*D105</f>
        <v>7740</v>
      </c>
    </row>
    <row r="106" spans="2:6" x14ac:dyDescent="0.35">
      <c r="B106" s="772" t="s">
        <v>6</v>
      </c>
      <c r="C106" s="258">
        <v>15000</v>
      </c>
      <c r="D106" s="194"/>
      <c r="E106" s="598">
        <v>15000</v>
      </c>
    </row>
    <row r="107" spans="2:6" x14ac:dyDescent="0.35">
      <c r="B107" s="772" t="s">
        <v>303</v>
      </c>
      <c r="C107" s="258" t="s">
        <v>63</v>
      </c>
      <c r="D107" s="194" t="s">
        <v>63</v>
      </c>
      <c r="E107" s="598">
        <v>20000</v>
      </c>
    </row>
    <row r="108" spans="2:6" x14ac:dyDescent="0.35">
      <c r="B108" s="1439" t="s">
        <v>99</v>
      </c>
      <c r="C108" s="1440"/>
      <c r="D108" s="1441"/>
      <c r="E108" s="599">
        <f>+E102+E103+E104+E105+E106+E107</f>
        <v>139600</v>
      </c>
      <c r="F108" s="774" t="s">
        <v>63</v>
      </c>
    </row>
    <row r="109" spans="2:6" x14ac:dyDescent="0.35">
      <c r="B109" s="723" t="s">
        <v>19</v>
      </c>
      <c r="C109" s="720" t="s">
        <v>63</v>
      </c>
      <c r="D109" s="720"/>
      <c r="E109" s="722">
        <v>-20000</v>
      </c>
      <c r="F109" s="774" t="s">
        <v>63</v>
      </c>
    </row>
    <row r="110" spans="2:6" s="760" customFormat="1" ht="21" x14ac:dyDescent="0.5">
      <c r="B110" s="756"/>
      <c r="C110" s="757" t="s">
        <v>11</v>
      </c>
      <c r="D110" s="758"/>
      <c r="E110" s="759">
        <f>+E108+E109</f>
        <v>119600</v>
      </c>
      <c r="F110" s="797" t="s">
        <v>63</v>
      </c>
    </row>
    <row r="113" spans="2:6" ht="23.5" x14ac:dyDescent="0.35">
      <c r="B113" s="1442" t="s">
        <v>260</v>
      </c>
      <c r="C113" s="1443"/>
      <c r="D113" s="1443"/>
      <c r="E113" s="1444"/>
    </row>
    <row r="114" spans="2:6" x14ac:dyDescent="0.35">
      <c r="B114" s="2" t="s">
        <v>7</v>
      </c>
      <c r="C114" s="270" t="s">
        <v>8</v>
      </c>
      <c r="D114" s="217" t="s">
        <v>4</v>
      </c>
      <c r="E114" s="597" t="s">
        <v>9</v>
      </c>
    </row>
    <row r="115" spans="2:6" x14ac:dyDescent="0.35">
      <c r="B115" s="772" t="s">
        <v>3</v>
      </c>
      <c r="C115" s="258">
        <v>173.5</v>
      </c>
      <c r="D115" s="194">
        <v>662</v>
      </c>
      <c r="E115" s="598">
        <f>+C115*D115</f>
        <v>114857</v>
      </c>
      <c r="F115" s="771" t="s">
        <v>417</v>
      </c>
    </row>
    <row r="116" spans="2:6" x14ac:dyDescent="0.35">
      <c r="B116" s="772" t="s">
        <v>403</v>
      </c>
      <c r="C116" s="258">
        <v>8</v>
      </c>
      <c r="D116" s="194">
        <v>662</v>
      </c>
      <c r="E116" s="609">
        <f>+C116*D116</f>
        <v>5296</v>
      </c>
    </row>
    <row r="117" spans="2:6" x14ac:dyDescent="0.35">
      <c r="B117" s="772" t="s">
        <v>6</v>
      </c>
      <c r="C117" s="258"/>
      <c r="D117" s="194"/>
      <c r="E117" s="609">
        <v>10000</v>
      </c>
    </row>
    <row r="118" spans="2:6" x14ac:dyDescent="0.35">
      <c r="B118" s="614" t="s">
        <v>200</v>
      </c>
      <c r="C118" s="617"/>
      <c r="D118" s="227"/>
      <c r="E118" s="609">
        <v>10000</v>
      </c>
      <c r="F118" s="774" t="s">
        <v>63</v>
      </c>
    </row>
    <row r="119" spans="2:6" x14ac:dyDescent="0.35">
      <c r="B119" s="621" t="s">
        <v>99</v>
      </c>
      <c r="C119" s="622"/>
      <c r="D119" s="622"/>
      <c r="E119" s="634">
        <f>+E115+E116+E117+E118</f>
        <v>140153</v>
      </c>
    </row>
    <row r="120" spans="2:6" x14ac:dyDescent="0.35">
      <c r="B120" s="615" t="s">
        <v>404</v>
      </c>
      <c r="C120" s="619"/>
      <c r="D120" s="619"/>
      <c r="E120" s="710">
        <v>-30000</v>
      </c>
    </row>
    <row r="121" spans="2:6" x14ac:dyDescent="0.35">
      <c r="B121" s="615" t="s">
        <v>63</v>
      </c>
      <c r="C121" s="709"/>
      <c r="D121" s="619"/>
      <c r="E121" s="710" t="s">
        <v>63</v>
      </c>
      <c r="F121" s="774" t="s">
        <v>63</v>
      </c>
    </row>
    <row r="122" spans="2:6" ht="15.5" x14ac:dyDescent="0.35">
      <c r="B122" s="705" t="s">
        <v>11</v>
      </c>
      <c r="C122" s="708"/>
      <c r="D122" s="706"/>
      <c r="E122" s="603">
        <f>+E119+E120</f>
        <v>110153</v>
      </c>
    </row>
    <row r="123" spans="2:6" x14ac:dyDescent="0.35">
      <c r="F123" s="774" t="s">
        <v>63</v>
      </c>
    </row>
    <row r="125" spans="2:6" ht="23.5" x14ac:dyDescent="0.35">
      <c r="B125" s="1442" t="s">
        <v>264</v>
      </c>
      <c r="C125" s="1443"/>
      <c r="D125" s="1443"/>
      <c r="E125" s="1444"/>
    </row>
    <row r="126" spans="2:6" x14ac:dyDescent="0.35">
      <c r="B126" s="2" t="s">
        <v>7</v>
      </c>
      <c r="C126" s="270" t="s">
        <v>8</v>
      </c>
      <c r="D126" s="217" t="s">
        <v>4</v>
      </c>
      <c r="E126" s="597" t="s">
        <v>9</v>
      </c>
    </row>
    <row r="127" spans="2:6" x14ac:dyDescent="0.35">
      <c r="B127" s="772" t="s">
        <v>3</v>
      </c>
      <c r="C127" s="258">
        <v>194</v>
      </c>
      <c r="D127" s="227">
        <v>375</v>
      </c>
      <c r="E127" s="598">
        <f>+D127*C127</f>
        <v>72750</v>
      </c>
      <c r="F127" s="771" t="s">
        <v>414</v>
      </c>
    </row>
    <row r="128" spans="2:6" x14ac:dyDescent="0.35">
      <c r="B128" s="772" t="s">
        <v>401</v>
      </c>
      <c r="C128" s="258">
        <v>8</v>
      </c>
      <c r="D128" s="227">
        <v>375</v>
      </c>
      <c r="E128" s="598">
        <f>+C128*D128</f>
        <v>3000</v>
      </c>
    </row>
    <row r="129" spans="2:6" x14ac:dyDescent="0.35">
      <c r="B129" s="772" t="s">
        <v>405</v>
      </c>
      <c r="C129" s="258">
        <v>-8</v>
      </c>
      <c r="D129" s="227">
        <v>375</v>
      </c>
      <c r="E129" s="598">
        <f>+C129*D129:D130</f>
        <v>-3000</v>
      </c>
    </row>
    <row r="130" spans="2:6" x14ac:dyDescent="0.35">
      <c r="B130" s="772" t="s">
        <v>196</v>
      </c>
      <c r="C130" s="258"/>
      <c r="D130" s="227"/>
      <c r="E130" s="598">
        <v>10000</v>
      </c>
    </row>
    <row r="131" spans="2:6" x14ac:dyDescent="0.35">
      <c r="B131" s="772" t="s">
        <v>195</v>
      </c>
      <c r="C131" s="258">
        <v>20.5</v>
      </c>
      <c r="D131" s="227">
        <f>+D127*1.5</f>
        <v>562.5</v>
      </c>
      <c r="E131" s="598">
        <f>+C131*D131</f>
        <v>11531.25</v>
      </c>
    </row>
    <row r="132" spans="2:6" x14ac:dyDescent="0.35">
      <c r="B132" s="772" t="s">
        <v>6</v>
      </c>
      <c r="C132" s="258">
        <v>10000</v>
      </c>
      <c r="D132" s="227"/>
      <c r="E132" s="598">
        <v>10000</v>
      </c>
    </row>
    <row r="133" spans="2:6" x14ac:dyDescent="0.35">
      <c r="B133" s="1439" t="s">
        <v>99</v>
      </c>
      <c r="C133" s="1440"/>
      <c r="D133" s="1441"/>
      <c r="E133" s="599">
        <f>+E127+E128+E129+E130+E131+E132</f>
        <v>104281.25</v>
      </c>
      <c r="F133" s="774" t="s">
        <v>63</v>
      </c>
    </row>
    <row r="134" spans="2:6" x14ac:dyDescent="0.35">
      <c r="B134" s="723" t="s">
        <v>50</v>
      </c>
      <c r="C134" s="721"/>
      <c r="D134" s="721"/>
      <c r="E134" s="722">
        <v>-18500</v>
      </c>
      <c r="F134" s="774" t="s">
        <v>63</v>
      </c>
    </row>
    <row r="135" spans="2:6" x14ac:dyDescent="0.35">
      <c r="B135" s="794" t="s">
        <v>406</v>
      </c>
      <c r="C135" s="790" t="s">
        <v>407</v>
      </c>
      <c r="D135" s="791"/>
      <c r="E135" s="600">
        <v>-10000</v>
      </c>
    </row>
    <row r="136" spans="2:6" ht="15.5" x14ac:dyDescent="0.35">
      <c r="B136" s="1446" t="s">
        <v>11</v>
      </c>
      <c r="C136" s="1447"/>
      <c r="D136" s="1448"/>
      <c r="E136" s="603">
        <f>+E133+E134+E135</f>
        <v>75781.25</v>
      </c>
      <c r="F136" s="774" t="s">
        <v>63</v>
      </c>
    </row>
    <row r="139" spans="2:6" ht="23.5" x14ac:dyDescent="0.35">
      <c r="B139" s="1442" t="s">
        <v>386</v>
      </c>
      <c r="C139" s="1443"/>
      <c r="D139" s="1443"/>
      <c r="E139" s="1444"/>
    </row>
    <row r="140" spans="2:6" x14ac:dyDescent="0.35">
      <c r="B140" s="801" t="s">
        <v>7</v>
      </c>
      <c r="C140" s="802" t="s">
        <v>388</v>
      </c>
      <c r="D140" s="803" t="s">
        <v>272</v>
      </c>
      <c r="E140" s="804" t="s">
        <v>9</v>
      </c>
    </row>
    <row r="141" spans="2:6" x14ac:dyDescent="0.35">
      <c r="B141" s="805" t="s">
        <v>419</v>
      </c>
      <c r="C141" s="806">
        <v>33</v>
      </c>
      <c r="D141" s="807">
        <v>450</v>
      </c>
      <c r="E141" s="808">
        <f>+C141*D141</f>
        <v>14850</v>
      </c>
    </row>
    <row r="142" spans="2:6" x14ac:dyDescent="0.35">
      <c r="B142" s="805" t="s">
        <v>424</v>
      </c>
      <c r="C142" s="806"/>
      <c r="D142" s="807"/>
      <c r="E142" s="808">
        <v>150</v>
      </c>
    </row>
    <row r="143" spans="2:6" x14ac:dyDescent="0.35">
      <c r="B143" s="805" t="s">
        <v>420</v>
      </c>
      <c r="C143" s="809"/>
      <c r="D143" s="807"/>
      <c r="E143" s="808">
        <v>-15000</v>
      </c>
    </row>
    <row r="144" spans="2:6" x14ac:dyDescent="0.35">
      <c r="B144" s="805" t="s">
        <v>421</v>
      </c>
      <c r="C144" s="806">
        <v>42</v>
      </c>
      <c r="D144" s="807">
        <v>450</v>
      </c>
      <c r="E144" s="808">
        <f>+C144*D144</f>
        <v>18900</v>
      </c>
    </row>
    <row r="145" spans="2:6" x14ac:dyDescent="0.35">
      <c r="B145" s="805" t="s">
        <v>422</v>
      </c>
      <c r="C145" s="809"/>
      <c r="D145" s="810"/>
      <c r="E145" s="808">
        <v>-18900</v>
      </c>
    </row>
    <row r="146" spans="2:6" x14ac:dyDescent="0.35">
      <c r="B146" s="805" t="s">
        <v>421</v>
      </c>
      <c r="C146" s="806">
        <v>44</v>
      </c>
      <c r="D146" s="807">
        <v>500</v>
      </c>
      <c r="E146" s="808">
        <f>+C146*D146</f>
        <v>22000</v>
      </c>
    </row>
    <row r="147" spans="2:6" x14ac:dyDescent="0.35">
      <c r="B147" s="805" t="s">
        <v>423</v>
      </c>
      <c r="C147" s="806" t="s">
        <v>63</v>
      </c>
      <c r="D147" s="810"/>
      <c r="E147" s="808">
        <v>-22000</v>
      </c>
    </row>
    <row r="148" spans="2:6" x14ac:dyDescent="0.35">
      <c r="B148" s="614" t="s">
        <v>410</v>
      </c>
      <c r="C148" s="617">
        <v>80</v>
      </c>
      <c r="D148" s="227">
        <v>500</v>
      </c>
      <c r="E148" s="811">
        <f>+C148*D148</f>
        <v>40000</v>
      </c>
    </row>
    <row r="149" spans="2:6" x14ac:dyDescent="0.35">
      <c r="B149" s="614" t="s">
        <v>394</v>
      </c>
      <c r="C149" s="617">
        <v>8</v>
      </c>
      <c r="D149" s="227">
        <v>500</v>
      </c>
      <c r="E149" s="811">
        <f>+C149*D149</f>
        <v>4000</v>
      </c>
    </row>
    <row r="150" spans="2:6" x14ac:dyDescent="0.35">
      <c r="B150" s="614" t="s">
        <v>22</v>
      </c>
      <c r="C150" s="617">
        <v>20</v>
      </c>
      <c r="D150" s="227">
        <f>+D148*1.5</f>
        <v>750</v>
      </c>
      <c r="E150" s="811">
        <f>+C150*D150</f>
        <v>15000</v>
      </c>
      <c r="F150" s="774" t="s">
        <v>63</v>
      </c>
    </row>
    <row r="151" spans="2:6" x14ac:dyDescent="0.35">
      <c r="B151" s="614" t="s">
        <v>200</v>
      </c>
      <c r="C151" s="617"/>
      <c r="D151" s="227"/>
      <c r="E151" s="811">
        <v>10000</v>
      </c>
    </row>
    <row r="152" spans="2:6" x14ac:dyDescent="0.35">
      <c r="B152" s="812" t="s">
        <v>426</v>
      </c>
      <c r="C152" s="813"/>
      <c r="D152" s="814"/>
      <c r="E152" s="811">
        <v>10000</v>
      </c>
    </row>
    <row r="153" spans="2:6" ht="15.5" x14ac:dyDescent="0.35">
      <c r="B153" s="1446" t="s">
        <v>11</v>
      </c>
      <c r="C153" s="1447"/>
      <c r="D153" s="1448"/>
      <c r="E153" s="603">
        <f>+E141+E142+E143+E144+E145+E146+E147+E148+E149+E150+E151+E152</f>
        <v>79000</v>
      </c>
    </row>
    <row r="154" spans="2:6" x14ac:dyDescent="0.35">
      <c r="E154" s="203" t="s">
        <v>63</v>
      </c>
    </row>
    <row r="156" spans="2:6" ht="23.5" x14ac:dyDescent="0.35">
      <c r="B156" s="1442" t="s">
        <v>408</v>
      </c>
      <c r="C156" s="1443"/>
      <c r="D156" s="1443"/>
      <c r="E156" s="1444"/>
    </row>
    <row r="157" spans="2:6" x14ac:dyDescent="0.35">
      <c r="B157" s="801" t="s">
        <v>7</v>
      </c>
      <c r="C157" s="802" t="s">
        <v>425</v>
      </c>
      <c r="D157" s="803" t="s">
        <v>272</v>
      </c>
      <c r="E157" s="804" t="s">
        <v>9</v>
      </c>
    </row>
    <row r="158" spans="2:6" x14ac:dyDescent="0.35">
      <c r="B158" s="772" t="s">
        <v>409</v>
      </c>
      <c r="C158" s="258">
        <v>159</v>
      </c>
      <c r="D158" s="227">
        <v>375</v>
      </c>
      <c r="E158" s="598">
        <f>+C158*D158</f>
        <v>59625</v>
      </c>
      <c r="F158" s="771" t="s">
        <v>414</v>
      </c>
    </row>
    <row r="159" spans="2:6" x14ac:dyDescent="0.35">
      <c r="B159" s="772" t="s">
        <v>394</v>
      </c>
      <c r="C159" s="258">
        <v>8</v>
      </c>
      <c r="D159" s="227">
        <v>375</v>
      </c>
      <c r="E159" s="598">
        <f>+C159*D159</f>
        <v>3000</v>
      </c>
    </row>
    <row r="160" spans="2:6" x14ac:dyDescent="0.35">
      <c r="B160" s="772" t="s">
        <v>418</v>
      </c>
      <c r="C160" s="258" t="s">
        <v>63</v>
      </c>
      <c r="D160" s="227" t="s">
        <v>63</v>
      </c>
      <c r="E160" s="598">
        <v>8000</v>
      </c>
    </row>
    <row r="161" spans="2:5" x14ac:dyDescent="0.35">
      <c r="B161" s="772" t="s">
        <v>22</v>
      </c>
      <c r="C161" s="258">
        <v>6.5</v>
      </c>
      <c r="D161" s="227">
        <f>+D158*1.5</f>
        <v>562.5</v>
      </c>
      <c r="E161" s="598">
        <f>+C161*D161</f>
        <v>3656.25</v>
      </c>
    </row>
    <row r="162" spans="2:5" x14ac:dyDescent="0.35">
      <c r="B162" s="772"/>
      <c r="C162" s="258"/>
      <c r="D162" s="227"/>
      <c r="E162" s="598"/>
    </row>
    <row r="163" spans="2:5" x14ac:dyDescent="0.35">
      <c r="B163" s="1439" t="s">
        <v>389</v>
      </c>
      <c r="C163" s="1440"/>
      <c r="D163" s="1441"/>
      <c r="E163" s="599">
        <f>+E158+E159+E160+E161</f>
        <v>74281.25</v>
      </c>
    </row>
    <row r="164" spans="2:5" x14ac:dyDescent="0.35">
      <c r="B164" s="723" t="s">
        <v>19</v>
      </c>
      <c r="C164" s="721"/>
      <c r="D164" s="721"/>
      <c r="E164" s="722">
        <v>-4000</v>
      </c>
    </row>
    <row r="165" spans="2:5" ht="15.5" x14ac:dyDescent="0.35">
      <c r="B165" s="1446" t="s">
        <v>11</v>
      </c>
      <c r="C165" s="1447"/>
      <c r="D165" s="1448"/>
      <c r="E165" s="603">
        <f>+E163+E164</f>
        <v>70281.25</v>
      </c>
    </row>
  </sheetData>
  <mergeCells count="27">
    <mergeCell ref="B136:D136"/>
    <mergeCell ref="B57:E57"/>
    <mergeCell ref="B2:E2"/>
    <mergeCell ref="B10:D10"/>
    <mergeCell ref="B13:D13"/>
    <mergeCell ref="B16:E16"/>
    <mergeCell ref="B24:D24"/>
    <mergeCell ref="B27:D27"/>
    <mergeCell ref="B30:E30"/>
    <mergeCell ref="B38:D38"/>
    <mergeCell ref="B43:E43"/>
    <mergeCell ref="B51:D51"/>
    <mergeCell ref="B100:E100"/>
    <mergeCell ref="B108:D108"/>
    <mergeCell ref="B113:E113"/>
    <mergeCell ref="B125:E125"/>
    <mergeCell ref="B133:D133"/>
    <mergeCell ref="B66:D66"/>
    <mergeCell ref="B71:E71"/>
    <mergeCell ref="B79:D79"/>
    <mergeCell ref="B85:E85"/>
    <mergeCell ref="B93:D93"/>
    <mergeCell ref="B153:D153"/>
    <mergeCell ref="B156:E156"/>
    <mergeCell ref="B163:D163"/>
    <mergeCell ref="B165:D165"/>
    <mergeCell ref="B139:E139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E42"/>
  <sheetViews>
    <sheetView topLeftCell="A20" workbookViewId="0">
      <selection activeCell="C21" sqref="C21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15.7265625" style="771" customWidth="1"/>
    <col min="5" max="5" width="14.08984375" style="771" customWidth="1"/>
    <col min="6" max="16384" width="10.90625" style="771"/>
  </cols>
  <sheetData>
    <row r="1" spans="1:5" s="658" customFormat="1" ht="28.5" x14ac:dyDescent="0.65">
      <c r="B1" s="718" t="s">
        <v>413</v>
      </c>
      <c r="C1" s="657"/>
    </row>
    <row r="3" spans="1:5" x14ac:dyDescent="0.35">
      <c r="B3" s="563" t="s">
        <v>7</v>
      </c>
      <c r="C3" s="651" t="s">
        <v>268</v>
      </c>
    </row>
    <row r="4" spans="1:5" x14ac:dyDescent="0.35">
      <c r="A4" s="771">
        <v>1</v>
      </c>
      <c r="B4" s="772" t="s">
        <v>10</v>
      </c>
      <c r="C4" s="773">
        <v>66800</v>
      </c>
    </row>
    <row r="5" spans="1:5" x14ac:dyDescent="0.35">
      <c r="A5" s="771">
        <v>2</v>
      </c>
      <c r="B5" s="772" t="s">
        <v>15</v>
      </c>
      <c r="C5" s="773">
        <v>271100</v>
      </c>
    </row>
    <row r="6" spans="1:5" x14ac:dyDescent="0.35">
      <c r="A6" s="771">
        <v>3</v>
      </c>
      <c r="B6" s="772" t="s">
        <v>16</v>
      </c>
      <c r="C6" s="773">
        <v>101925</v>
      </c>
    </row>
    <row r="7" spans="1:5" x14ac:dyDescent="0.35">
      <c r="A7" s="176">
        <v>4</v>
      </c>
      <c r="B7" s="772" t="s">
        <v>0</v>
      </c>
      <c r="C7" s="773">
        <v>121810</v>
      </c>
    </row>
    <row r="8" spans="1:5" x14ac:dyDescent="0.35">
      <c r="A8" s="176">
        <v>5</v>
      </c>
      <c r="B8" s="772" t="s">
        <v>28</v>
      </c>
      <c r="C8" s="773">
        <v>99000</v>
      </c>
    </row>
    <row r="9" spans="1:5" x14ac:dyDescent="0.35">
      <c r="A9" s="176">
        <v>6</v>
      </c>
      <c r="B9" s="772" t="s">
        <v>245</v>
      </c>
      <c r="C9" s="773">
        <v>75800</v>
      </c>
    </row>
    <row r="10" spans="1:5" x14ac:dyDescent="0.35">
      <c r="A10" s="176">
        <v>7</v>
      </c>
      <c r="B10" s="772" t="s">
        <v>267</v>
      </c>
      <c r="C10" s="773">
        <v>121900</v>
      </c>
    </row>
    <row r="11" spans="1:5" x14ac:dyDescent="0.35">
      <c r="A11" s="176">
        <v>8</v>
      </c>
      <c r="B11" s="772" t="s">
        <v>260</v>
      </c>
      <c r="C11" s="773">
        <v>110200</v>
      </c>
    </row>
    <row r="12" spans="1:5" x14ac:dyDescent="0.35">
      <c r="A12" s="176">
        <v>9</v>
      </c>
      <c r="B12" s="772" t="s">
        <v>277</v>
      </c>
      <c r="C12" s="773">
        <v>82300</v>
      </c>
    </row>
    <row r="13" spans="1:5" x14ac:dyDescent="0.35">
      <c r="A13" s="176">
        <v>10</v>
      </c>
      <c r="B13" s="772" t="s">
        <v>355</v>
      </c>
      <c r="C13" s="773">
        <v>119600</v>
      </c>
    </row>
    <row r="14" spans="1:5" x14ac:dyDescent="0.35">
      <c r="A14" s="176">
        <v>11</v>
      </c>
      <c r="B14" s="772" t="s">
        <v>411</v>
      </c>
      <c r="C14" s="773">
        <v>79000</v>
      </c>
      <c r="E14" s="49" t="s">
        <v>63</v>
      </c>
    </row>
    <row r="15" spans="1:5" x14ac:dyDescent="0.35">
      <c r="A15" s="176">
        <v>12</v>
      </c>
      <c r="B15" s="772" t="s">
        <v>412</v>
      </c>
      <c r="C15" s="773">
        <v>70300</v>
      </c>
      <c r="D15" s="49" t="s">
        <v>63</v>
      </c>
    </row>
    <row r="16" spans="1:5" s="646" customFormat="1" ht="26" x14ac:dyDescent="0.6">
      <c r="B16" s="650" t="s">
        <v>315</v>
      </c>
      <c r="C16" s="652">
        <f>+C4+C5+C6+C7+C8+C9+C10+C11+C12+C13+C14+C15</f>
        <v>1319735</v>
      </c>
    </row>
    <row r="17" spans="2:5" x14ac:dyDescent="0.35">
      <c r="C17" s="49" t="s">
        <v>63</v>
      </c>
    </row>
    <row r="21" spans="2:5" s="648" customFormat="1" ht="46" x14ac:dyDescent="1">
      <c r="B21" s="719" t="s">
        <v>427</v>
      </c>
      <c r="C21" s="653"/>
    </row>
    <row r="22" spans="2:5" ht="18.5" x14ac:dyDescent="0.45">
      <c r="B22" s="643" t="s">
        <v>306</v>
      </c>
      <c r="C22" s="654" t="s">
        <v>272</v>
      </c>
      <c r="D22" s="643" t="s">
        <v>200</v>
      </c>
    </row>
    <row r="23" spans="2:5" ht="18.5" x14ac:dyDescent="0.45">
      <c r="B23" s="644" t="s">
        <v>10</v>
      </c>
      <c r="C23" s="655">
        <v>530</v>
      </c>
      <c r="D23" s="644">
        <v>10000</v>
      </c>
    </row>
    <row r="24" spans="2:5" ht="18.5" x14ac:dyDescent="0.45">
      <c r="B24" s="644" t="s">
        <v>15</v>
      </c>
      <c r="C24" s="655">
        <v>1085</v>
      </c>
      <c r="D24" s="644">
        <v>10000</v>
      </c>
    </row>
    <row r="25" spans="2:5" ht="18.5" x14ac:dyDescent="0.45">
      <c r="B25" s="644" t="s">
        <v>16</v>
      </c>
      <c r="C25" s="655">
        <v>470</v>
      </c>
      <c r="D25" s="644">
        <v>10000</v>
      </c>
    </row>
    <row r="26" spans="2:5" ht="18.5" x14ac:dyDescent="0.45">
      <c r="B26" s="644" t="s">
        <v>0</v>
      </c>
      <c r="C26" s="655">
        <v>702.5</v>
      </c>
      <c r="D26" s="644">
        <v>10000</v>
      </c>
    </row>
    <row r="27" spans="2:5" ht="18.5" x14ac:dyDescent="0.45">
      <c r="B27" s="644" t="s">
        <v>28</v>
      </c>
      <c r="C27" s="655">
        <v>662.5</v>
      </c>
      <c r="D27" s="644">
        <v>10000</v>
      </c>
    </row>
    <row r="28" spans="2:5" ht="18.5" x14ac:dyDescent="0.45">
      <c r="B28" s="644" t="s">
        <v>245</v>
      </c>
      <c r="C28" s="655">
        <v>375</v>
      </c>
      <c r="D28" s="644">
        <v>10000</v>
      </c>
    </row>
    <row r="29" spans="2:5" ht="18.5" x14ac:dyDescent="0.45">
      <c r="B29" s="644" t="s">
        <v>267</v>
      </c>
      <c r="C29" s="655">
        <v>430</v>
      </c>
      <c r="D29" s="644">
        <v>10000</v>
      </c>
    </row>
    <row r="30" spans="2:5" ht="18.5" x14ac:dyDescent="0.45">
      <c r="B30" s="644" t="s">
        <v>260</v>
      </c>
      <c r="C30" s="655">
        <v>662</v>
      </c>
      <c r="D30" s="644">
        <v>10000</v>
      </c>
    </row>
    <row r="31" spans="2:5" ht="18.5" x14ac:dyDescent="0.45">
      <c r="B31" s="645" t="s">
        <v>277</v>
      </c>
      <c r="C31" s="655">
        <v>375</v>
      </c>
      <c r="D31" s="644">
        <v>10000</v>
      </c>
    </row>
    <row r="32" spans="2:5" ht="18.5" x14ac:dyDescent="0.45">
      <c r="B32" s="645" t="s">
        <v>355</v>
      </c>
      <c r="C32" s="655">
        <v>430</v>
      </c>
      <c r="D32" s="645">
        <v>10000</v>
      </c>
      <c r="E32" s="771" t="s">
        <v>63</v>
      </c>
    </row>
    <row r="33" spans="1:4" ht="18.5" x14ac:dyDescent="0.45">
      <c r="B33" s="645" t="s">
        <v>411</v>
      </c>
      <c r="C33" s="655">
        <v>500</v>
      </c>
      <c r="D33" s="645">
        <v>10000</v>
      </c>
    </row>
    <row r="34" spans="1:4" ht="18.5" x14ac:dyDescent="0.45">
      <c r="B34" s="645" t="s">
        <v>412</v>
      </c>
      <c r="C34" s="655">
        <v>375</v>
      </c>
      <c r="D34" s="645">
        <v>10000</v>
      </c>
    </row>
    <row r="35" spans="1:4" ht="18.5" x14ac:dyDescent="0.45">
      <c r="B35" s="798"/>
      <c r="C35" s="799"/>
      <c r="D35" s="798"/>
    </row>
    <row r="37" spans="1:4" x14ac:dyDescent="0.35">
      <c r="A37" s="701" t="s">
        <v>106</v>
      </c>
      <c r="B37" s="702" t="s">
        <v>107</v>
      </c>
      <c r="C37" s="702" t="s">
        <v>262</v>
      </c>
      <c r="D37" s="704"/>
    </row>
    <row r="38" spans="1:4" x14ac:dyDescent="0.35">
      <c r="A38" s="703">
        <v>18</v>
      </c>
      <c r="B38" s="703">
        <v>9</v>
      </c>
      <c r="C38" s="568">
        <f>+A38*B38</f>
        <v>162</v>
      </c>
      <c r="D38" s="592" t="s">
        <v>116</v>
      </c>
    </row>
    <row r="39" spans="1:4" x14ac:dyDescent="0.35">
      <c r="A39" s="703">
        <v>4</v>
      </c>
      <c r="B39" s="703">
        <v>8</v>
      </c>
      <c r="C39" s="568">
        <f>+A39*B39</f>
        <v>32</v>
      </c>
      <c r="D39" s="593" t="s">
        <v>117</v>
      </c>
    </row>
    <row r="40" spans="1:4" x14ac:dyDescent="0.35">
      <c r="A40" s="703">
        <v>1</v>
      </c>
      <c r="B40" s="703">
        <v>8</v>
      </c>
      <c r="C40" s="568">
        <v>8</v>
      </c>
      <c r="D40" s="593" t="s">
        <v>111</v>
      </c>
    </row>
    <row r="41" spans="1:4" x14ac:dyDescent="0.35">
      <c r="A41" s="568" t="s">
        <v>63</v>
      </c>
      <c r="B41" s="773"/>
      <c r="C41" s="568">
        <f>+C38+C39+C40</f>
        <v>202</v>
      </c>
      <c r="D41" s="592" t="s">
        <v>309</v>
      </c>
    </row>
    <row r="42" spans="1:4" x14ac:dyDescent="0.35">
      <c r="B42" s="49"/>
      <c r="C42" s="771"/>
    </row>
  </sheetData>
  <pageMargins left="0.7" right="0.7" top="0.75" bottom="0.75" header="0.3" footer="0.3"/>
  <pageSetup paperSize="9" fitToWidth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E43"/>
  <sheetViews>
    <sheetView workbookViewId="0">
      <selection activeCell="L35" sqref="L35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15.7265625" style="771" customWidth="1"/>
    <col min="5" max="5" width="14.08984375" style="771" customWidth="1"/>
    <col min="6" max="16384" width="10.90625" style="771"/>
  </cols>
  <sheetData>
    <row r="1" spans="2:3" s="658" customFormat="1" ht="28.5" x14ac:dyDescent="0.65">
      <c r="B1" s="718" t="s">
        <v>428</v>
      </c>
      <c r="C1" s="657"/>
    </row>
    <row r="3" spans="2:3" x14ac:dyDescent="0.35">
      <c r="B3" s="563" t="s">
        <v>7</v>
      </c>
      <c r="C3" s="651" t="s">
        <v>268</v>
      </c>
    </row>
    <row r="4" spans="2:3" x14ac:dyDescent="0.35">
      <c r="B4" s="772" t="s">
        <v>10</v>
      </c>
      <c r="C4" s="773">
        <v>62400</v>
      </c>
    </row>
    <row r="5" spans="2:3" x14ac:dyDescent="0.35">
      <c r="B5" s="772" t="s">
        <v>15</v>
      </c>
      <c r="C5" s="773">
        <v>258200</v>
      </c>
    </row>
    <row r="6" spans="2:3" x14ac:dyDescent="0.35">
      <c r="B6" s="772" t="s">
        <v>16</v>
      </c>
      <c r="C6" s="773">
        <v>102800</v>
      </c>
    </row>
    <row r="7" spans="2:3" x14ac:dyDescent="0.35">
      <c r="B7" s="772" t="s">
        <v>0</v>
      </c>
      <c r="C7" s="773">
        <v>120600</v>
      </c>
    </row>
    <row r="8" spans="2:3" x14ac:dyDescent="0.35">
      <c r="B8" s="772" t="s">
        <v>28</v>
      </c>
      <c r="C8" s="773">
        <v>64000</v>
      </c>
    </row>
    <row r="9" spans="2:3" x14ac:dyDescent="0.35">
      <c r="B9" s="772" t="s">
        <v>245</v>
      </c>
      <c r="C9" s="773">
        <v>82700</v>
      </c>
    </row>
    <row r="10" spans="2:3" x14ac:dyDescent="0.35">
      <c r="B10" s="772" t="s">
        <v>267</v>
      </c>
      <c r="C10" s="773">
        <v>121600</v>
      </c>
    </row>
    <row r="11" spans="2:3" x14ac:dyDescent="0.35">
      <c r="B11" s="772" t="s">
        <v>260</v>
      </c>
      <c r="C11" s="773">
        <v>95300</v>
      </c>
    </row>
    <row r="12" spans="2:3" x14ac:dyDescent="0.35">
      <c r="B12" s="772" t="s">
        <v>277</v>
      </c>
      <c r="C12" s="773">
        <v>67600</v>
      </c>
    </row>
    <row r="13" spans="2:3" x14ac:dyDescent="0.35">
      <c r="B13" s="772" t="s">
        <v>355</v>
      </c>
      <c r="C13" s="773">
        <v>113100</v>
      </c>
    </row>
    <row r="14" spans="2:3" x14ac:dyDescent="0.35">
      <c r="B14" s="772" t="s">
        <v>443</v>
      </c>
      <c r="C14" s="773">
        <v>22700</v>
      </c>
    </row>
    <row r="15" spans="2:3" x14ac:dyDescent="0.35">
      <c r="B15" s="772" t="s">
        <v>412</v>
      </c>
      <c r="C15" s="773">
        <v>100000</v>
      </c>
    </row>
    <row r="16" spans="2:3" x14ac:dyDescent="0.35">
      <c r="B16" s="772" t="s">
        <v>411</v>
      </c>
      <c r="C16" s="773">
        <v>84500</v>
      </c>
    </row>
    <row r="17" spans="2:4" s="646" customFormat="1" ht="26" x14ac:dyDescent="0.6">
      <c r="B17" s="650" t="s">
        <v>315</v>
      </c>
      <c r="C17" s="652">
        <f>+C4+C5+C6+C7+C8+C9+C10+C11+C12+C13+C14+C15+C16</f>
        <v>1295500</v>
      </c>
    </row>
    <row r="18" spans="2:4" x14ac:dyDescent="0.35">
      <c r="C18" s="49" t="s">
        <v>63</v>
      </c>
    </row>
    <row r="22" spans="2:4" s="648" customFormat="1" ht="46" x14ac:dyDescent="1">
      <c r="B22" s="719" t="s">
        <v>428</v>
      </c>
      <c r="C22" s="653"/>
    </row>
    <row r="23" spans="2:4" ht="18.5" x14ac:dyDescent="0.45">
      <c r="B23" s="643" t="s">
        <v>306</v>
      </c>
      <c r="C23" s="654" t="s">
        <v>272</v>
      </c>
      <c r="D23" s="643" t="s">
        <v>200</v>
      </c>
    </row>
    <row r="24" spans="2:4" ht="18.5" x14ac:dyDescent="0.45">
      <c r="B24" s="644" t="s">
        <v>10</v>
      </c>
      <c r="C24" s="655">
        <v>600</v>
      </c>
      <c r="D24" s="644">
        <v>10000</v>
      </c>
    </row>
    <row r="25" spans="2:4" ht="18.5" x14ac:dyDescent="0.45">
      <c r="B25" s="644" t="s">
        <v>15</v>
      </c>
      <c r="C25" s="655">
        <v>1195</v>
      </c>
      <c r="D25" s="644">
        <v>10000</v>
      </c>
    </row>
    <row r="26" spans="2:4" ht="18.5" x14ac:dyDescent="0.45">
      <c r="B26" s="644" t="s">
        <v>16</v>
      </c>
      <c r="C26" s="655">
        <v>540</v>
      </c>
      <c r="D26" s="644">
        <v>10000</v>
      </c>
    </row>
    <row r="27" spans="2:4" ht="18.5" x14ac:dyDescent="0.45">
      <c r="B27" s="644" t="s">
        <v>0</v>
      </c>
      <c r="C27" s="655">
        <v>750</v>
      </c>
      <c r="D27" s="644">
        <v>10000</v>
      </c>
    </row>
    <row r="28" spans="2:4" ht="18.5" x14ac:dyDescent="0.45">
      <c r="B28" s="644" t="s">
        <v>28</v>
      </c>
      <c r="C28" s="655">
        <v>662.5</v>
      </c>
      <c r="D28" s="644">
        <v>10000</v>
      </c>
    </row>
    <row r="29" spans="2:4" ht="18.5" x14ac:dyDescent="0.45">
      <c r="B29" s="644" t="s">
        <v>245</v>
      </c>
      <c r="C29" s="655">
        <v>450</v>
      </c>
      <c r="D29" s="644">
        <v>10000</v>
      </c>
    </row>
    <row r="30" spans="2:4" ht="18.5" x14ac:dyDescent="0.45">
      <c r="B30" s="644" t="s">
        <v>267</v>
      </c>
      <c r="C30" s="655">
        <v>520</v>
      </c>
      <c r="D30" s="644">
        <v>10000</v>
      </c>
    </row>
    <row r="31" spans="2:4" ht="18.5" x14ac:dyDescent="0.45">
      <c r="B31" s="644" t="s">
        <v>260</v>
      </c>
      <c r="C31" s="655">
        <v>700</v>
      </c>
      <c r="D31" s="644">
        <v>10000</v>
      </c>
    </row>
    <row r="32" spans="2:4" ht="18.5" x14ac:dyDescent="0.45">
      <c r="B32" s="645" t="s">
        <v>277</v>
      </c>
      <c r="C32" s="655">
        <v>450</v>
      </c>
      <c r="D32" s="644">
        <v>10000</v>
      </c>
    </row>
    <row r="33" spans="1:5" ht="18.5" x14ac:dyDescent="0.45">
      <c r="B33" s="645" t="s">
        <v>355</v>
      </c>
      <c r="C33" s="655">
        <v>460</v>
      </c>
      <c r="D33" s="645">
        <v>10000</v>
      </c>
      <c r="E33" s="771" t="s">
        <v>63</v>
      </c>
    </row>
    <row r="34" spans="1:5" ht="18.5" x14ac:dyDescent="0.45">
      <c r="B34" s="645" t="s">
        <v>443</v>
      </c>
      <c r="C34" s="655">
        <v>450</v>
      </c>
      <c r="D34" s="645">
        <v>10000</v>
      </c>
    </row>
    <row r="35" spans="1:5" ht="18.5" x14ac:dyDescent="0.45">
      <c r="B35" s="645" t="s">
        <v>412</v>
      </c>
      <c r="C35" s="655">
        <v>450</v>
      </c>
      <c r="D35" s="645">
        <v>10000</v>
      </c>
    </row>
    <row r="36" spans="1:5" ht="18.5" x14ac:dyDescent="0.45">
      <c r="B36" s="645" t="s">
        <v>411</v>
      </c>
      <c r="C36" s="655">
        <v>530</v>
      </c>
      <c r="D36" s="645">
        <v>10000</v>
      </c>
    </row>
    <row r="38" spans="1:5" x14ac:dyDescent="0.35">
      <c r="A38" s="701" t="s">
        <v>106</v>
      </c>
      <c r="B38" s="702" t="s">
        <v>107</v>
      </c>
      <c r="C38" s="702" t="s">
        <v>262</v>
      </c>
      <c r="D38" s="704"/>
    </row>
    <row r="39" spans="1:5" x14ac:dyDescent="0.35">
      <c r="A39" s="703">
        <v>16</v>
      </c>
      <c r="B39" s="703">
        <v>9</v>
      </c>
      <c r="C39" s="568">
        <f>+A39*B39</f>
        <v>144</v>
      </c>
      <c r="D39" s="592" t="s">
        <v>116</v>
      </c>
    </row>
    <row r="40" spans="1:5" x14ac:dyDescent="0.35">
      <c r="A40" s="703">
        <v>3</v>
      </c>
      <c r="B40" s="703">
        <v>8</v>
      </c>
      <c r="C40" s="568">
        <f>+A40*B40</f>
        <v>24</v>
      </c>
      <c r="D40" s="593" t="s">
        <v>117</v>
      </c>
    </row>
    <row r="41" spans="1:5" x14ac:dyDescent="0.35">
      <c r="A41" s="703">
        <v>1</v>
      </c>
      <c r="B41" s="703">
        <v>8</v>
      </c>
      <c r="C41" s="568">
        <f>+A41*B41</f>
        <v>8</v>
      </c>
      <c r="D41" s="593" t="s">
        <v>111</v>
      </c>
    </row>
    <row r="42" spans="1:5" x14ac:dyDescent="0.35">
      <c r="A42" s="568" t="s">
        <v>63</v>
      </c>
      <c r="B42" s="773"/>
      <c r="C42" s="568">
        <f>+C39+C40+C41</f>
        <v>176</v>
      </c>
      <c r="D42" s="592" t="s">
        <v>309</v>
      </c>
    </row>
    <row r="43" spans="1:5" x14ac:dyDescent="0.35">
      <c r="B43" s="49"/>
      <c r="C43" s="771"/>
    </row>
  </sheetData>
  <pageMargins left="0.7" right="0.7" top="0.75" bottom="0.75" header="0.3" footer="0.3"/>
  <pageSetup paperSize="9" fitToWidth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1:V172"/>
  <sheetViews>
    <sheetView topLeftCell="A139" zoomScale="90" zoomScaleNormal="90" workbookViewId="0">
      <selection activeCell="G171" sqref="G171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815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 s="771"/>
      <c r="T3" s="771"/>
      <c r="U3" s="771"/>
    </row>
    <row r="4" spans="2:21" ht="18" customHeight="1" x14ac:dyDescent="0.35">
      <c r="B4" s="772" t="s">
        <v>3</v>
      </c>
      <c r="C4" s="258">
        <v>168</v>
      </c>
      <c r="D4" s="227">
        <v>600</v>
      </c>
      <c r="E4" s="598">
        <f>+C4*D4</f>
        <v>100800</v>
      </c>
      <c r="F4" s="553" t="s">
        <v>432</v>
      </c>
      <c r="T4" s="815"/>
    </row>
    <row r="5" spans="2:21" ht="18" customHeight="1" x14ac:dyDescent="0.35">
      <c r="B5" s="772" t="s">
        <v>394</v>
      </c>
      <c r="C5" s="258">
        <v>8</v>
      </c>
      <c r="D5" s="227">
        <v>600</v>
      </c>
      <c r="E5" s="598">
        <f>+C5*D5</f>
        <v>4800</v>
      </c>
      <c r="T5" s="774"/>
    </row>
    <row r="6" spans="2:21" ht="18" customHeight="1" x14ac:dyDescent="0.35">
      <c r="B6" s="772" t="s">
        <v>196</v>
      </c>
      <c r="C6" s="258"/>
      <c r="D6" s="227"/>
      <c r="E6" s="598">
        <v>10000</v>
      </c>
    </row>
    <row r="7" spans="2:21" ht="18" customHeight="1" x14ac:dyDescent="0.35">
      <c r="B7" s="772" t="s">
        <v>335</v>
      </c>
      <c r="C7" s="258">
        <v>5</v>
      </c>
      <c r="D7" s="194">
        <f>+D4*1.5</f>
        <v>900</v>
      </c>
      <c r="E7" s="598">
        <f>+C7*D7</f>
        <v>4500</v>
      </c>
      <c r="G7" s="774" t="s">
        <v>63</v>
      </c>
    </row>
    <row r="8" spans="2:21" ht="18" customHeight="1" x14ac:dyDescent="0.35">
      <c r="B8" s="772" t="s">
        <v>6</v>
      </c>
      <c r="C8" s="258">
        <v>20000</v>
      </c>
      <c r="D8" s="194"/>
      <c r="E8" s="598">
        <f>+C8</f>
        <v>20000</v>
      </c>
      <c r="F8" s="90" t="s">
        <v>63</v>
      </c>
      <c r="G8" s="774" t="s">
        <v>63</v>
      </c>
      <c r="U8" s="815"/>
    </row>
    <row r="9" spans="2:21" ht="18" customHeight="1" x14ac:dyDescent="0.35">
      <c r="B9" s="772" t="s">
        <v>429</v>
      </c>
      <c r="C9" s="258">
        <v>2</v>
      </c>
      <c r="D9" s="194">
        <v>1500</v>
      </c>
      <c r="E9" s="598">
        <f>+C9*D9</f>
        <v>3000</v>
      </c>
      <c r="F9" s="774" t="s">
        <v>63</v>
      </c>
      <c r="U9" s="815"/>
    </row>
    <row r="10" spans="2:21" ht="18" customHeight="1" x14ac:dyDescent="0.35">
      <c r="B10" s="1432" t="s">
        <v>99</v>
      </c>
      <c r="C10" s="1432"/>
      <c r="D10" s="1432"/>
      <c r="E10" s="599">
        <f>+E4+E5+E6+E7+E8+E9</f>
        <v>143100</v>
      </c>
      <c r="F10" s="774" t="s">
        <v>63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815"/>
    </row>
    <row r="11" spans="2:21" ht="18" customHeight="1" x14ac:dyDescent="0.35">
      <c r="B11" s="827" t="s">
        <v>384</v>
      </c>
      <c r="C11" s="820"/>
      <c r="D11" s="820"/>
      <c r="E11" s="599">
        <v>-66424.539999999994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815"/>
    </row>
    <row r="12" spans="2:21" ht="18" customHeight="1" x14ac:dyDescent="0.35">
      <c r="B12" s="800" t="s">
        <v>430</v>
      </c>
      <c r="C12" s="721" t="s">
        <v>63</v>
      </c>
      <c r="D12" s="721" t="s">
        <v>63</v>
      </c>
      <c r="E12" s="722">
        <v>-14310</v>
      </c>
      <c r="F12" s="774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815"/>
    </row>
    <row r="13" spans="2:21" ht="18" customHeight="1" x14ac:dyDescent="0.35">
      <c r="B13" s="1433" t="s">
        <v>11</v>
      </c>
      <c r="C13" s="1433"/>
      <c r="D13" s="1433"/>
      <c r="E13" s="603">
        <f>+E10+E11+E12</f>
        <v>62365.460000000006</v>
      </c>
      <c r="F13" s="774" t="s">
        <v>63</v>
      </c>
      <c r="H13" s="321"/>
      <c r="I13" s="321"/>
      <c r="J13" s="321"/>
      <c r="K13" s="473"/>
      <c r="L13" s="321"/>
      <c r="M13" s="321"/>
      <c r="T13" s="815"/>
    </row>
    <row r="14" spans="2:21" ht="18" customHeight="1" x14ac:dyDescent="0.35">
      <c r="B14" s="455"/>
      <c r="C14" s="455"/>
      <c r="D14" s="455"/>
      <c r="E14" s="456"/>
      <c r="H14" s="321"/>
      <c r="I14" s="321"/>
      <c r="J14" s="321"/>
      <c r="K14" s="473"/>
      <c r="L14" s="321"/>
      <c r="M14" s="321"/>
      <c r="T14" s="815"/>
    </row>
    <row r="15" spans="2:21" ht="18" customHeight="1" x14ac:dyDescent="0.35">
      <c r="F15" s="106"/>
      <c r="G15" s="4"/>
      <c r="N15" s="4"/>
      <c r="T15" s="815"/>
    </row>
    <row r="16" spans="2:21" ht="18" customHeight="1" x14ac:dyDescent="0.35">
      <c r="B16" s="1431" t="s">
        <v>15</v>
      </c>
      <c r="C16" s="1431"/>
      <c r="D16" s="1431"/>
      <c r="E16" s="1431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815"/>
      <c r="K17" s="101"/>
      <c r="L17" s="101"/>
      <c r="M17" s="101"/>
    </row>
    <row r="18" spans="2:22" ht="18" customHeight="1" x14ac:dyDescent="0.35">
      <c r="B18" s="772" t="s">
        <v>3</v>
      </c>
      <c r="C18" s="315">
        <v>168</v>
      </c>
      <c r="D18" s="194">
        <v>1195</v>
      </c>
      <c r="E18" s="598">
        <f>+C18*D18</f>
        <v>200760</v>
      </c>
      <c r="F18" s="774" t="s">
        <v>441</v>
      </c>
      <c r="K18" s="101"/>
      <c r="L18" s="101"/>
      <c r="M18" s="101"/>
    </row>
    <row r="19" spans="2:22" ht="18" customHeight="1" x14ac:dyDescent="0.35">
      <c r="B19" s="772" t="s">
        <v>394</v>
      </c>
      <c r="C19" s="258">
        <v>8</v>
      </c>
      <c r="D19" s="194">
        <v>1195</v>
      </c>
      <c r="E19" s="598">
        <f>+C19*D19</f>
        <v>9560</v>
      </c>
      <c r="F19" s="774"/>
      <c r="K19" s="101"/>
      <c r="L19" s="101"/>
      <c r="M19" s="101"/>
    </row>
    <row r="20" spans="2:22" ht="18" customHeight="1" x14ac:dyDescent="0.35">
      <c r="B20" s="772" t="s">
        <v>196</v>
      </c>
      <c r="C20" s="258"/>
      <c r="D20" s="194"/>
      <c r="E20" s="598">
        <v>10000</v>
      </c>
      <c r="F20" s="815"/>
      <c r="H20" s="817"/>
      <c r="N20" s="51"/>
      <c r="O20" s="51"/>
      <c r="P20" s="66"/>
      <c r="Q20" s="49"/>
      <c r="R20" s="49"/>
    </row>
    <row r="21" spans="2:22" ht="18" customHeight="1" x14ac:dyDescent="0.35">
      <c r="B21" s="772" t="s">
        <v>195</v>
      </c>
      <c r="C21" s="315">
        <v>8</v>
      </c>
      <c r="D21" s="194">
        <f>+D18*1.5</f>
        <v>1792.5</v>
      </c>
      <c r="E21" s="598">
        <f>+C21*D21</f>
        <v>14340</v>
      </c>
      <c r="F21" s="774"/>
      <c r="G21" s="4"/>
      <c r="L21" s="180"/>
      <c r="M21" s="184"/>
    </row>
    <row r="22" spans="2:22" s="815" customFormat="1" ht="18" customHeight="1" x14ac:dyDescent="0.35">
      <c r="B22" s="772" t="s">
        <v>6</v>
      </c>
      <c r="C22" s="258"/>
      <c r="D22" s="194"/>
      <c r="E22" s="598">
        <v>20000</v>
      </c>
      <c r="F22" s="774" t="s">
        <v>63</v>
      </c>
      <c r="G22" s="771"/>
      <c r="L22" s="184"/>
      <c r="M22" s="184"/>
      <c r="N22" s="771"/>
      <c r="O22" s="771"/>
      <c r="P22" s="771"/>
      <c r="Q22" s="771"/>
      <c r="R22" s="771"/>
      <c r="S22" s="771"/>
      <c r="V22" s="771"/>
    </row>
    <row r="23" spans="2:22" s="815" customFormat="1" ht="18" customHeight="1" x14ac:dyDescent="0.35">
      <c r="B23" s="772" t="s">
        <v>431</v>
      </c>
      <c r="C23" s="258">
        <v>2</v>
      </c>
      <c r="D23" s="194">
        <v>3000</v>
      </c>
      <c r="E23" s="598">
        <f>+C23*D23</f>
        <v>6000</v>
      </c>
      <c r="F23" s="771"/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815" customFormat="1" ht="18" customHeight="1" x14ac:dyDescent="0.35">
      <c r="B24" s="1432" t="s">
        <v>99</v>
      </c>
      <c r="C24" s="1432"/>
      <c r="D24" s="1432"/>
      <c r="E24" s="599">
        <f>+E18+E19+E20+E21+E22+E23</f>
        <v>260660</v>
      </c>
      <c r="F24" s="774" t="s">
        <v>63</v>
      </c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815" customFormat="1" ht="18" customHeight="1" x14ac:dyDescent="0.35">
      <c r="B25" s="772" t="s">
        <v>79</v>
      </c>
      <c r="C25" s="258"/>
      <c r="D25" s="194"/>
      <c r="E25" s="598">
        <v>-2480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ht="18" customHeight="1" x14ac:dyDescent="0.35">
      <c r="B26" s="1435" t="s">
        <v>11</v>
      </c>
      <c r="C26" s="1435"/>
      <c r="D26" s="1435"/>
      <c r="E26" s="602">
        <f>+E24+E25</f>
        <v>258180</v>
      </c>
      <c r="F26" s="796" t="s">
        <v>63</v>
      </c>
      <c r="G26" s="115"/>
      <c r="M26" s="189"/>
      <c r="N26" s="180"/>
      <c r="O26" s="180"/>
      <c r="P26" s="181"/>
      <c r="Q26" s="181"/>
      <c r="R26" s="181"/>
    </row>
    <row r="27" spans="2:22" ht="18" customHeight="1" x14ac:dyDescent="0.35">
      <c r="B27" s="455"/>
      <c r="C27" s="455"/>
      <c r="D27" s="455"/>
      <c r="E27" s="456"/>
      <c r="F27" s="409"/>
      <c r="G27" s="115"/>
      <c r="M27" s="189"/>
      <c r="N27" s="180"/>
      <c r="O27" s="180"/>
      <c r="P27" s="181"/>
      <c r="Q27" s="181"/>
      <c r="R27" s="181"/>
    </row>
    <row r="28" spans="2:22" ht="19.5" customHeight="1" x14ac:dyDescent="0.35">
      <c r="F28" s="409"/>
      <c r="G28" s="115"/>
      <c r="M28" s="185"/>
      <c r="N28" s="181"/>
      <c r="O28" s="181"/>
      <c r="P28" s="181"/>
      <c r="Q28" s="181"/>
    </row>
    <row r="29" spans="2:22" ht="18" customHeight="1" x14ac:dyDescent="0.45">
      <c r="B29" s="1450" t="s">
        <v>359</v>
      </c>
      <c r="C29" s="1451"/>
      <c r="D29" s="1451"/>
      <c r="E29" s="1452"/>
      <c r="F29" s="409"/>
      <c r="G29" s="115"/>
      <c r="M29" s="185"/>
      <c r="N29" s="181"/>
      <c r="O29" s="181"/>
      <c r="P29" s="181"/>
      <c r="Q29" s="181"/>
    </row>
    <row r="30" spans="2:22" ht="18" customHeight="1" x14ac:dyDescent="0.35">
      <c r="B30" s="604" t="s">
        <v>7</v>
      </c>
      <c r="C30" s="605" t="s">
        <v>8</v>
      </c>
      <c r="D30" s="606" t="s">
        <v>4</v>
      </c>
      <c r="E30" s="606" t="s">
        <v>9</v>
      </c>
      <c r="M30" s="185"/>
      <c r="N30" s="181"/>
      <c r="O30" s="181"/>
      <c r="P30" s="184"/>
    </row>
    <row r="31" spans="2:22" ht="18" customHeight="1" x14ac:dyDescent="0.35">
      <c r="B31" s="607" t="s">
        <v>3</v>
      </c>
      <c r="C31" s="267">
        <v>168</v>
      </c>
      <c r="D31" s="211">
        <v>540</v>
      </c>
      <c r="E31" s="211">
        <f>C31*D31</f>
        <v>90720</v>
      </c>
      <c r="F31" s="771" t="s">
        <v>442</v>
      </c>
      <c r="M31" s="182"/>
    </row>
    <row r="32" spans="2:22" ht="18" customHeight="1" x14ac:dyDescent="0.35">
      <c r="B32" s="772" t="s">
        <v>394</v>
      </c>
      <c r="C32" s="267">
        <v>8</v>
      </c>
      <c r="D32" s="211">
        <v>540</v>
      </c>
      <c r="E32" s="211">
        <f>+C32*D32</f>
        <v>4320</v>
      </c>
      <c r="F32" s="774"/>
      <c r="I32" s="815"/>
      <c r="J32" s="815"/>
      <c r="K32" s="815"/>
    </row>
    <row r="33" spans="2:15" ht="18" customHeight="1" x14ac:dyDescent="0.35">
      <c r="B33" s="772" t="s">
        <v>196</v>
      </c>
      <c r="C33" s="267"/>
      <c r="D33" s="211"/>
      <c r="E33" s="211">
        <v>10000</v>
      </c>
      <c r="F33" s="774"/>
      <c r="L33" s="815"/>
    </row>
    <row r="34" spans="2:15" ht="18" customHeight="1" x14ac:dyDescent="0.35">
      <c r="B34" s="772" t="s">
        <v>195</v>
      </c>
      <c r="C34" s="267">
        <v>9.5</v>
      </c>
      <c r="D34" s="211">
        <f>+D31*1.5</f>
        <v>810</v>
      </c>
      <c r="E34" s="211">
        <f>C34*D34</f>
        <v>7695</v>
      </c>
      <c r="F34" s="649"/>
      <c r="G34" s="180"/>
      <c r="H34" s="180"/>
      <c r="I34" s="181"/>
      <c r="J34" s="187"/>
      <c r="K34" s="188"/>
      <c r="L34" s="815"/>
      <c r="O34" s="815"/>
    </row>
    <row r="35" spans="2:15" ht="18" customHeight="1" x14ac:dyDescent="0.35">
      <c r="B35" s="772" t="s">
        <v>6</v>
      </c>
      <c r="C35" s="267">
        <v>20000</v>
      </c>
      <c r="D35" s="211"/>
      <c r="E35" s="211">
        <v>20000</v>
      </c>
      <c r="F35" s="774" t="s">
        <v>63</v>
      </c>
      <c r="G35" s="180"/>
      <c r="H35" s="180"/>
      <c r="I35" s="181"/>
      <c r="J35" s="181"/>
      <c r="K35" s="184"/>
      <c r="O35" s="815"/>
    </row>
    <row r="36" spans="2:15" ht="18" customHeight="1" x14ac:dyDescent="0.35">
      <c r="B36" s="772" t="s">
        <v>433</v>
      </c>
      <c r="C36" s="267"/>
      <c r="D36" s="211"/>
      <c r="E36" s="211">
        <v>10000</v>
      </c>
      <c r="F36" s="774"/>
      <c r="G36" s="180"/>
      <c r="H36" s="180"/>
      <c r="I36" s="181"/>
      <c r="J36" s="181"/>
      <c r="K36" s="184"/>
      <c r="O36" s="815"/>
    </row>
    <row r="37" spans="2:15" s="815" customFormat="1" ht="18" customHeight="1" x14ac:dyDescent="0.35">
      <c r="B37" s="1459" t="s">
        <v>99</v>
      </c>
      <c r="C37" s="1459"/>
      <c r="D37" s="1459"/>
      <c r="E37" s="599">
        <f>+E31+E32+E33+E34+E35+E36</f>
        <v>142735</v>
      </c>
      <c r="F37" s="774" t="s">
        <v>63</v>
      </c>
      <c r="G37" s="180"/>
      <c r="H37" s="180"/>
      <c r="I37" s="181"/>
      <c r="J37" s="181"/>
      <c r="K37" s="184"/>
      <c r="L37" s="771"/>
      <c r="N37" s="771"/>
      <c r="O37" s="771"/>
    </row>
    <row r="38" spans="2:15" s="815" customFormat="1" ht="18" customHeight="1" x14ac:dyDescent="0.35">
      <c r="B38" s="825" t="s">
        <v>19</v>
      </c>
      <c r="C38" s="826" t="s">
        <v>63</v>
      </c>
      <c r="D38" s="823" t="s">
        <v>63</v>
      </c>
      <c r="E38" s="824">
        <v>-40000</v>
      </c>
      <c r="F38" s="774" t="s">
        <v>63</v>
      </c>
      <c r="G38" s="180"/>
      <c r="H38" s="180"/>
      <c r="I38" s="181"/>
      <c r="J38" s="181"/>
      <c r="K38" s="184"/>
      <c r="L38" s="771"/>
      <c r="N38" s="771"/>
      <c r="O38" s="771"/>
    </row>
    <row r="39" spans="2:15" ht="18" customHeight="1" x14ac:dyDescent="0.35">
      <c r="B39" s="786" t="s">
        <v>11</v>
      </c>
      <c r="C39" s="783"/>
      <c r="D39" s="783"/>
      <c r="E39" s="784">
        <f>+E37+E38</f>
        <v>102735</v>
      </c>
      <c r="F39" s="774" t="s">
        <v>63</v>
      </c>
      <c r="G39" s="180"/>
      <c r="H39" s="180"/>
      <c r="I39" s="181"/>
      <c r="J39" s="181"/>
      <c r="K39" s="184"/>
    </row>
    <row r="40" spans="2:15" ht="18" customHeight="1" x14ac:dyDescent="0.35">
      <c r="B40" s="594"/>
      <c r="C40" s="594"/>
      <c r="D40" s="594"/>
      <c r="E40" s="595"/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1431" t="s">
        <v>0</v>
      </c>
      <c r="C42" s="1431"/>
      <c r="D42" s="1431"/>
      <c r="E42" s="1431"/>
      <c r="G42" s="180"/>
      <c r="H42" s="180"/>
      <c r="I42" s="181"/>
      <c r="J42" s="181"/>
      <c r="K42" s="184"/>
    </row>
    <row r="43" spans="2:15" ht="18" customHeight="1" x14ac:dyDescent="0.35">
      <c r="B43" s="2" t="s">
        <v>7</v>
      </c>
      <c r="C43" s="270" t="s">
        <v>8</v>
      </c>
      <c r="D43" s="217" t="s">
        <v>4</v>
      </c>
      <c r="E43" s="597" t="s">
        <v>9</v>
      </c>
      <c r="G43" s="180"/>
      <c r="H43" s="180"/>
      <c r="I43" s="181"/>
      <c r="J43" s="181"/>
      <c r="K43" s="184"/>
    </row>
    <row r="44" spans="2:15" ht="18" customHeight="1" x14ac:dyDescent="0.35">
      <c r="B44" s="772" t="s">
        <v>253</v>
      </c>
      <c r="C44" s="258">
        <v>80</v>
      </c>
      <c r="D44" s="194">
        <v>750</v>
      </c>
      <c r="E44" s="598">
        <f>+C44*D44</f>
        <v>60000</v>
      </c>
      <c r="F44" s="771" t="s">
        <v>417</v>
      </c>
      <c r="G44" s="180"/>
      <c r="H44" s="180"/>
      <c r="I44" s="181"/>
      <c r="J44" s="181"/>
      <c r="K44" s="184"/>
    </row>
    <row r="45" spans="2:15" ht="18" customHeight="1" x14ac:dyDescent="0.35">
      <c r="B45" s="772" t="s">
        <v>394</v>
      </c>
      <c r="C45" s="258">
        <v>8</v>
      </c>
      <c r="D45" s="194">
        <v>750</v>
      </c>
      <c r="E45" s="598">
        <f>+C45*D45</f>
        <v>6000</v>
      </c>
      <c r="G45" s="180"/>
      <c r="H45" s="180"/>
      <c r="I45" s="181"/>
      <c r="J45" s="181"/>
      <c r="K45" s="184"/>
    </row>
    <row r="46" spans="2:15" ht="18" customHeight="1" x14ac:dyDescent="0.35">
      <c r="B46" s="772" t="s">
        <v>357</v>
      </c>
      <c r="C46" s="258">
        <v>112</v>
      </c>
      <c r="D46" s="194">
        <v>750</v>
      </c>
      <c r="E46" s="598">
        <f>+C46*D46</f>
        <v>84000</v>
      </c>
      <c r="G46" s="180"/>
      <c r="H46" s="180"/>
      <c r="I46" s="181"/>
      <c r="J46" s="181"/>
      <c r="K46" s="184"/>
    </row>
    <row r="47" spans="2:15" ht="15" customHeight="1" x14ac:dyDescent="0.35">
      <c r="B47" s="772" t="s">
        <v>196</v>
      </c>
      <c r="C47" s="258"/>
      <c r="D47" s="194"/>
      <c r="E47" s="598">
        <v>10000</v>
      </c>
      <c r="G47" s="180"/>
      <c r="H47" s="180"/>
      <c r="I47" s="181"/>
      <c r="J47" s="181"/>
      <c r="K47" s="184"/>
      <c r="L47" s="815"/>
    </row>
    <row r="48" spans="2:15" ht="15" customHeight="1" x14ac:dyDescent="0.35">
      <c r="B48" s="772" t="s">
        <v>195</v>
      </c>
      <c r="C48" s="315">
        <v>2</v>
      </c>
      <c r="D48" s="194">
        <f>+D44*1.5</f>
        <v>1125</v>
      </c>
      <c r="E48" s="598">
        <f>+D48*C48</f>
        <v>2250</v>
      </c>
      <c r="G48" s="180"/>
      <c r="H48" s="180"/>
      <c r="I48" s="181"/>
      <c r="J48" s="181"/>
      <c r="K48" s="184"/>
      <c r="L48" s="815"/>
    </row>
    <row r="49" spans="2:22" ht="15" customHeight="1" x14ac:dyDescent="0.35">
      <c r="B49" s="772" t="s">
        <v>6</v>
      </c>
      <c r="C49" s="258">
        <v>20000</v>
      </c>
      <c r="D49" s="194"/>
      <c r="E49" s="598">
        <f>+C49</f>
        <v>20000</v>
      </c>
      <c r="G49" s="180"/>
      <c r="H49" s="180"/>
      <c r="I49" s="181"/>
      <c r="J49" s="181"/>
      <c r="K49" s="184"/>
    </row>
    <row r="50" spans="2:22" ht="15" customHeight="1" x14ac:dyDescent="0.35">
      <c r="B50" s="772" t="s">
        <v>434</v>
      </c>
      <c r="C50" s="258">
        <v>2</v>
      </c>
      <c r="D50" s="194">
        <v>3000</v>
      </c>
      <c r="E50" s="598">
        <f>+C50*D50</f>
        <v>6000</v>
      </c>
      <c r="M50" s="176"/>
      <c r="N50" s="180"/>
      <c r="O50" s="180"/>
      <c r="P50" s="181"/>
      <c r="Q50" s="181"/>
      <c r="R50" s="184"/>
    </row>
    <row r="51" spans="2:22" ht="15" customHeight="1" x14ac:dyDescent="0.35">
      <c r="B51" s="1432" t="s">
        <v>99</v>
      </c>
      <c r="C51" s="1432"/>
      <c r="D51" s="1432"/>
      <c r="E51" s="599">
        <f>+E44+E45+E46+E47+E48+E49+E50</f>
        <v>188250</v>
      </c>
      <c r="F51" s="774" t="s">
        <v>63</v>
      </c>
      <c r="G51" s="774" t="s">
        <v>63</v>
      </c>
      <c r="M51" s="176"/>
      <c r="N51" s="176"/>
      <c r="O51" s="176"/>
      <c r="P51" s="181"/>
      <c r="Q51" s="181"/>
      <c r="R51" s="184"/>
      <c r="T51" s="815"/>
    </row>
    <row r="52" spans="2:22" s="815" customFormat="1" ht="15" customHeight="1" x14ac:dyDescent="0.35">
      <c r="B52" s="723" t="s">
        <v>333</v>
      </c>
      <c r="C52" s="727" t="s">
        <v>63</v>
      </c>
      <c r="D52" s="727" t="s">
        <v>63</v>
      </c>
      <c r="E52" s="722">
        <v>-67691.67</v>
      </c>
      <c r="F52" s="649" t="s">
        <v>63</v>
      </c>
      <c r="G52" s="771"/>
      <c r="H52" s="771"/>
      <c r="I52" s="771"/>
      <c r="J52" s="771"/>
      <c r="K52" s="771"/>
      <c r="L52" s="771"/>
      <c r="M52" s="176"/>
      <c r="N52" s="176"/>
      <c r="O52" s="176"/>
      <c r="P52" s="176"/>
      <c r="Q52" s="176"/>
      <c r="R52" s="176"/>
      <c r="S52" s="771"/>
      <c r="T52" s="771"/>
      <c r="U52" s="771"/>
      <c r="V52" s="771"/>
    </row>
    <row r="53" spans="2:22" s="815" customFormat="1" ht="15" customHeight="1" x14ac:dyDescent="0.35">
      <c r="B53" s="672"/>
      <c r="C53" s="673" t="s">
        <v>11</v>
      </c>
      <c r="D53" s="674"/>
      <c r="E53" s="675">
        <f>+E51+E52</f>
        <v>120558.33</v>
      </c>
      <c r="F53" s="649" t="s">
        <v>63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ht="15" customHeight="1" x14ac:dyDescent="0.35">
      <c r="C54" s="771"/>
      <c r="D54" s="771"/>
      <c r="E54" s="771"/>
      <c r="N54" s="183"/>
      <c r="O54" s="183"/>
      <c r="P54" s="176"/>
      <c r="Q54" s="176"/>
      <c r="R54" s="176"/>
      <c r="T54" s="815"/>
    </row>
    <row r="55" spans="2:22" s="90" customFormat="1" ht="15" customHeight="1" x14ac:dyDescent="0.35">
      <c r="N55" s="455"/>
      <c r="O55" s="455"/>
      <c r="P55" s="728"/>
      <c r="Q55" s="728"/>
      <c r="R55" s="728"/>
      <c r="T55" s="817"/>
    </row>
    <row r="56" spans="2:22" s="690" customFormat="1" ht="15" customHeight="1" x14ac:dyDescent="0.35">
      <c r="G56" s="671"/>
      <c r="H56" s="671"/>
      <c r="I56" s="671"/>
      <c r="J56" s="671"/>
      <c r="K56" s="671"/>
      <c r="L56" s="671"/>
      <c r="M56" s="691"/>
      <c r="N56" s="691"/>
      <c r="O56" s="691"/>
      <c r="P56" s="691"/>
      <c r="Q56" s="691"/>
      <c r="R56" s="691"/>
      <c r="S56" s="671"/>
      <c r="T56" s="671"/>
      <c r="U56" s="671"/>
      <c r="V56" s="671"/>
    </row>
    <row r="57" spans="2:22" s="815" customFormat="1" ht="15" customHeight="1" x14ac:dyDescent="0.35">
      <c r="B57" s="1431" t="s">
        <v>28</v>
      </c>
      <c r="C57" s="1431"/>
      <c r="D57" s="1431"/>
      <c r="E57" s="1431"/>
      <c r="F57" s="771"/>
      <c r="G57" s="771"/>
      <c r="H57" s="771"/>
      <c r="I57" s="771"/>
      <c r="J57" s="771"/>
      <c r="K57" s="771"/>
      <c r="L57" s="771"/>
      <c r="M57" s="771"/>
      <c r="N57" s="176"/>
      <c r="O57" s="176"/>
      <c r="P57" s="176"/>
      <c r="Q57" s="176"/>
      <c r="R57" s="176"/>
      <c r="S57" s="771"/>
      <c r="U57" s="771"/>
    </row>
    <row r="58" spans="2:22" s="815" customFormat="1" ht="15" customHeight="1" x14ac:dyDescent="0.35">
      <c r="B58" s="2" t="s">
        <v>7</v>
      </c>
      <c r="C58" s="270" t="s">
        <v>8</v>
      </c>
      <c r="D58" s="217" t="s">
        <v>4</v>
      </c>
      <c r="E58" s="597" t="s">
        <v>9</v>
      </c>
      <c r="F58" s="771"/>
      <c r="G58" s="771"/>
      <c r="H58" s="771"/>
      <c r="I58" s="771"/>
      <c r="J58" s="771"/>
      <c r="K58" s="771"/>
      <c r="L58" s="771"/>
      <c r="M58" s="771"/>
      <c r="N58" s="176"/>
      <c r="O58" s="176"/>
      <c r="P58" s="176"/>
      <c r="Q58" s="176"/>
      <c r="R58" s="176"/>
      <c r="S58" s="771"/>
      <c r="U58" s="771"/>
    </row>
    <row r="59" spans="2:22" ht="15" customHeight="1" x14ac:dyDescent="0.35">
      <c r="B59" s="772" t="s">
        <v>3</v>
      </c>
      <c r="C59" s="315">
        <v>172</v>
      </c>
      <c r="D59" s="194">
        <v>662.5</v>
      </c>
      <c r="E59" s="598">
        <f>+C59*D59</f>
        <v>113950</v>
      </c>
      <c r="N59" s="176"/>
      <c r="O59" s="176"/>
      <c r="P59" s="176"/>
      <c r="Q59" s="176"/>
      <c r="R59" s="176"/>
    </row>
    <row r="60" spans="2:22" ht="15" customHeight="1" x14ac:dyDescent="0.35">
      <c r="B60" s="772" t="s">
        <v>398</v>
      </c>
      <c r="C60" s="315">
        <v>8</v>
      </c>
      <c r="D60" s="194">
        <v>662.5</v>
      </c>
      <c r="E60" s="598">
        <f>+C60*D60</f>
        <v>5300</v>
      </c>
      <c r="N60" s="176"/>
      <c r="O60" s="176"/>
      <c r="P60" s="176"/>
      <c r="Q60" s="176"/>
      <c r="R60" s="176"/>
    </row>
    <row r="61" spans="2:22" ht="15" customHeight="1" x14ac:dyDescent="0.35">
      <c r="B61" s="772" t="s">
        <v>200</v>
      </c>
      <c r="C61" s="315" t="s">
        <v>63</v>
      </c>
      <c r="D61" s="194"/>
      <c r="E61" s="598" t="s">
        <v>63</v>
      </c>
      <c r="N61" s="176"/>
      <c r="O61" s="176"/>
      <c r="P61" s="176"/>
      <c r="Q61" s="176"/>
      <c r="R61" s="176"/>
    </row>
    <row r="62" spans="2:22" ht="15" customHeight="1" x14ac:dyDescent="0.35">
      <c r="B62" s="772" t="s">
        <v>195</v>
      </c>
      <c r="C62" s="315" t="s">
        <v>63</v>
      </c>
      <c r="D62" s="194" t="s">
        <v>63</v>
      </c>
      <c r="E62" s="598" t="s">
        <v>63</v>
      </c>
      <c r="N62" s="176"/>
      <c r="O62" s="176"/>
      <c r="P62" s="176"/>
      <c r="Q62" s="176"/>
      <c r="R62" s="176"/>
    </row>
    <row r="63" spans="2:22" ht="15" customHeight="1" x14ac:dyDescent="0.35">
      <c r="B63" s="772" t="s">
        <v>6</v>
      </c>
      <c r="C63" s="315" t="s">
        <v>63</v>
      </c>
      <c r="D63" s="194"/>
      <c r="E63" s="598">
        <v>10000</v>
      </c>
      <c r="N63" s="176"/>
      <c r="O63" s="176"/>
      <c r="P63" s="176"/>
      <c r="Q63" s="176"/>
      <c r="R63" s="176"/>
    </row>
    <row r="64" spans="2:22" ht="15" customHeight="1" x14ac:dyDescent="0.35">
      <c r="B64" s="772" t="s">
        <v>435</v>
      </c>
      <c r="C64" s="315">
        <v>1</v>
      </c>
      <c r="D64" s="194" t="s">
        <v>63</v>
      </c>
      <c r="E64" s="598" t="s">
        <v>63</v>
      </c>
      <c r="F64" s="774" t="s">
        <v>63</v>
      </c>
      <c r="N64" s="176"/>
      <c r="O64" s="176"/>
      <c r="P64" s="176"/>
      <c r="Q64" s="176"/>
      <c r="R64" s="176"/>
    </row>
    <row r="65" spans="2:22" ht="15" customHeight="1" x14ac:dyDescent="0.35">
      <c r="B65" s="1432" t="s">
        <v>99</v>
      </c>
      <c r="C65" s="1432"/>
      <c r="D65" s="1432"/>
      <c r="E65" s="599">
        <f>+E59+E60+E63</f>
        <v>129250</v>
      </c>
      <c r="F65" s="774" t="s">
        <v>63</v>
      </c>
      <c r="N65" s="176"/>
      <c r="O65" s="176"/>
      <c r="P65" s="176"/>
      <c r="Q65" s="176"/>
      <c r="R65" s="176"/>
    </row>
    <row r="66" spans="2:22" ht="15" customHeight="1" x14ac:dyDescent="0.35">
      <c r="B66" s="816" t="s">
        <v>375</v>
      </c>
      <c r="C66" s="816"/>
      <c r="D66" s="816" t="s">
        <v>63</v>
      </c>
      <c r="E66" s="600">
        <v>-63990.27</v>
      </c>
      <c r="N66" s="176"/>
      <c r="O66" s="176"/>
      <c r="P66" s="176"/>
      <c r="Q66" s="176"/>
      <c r="R66" s="176"/>
    </row>
    <row r="67" spans="2:22" ht="15" customHeight="1" x14ac:dyDescent="0.35">
      <c r="B67" s="684"/>
      <c r="C67" s="685" t="s">
        <v>11</v>
      </c>
      <c r="D67" s="686"/>
      <c r="E67" s="687">
        <f>+E65+E66</f>
        <v>65259.73</v>
      </c>
    </row>
    <row r="68" spans="2:22" ht="15" customHeight="1" x14ac:dyDescent="0.35">
      <c r="C68" s="771"/>
      <c r="D68" s="771"/>
      <c r="E68" s="771"/>
    </row>
    <row r="69" spans="2:22" ht="15" customHeight="1" x14ac:dyDescent="0.35">
      <c r="C69" s="771"/>
      <c r="D69" s="771"/>
      <c r="E69" s="771"/>
    </row>
    <row r="70" spans="2:22" ht="15" customHeight="1" x14ac:dyDescent="0.35">
      <c r="B70" s="1442" t="s">
        <v>263</v>
      </c>
      <c r="C70" s="1443"/>
      <c r="D70" s="1443"/>
      <c r="E70" s="1444"/>
      <c r="V70" s="815"/>
    </row>
    <row r="71" spans="2:22" x14ac:dyDescent="0.35">
      <c r="B71" s="2" t="s">
        <v>7</v>
      </c>
      <c r="C71" s="270" t="s">
        <v>8</v>
      </c>
      <c r="D71" s="217" t="s">
        <v>4</v>
      </c>
      <c r="E71" s="597" t="s">
        <v>9</v>
      </c>
    </row>
    <row r="72" spans="2:22" x14ac:dyDescent="0.35">
      <c r="B72" s="772" t="s">
        <v>3</v>
      </c>
      <c r="C72" s="258">
        <v>168</v>
      </c>
      <c r="D72" s="227">
        <v>520</v>
      </c>
      <c r="E72" s="598">
        <f>+C72*D72</f>
        <v>87360</v>
      </c>
      <c r="F72" s="771" t="s">
        <v>436</v>
      </c>
    </row>
    <row r="73" spans="2:22" x14ac:dyDescent="0.35">
      <c r="B73" s="772" t="s">
        <v>398</v>
      </c>
      <c r="C73" s="258">
        <v>8</v>
      </c>
      <c r="D73" s="227">
        <v>520</v>
      </c>
      <c r="E73" s="598">
        <f>+C73*D73</f>
        <v>4160</v>
      </c>
    </row>
    <row r="74" spans="2:22" x14ac:dyDescent="0.35">
      <c r="B74" s="772" t="s">
        <v>266</v>
      </c>
      <c r="C74" s="258"/>
      <c r="D74" s="227"/>
      <c r="E74" s="598">
        <v>10000</v>
      </c>
    </row>
    <row r="75" spans="2:22" x14ac:dyDescent="0.35">
      <c r="B75" s="772" t="s">
        <v>195</v>
      </c>
      <c r="C75" s="258">
        <v>6.5</v>
      </c>
      <c r="D75" s="194">
        <f>+D72*1.5</f>
        <v>780</v>
      </c>
      <c r="E75" s="598">
        <f>+C75*D75</f>
        <v>5070</v>
      </c>
      <c r="G75" s="774" t="s">
        <v>63</v>
      </c>
    </row>
    <row r="76" spans="2:22" x14ac:dyDescent="0.35">
      <c r="B76" s="772" t="s">
        <v>6</v>
      </c>
      <c r="C76" s="258">
        <v>15000</v>
      </c>
      <c r="D76" s="194"/>
      <c r="E76" s="598">
        <v>15000</v>
      </c>
    </row>
    <row r="77" spans="2:22" x14ac:dyDescent="0.35">
      <c r="B77" s="772" t="s">
        <v>63</v>
      </c>
      <c r="C77" s="258" t="s">
        <v>63</v>
      </c>
      <c r="D77" s="194" t="s">
        <v>63</v>
      </c>
      <c r="E77" s="598" t="s">
        <v>63</v>
      </c>
    </row>
    <row r="78" spans="2:22" x14ac:dyDescent="0.35">
      <c r="B78" s="1439" t="s">
        <v>99</v>
      </c>
      <c r="C78" s="1440"/>
      <c r="D78" s="1441"/>
      <c r="E78" s="599">
        <f>+E72+E73+E74+E75+E76</f>
        <v>121590</v>
      </c>
      <c r="F78" s="774" t="s">
        <v>63</v>
      </c>
    </row>
    <row r="79" spans="2:22" x14ac:dyDescent="0.35">
      <c r="B79" s="723" t="s">
        <v>63</v>
      </c>
      <c r="C79" s="720" t="s">
        <v>63</v>
      </c>
      <c r="D79" s="720"/>
      <c r="E79" s="722" t="s">
        <v>63</v>
      </c>
      <c r="F79" s="774" t="s">
        <v>63</v>
      </c>
    </row>
    <row r="80" spans="2:22" x14ac:dyDescent="0.35">
      <c r="B80" s="672"/>
      <c r="C80" s="673" t="s">
        <v>11</v>
      </c>
      <c r="D80" s="674"/>
      <c r="E80" s="675">
        <f>+E72+E73+E74+E75+E76</f>
        <v>121590</v>
      </c>
    </row>
    <row r="81" spans="2:6" x14ac:dyDescent="0.35">
      <c r="C81" s="771"/>
      <c r="D81" s="771"/>
      <c r="E81" s="771"/>
    </row>
    <row r="84" spans="2:6" ht="23.5" x14ac:dyDescent="0.35">
      <c r="B84" s="1442" t="s">
        <v>301</v>
      </c>
      <c r="C84" s="1443"/>
      <c r="D84" s="1443"/>
      <c r="E84" s="1444"/>
    </row>
    <row r="85" spans="2:6" x14ac:dyDescent="0.35">
      <c r="B85" s="2" t="s">
        <v>7</v>
      </c>
      <c r="C85" s="270" t="s">
        <v>8</v>
      </c>
      <c r="D85" s="217" t="s">
        <v>4</v>
      </c>
      <c r="E85" s="597" t="s">
        <v>9</v>
      </c>
    </row>
    <row r="86" spans="2:6" x14ac:dyDescent="0.35">
      <c r="B86" s="772" t="s">
        <v>3</v>
      </c>
      <c r="C86" s="258">
        <v>168</v>
      </c>
      <c r="D86" s="227">
        <v>450</v>
      </c>
      <c r="E86" s="598">
        <f>+C86*D86</f>
        <v>75600</v>
      </c>
      <c r="F86" s="771" t="s">
        <v>436</v>
      </c>
    </row>
    <row r="87" spans="2:6" x14ac:dyDescent="0.35">
      <c r="B87" s="772" t="s">
        <v>401</v>
      </c>
      <c r="C87" s="258">
        <v>8</v>
      </c>
      <c r="D87" s="227">
        <v>450</v>
      </c>
      <c r="E87" s="598">
        <f>+C87*D87</f>
        <v>3600</v>
      </c>
    </row>
    <row r="88" spans="2:6" x14ac:dyDescent="0.35">
      <c r="B88" s="772" t="s">
        <v>200</v>
      </c>
      <c r="C88" s="258"/>
      <c r="D88" s="227"/>
      <c r="E88" s="598">
        <v>10000</v>
      </c>
    </row>
    <row r="89" spans="2:6" x14ac:dyDescent="0.35">
      <c r="B89" s="772" t="s">
        <v>195</v>
      </c>
      <c r="C89" s="258">
        <v>5</v>
      </c>
      <c r="D89" s="194">
        <f>+D86*1.5</f>
        <v>675</v>
      </c>
      <c r="E89" s="598">
        <f>+C89*D89</f>
        <v>3375</v>
      </c>
    </row>
    <row r="90" spans="2:6" x14ac:dyDescent="0.35">
      <c r="B90" s="772" t="s">
        <v>6</v>
      </c>
      <c r="C90" s="258">
        <v>15000</v>
      </c>
      <c r="D90" s="194"/>
      <c r="E90" s="598">
        <v>15000</v>
      </c>
      <c r="F90" s="771" t="s">
        <v>63</v>
      </c>
    </row>
    <row r="91" spans="2:6" x14ac:dyDescent="0.35">
      <c r="B91" s="772" t="s">
        <v>63</v>
      </c>
      <c r="C91" s="258" t="s">
        <v>63</v>
      </c>
      <c r="D91" s="194" t="s">
        <v>63</v>
      </c>
      <c r="E91" s="598" t="s">
        <v>63</v>
      </c>
    </row>
    <row r="92" spans="2:6" x14ac:dyDescent="0.35">
      <c r="B92" s="1439" t="s">
        <v>99</v>
      </c>
      <c r="C92" s="1440"/>
      <c r="D92" s="1441"/>
      <c r="E92" s="599">
        <f>+E86+E87+E88+E89+E90</f>
        <v>107575</v>
      </c>
      <c r="F92" s="774" t="s">
        <v>63</v>
      </c>
    </row>
    <row r="93" spans="2:6" x14ac:dyDescent="0.35">
      <c r="B93" s="724" t="s">
        <v>19</v>
      </c>
      <c r="C93" s="729" t="s">
        <v>63</v>
      </c>
      <c r="D93" s="730" t="s">
        <v>63</v>
      </c>
      <c r="E93" s="731">
        <v>-30000</v>
      </c>
      <c r="F93" s="774" t="s">
        <v>63</v>
      </c>
    </row>
    <row r="94" spans="2:6" x14ac:dyDescent="0.35">
      <c r="B94" s="739" t="s">
        <v>437</v>
      </c>
      <c r="C94" s="729"/>
      <c r="D94" s="730"/>
      <c r="E94" s="731">
        <v>-10000</v>
      </c>
    </row>
    <row r="95" spans="2:6" s="755" customFormat="1" ht="23.5" x14ac:dyDescent="0.55000000000000004">
      <c r="B95" s="751"/>
      <c r="C95" s="752" t="s">
        <v>11</v>
      </c>
      <c r="D95" s="753"/>
      <c r="E95" s="754">
        <f>+E92+E93+E94</f>
        <v>67575</v>
      </c>
      <c r="F95" s="770" t="s">
        <v>63</v>
      </c>
    </row>
    <row r="99" spans="2:7" ht="21" customHeight="1" x14ac:dyDescent="0.35">
      <c r="B99" s="1442" t="s">
        <v>354</v>
      </c>
      <c r="C99" s="1443"/>
      <c r="D99" s="1443"/>
      <c r="E99" s="1444"/>
    </row>
    <row r="100" spans="2:7" ht="21" customHeight="1" x14ac:dyDescent="0.35">
      <c r="B100" s="2" t="s">
        <v>7</v>
      </c>
      <c r="C100" s="270" t="s">
        <v>8</v>
      </c>
      <c r="D100" s="217" t="s">
        <v>4</v>
      </c>
      <c r="E100" s="597" t="s">
        <v>9</v>
      </c>
    </row>
    <row r="101" spans="2:7" ht="14.5" customHeight="1" x14ac:dyDescent="0.35">
      <c r="B101" s="772" t="s">
        <v>3</v>
      </c>
      <c r="C101" s="258">
        <v>168</v>
      </c>
      <c r="D101" s="227">
        <v>460</v>
      </c>
      <c r="E101" s="598">
        <f>+C101*D101</f>
        <v>77280</v>
      </c>
      <c r="F101" s="771" t="s">
        <v>417</v>
      </c>
    </row>
    <row r="102" spans="2:7" ht="13.5" customHeight="1" x14ac:dyDescent="0.35">
      <c r="B102" s="772" t="s">
        <v>394</v>
      </c>
      <c r="C102" s="258">
        <v>8</v>
      </c>
      <c r="D102" s="227">
        <v>460</v>
      </c>
      <c r="E102" s="598">
        <f>+C102*D102</f>
        <v>3680</v>
      </c>
    </row>
    <row r="103" spans="2:7" x14ac:dyDescent="0.35">
      <c r="B103" s="772" t="s">
        <v>266</v>
      </c>
      <c r="C103" s="258"/>
      <c r="D103" s="227"/>
      <c r="E103" s="598">
        <v>10000</v>
      </c>
    </row>
    <row r="104" spans="2:7" x14ac:dyDescent="0.35">
      <c r="B104" s="772" t="s">
        <v>195</v>
      </c>
      <c r="C104" s="258">
        <v>17.5</v>
      </c>
      <c r="D104" s="194">
        <f>+D101*1.5</f>
        <v>690</v>
      </c>
      <c r="E104" s="598">
        <f>+C104*D104</f>
        <v>12075</v>
      </c>
    </row>
    <row r="105" spans="2:7" x14ac:dyDescent="0.35">
      <c r="B105" s="772" t="s">
        <v>6</v>
      </c>
      <c r="C105" s="258">
        <v>15000</v>
      </c>
      <c r="D105" s="194"/>
      <c r="E105" s="598">
        <v>15000</v>
      </c>
    </row>
    <row r="106" spans="2:7" x14ac:dyDescent="0.35">
      <c r="B106" s="772" t="s">
        <v>303</v>
      </c>
      <c r="C106" s="258" t="s">
        <v>63</v>
      </c>
      <c r="D106" s="194" t="s">
        <v>63</v>
      </c>
      <c r="E106" s="598">
        <v>35000</v>
      </c>
    </row>
    <row r="107" spans="2:7" x14ac:dyDescent="0.35">
      <c r="B107" s="1439" t="s">
        <v>99</v>
      </c>
      <c r="C107" s="1440"/>
      <c r="D107" s="1441"/>
      <c r="E107" s="599">
        <f>+E101+E102+E103+E104+E105+E106</f>
        <v>153035</v>
      </c>
      <c r="F107" s="774" t="s">
        <v>63</v>
      </c>
      <c r="G107" s="774" t="s">
        <v>63</v>
      </c>
    </row>
    <row r="108" spans="2:7" x14ac:dyDescent="0.35">
      <c r="B108" s="723" t="s">
        <v>19</v>
      </c>
      <c r="C108" s="720" t="s">
        <v>63</v>
      </c>
      <c r="D108" s="720"/>
      <c r="E108" s="722">
        <v>-40000</v>
      </c>
      <c r="F108" s="774" t="s">
        <v>63</v>
      </c>
    </row>
    <row r="109" spans="2:7" s="760" customFormat="1" ht="21" x14ac:dyDescent="0.5">
      <c r="B109" s="756"/>
      <c r="C109" s="757" t="s">
        <v>11</v>
      </c>
      <c r="D109" s="758"/>
      <c r="E109" s="759">
        <f>+E107+E108</f>
        <v>113035</v>
      </c>
      <c r="F109" s="797" t="s">
        <v>63</v>
      </c>
    </row>
    <row r="112" spans="2:7" ht="23.5" x14ac:dyDescent="0.35">
      <c r="B112" s="1442" t="s">
        <v>260</v>
      </c>
      <c r="C112" s="1443"/>
      <c r="D112" s="1443"/>
      <c r="E112" s="1444"/>
    </row>
    <row r="113" spans="2:6" x14ac:dyDescent="0.35">
      <c r="B113" s="2" t="s">
        <v>7</v>
      </c>
      <c r="C113" s="270" t="s">
        <v>8</v>
      </c>
      <c r="D113" s="217" t="s">
        <v>4</v>
      </c>
      <c r="E113" s="597" t="s">
        <v>9</v>
      </c>
    </row>
    <row r="114" spans="2:6" x14ac:dyDescent="0.35">
      <c r="B114" s="772" t="s">
        <v>3</v>
      </c>
      <c r="C114" s="258">
        <v>149.5</v>
      </c>
      <c r="D114" s="194">
        <v>700</v>
      </c>
      <c r="E114" s="598">
        <f>+C114*D114</f>
        <v>104650</v>
      </c>
      <c r="F114" s="771" t="s">
        <v>417</v>
      </c>
    </row>
    <row r="115" spans="2:6" x14ac:dyDescent="0.35">
      <c r="B115" s="772" t="s">
        <v>403</v>
      </c>
      <c r="C115" s="258">
        <v>8</v>
      </c>
      <c r="D115" s="194">
        <v>700</v>
      </c>
      <c r="E115" s="609">
        <f>+C115*D115</f>
        <v>5600</v>
      </c>
    </row>
    <row r="116" spans="2:6" x14ac:dyDescent="0.35">
      <c r="B116" s="772" t="s">
        <v>6</v>
      </c>
      <c r="C116" s="258"/>
      <c r="D116" s="194"/>
      <c r="E116" s="609">
        <v>15000</v>
      </c>
    </row>
    <row r="117" spans="2:6" x14ac:dyDescent="0.35">
      <c r="B117" s="614" t="s">
        <v>200</v>
      </c>
      <c r="C117" s="617"/>
      <c r="D117" s="227"/>
      <c r="E117" s="609">
        <v>10000</v>
      </c>
      <c r="F117" s="774" t="s">
        <v>63</v>
      </c>
    </row>
    <row r="118" spans="2:6" x14ac:dyDescent="0.35">
      <c r="B118" s="621" t="s">
        <v>99</v>
      </c>
      <c r="C118" s="622"/>
      <c r="D118" s="622"/>
      <c r="E118" s="634">
        <f>+E114+E115+E116+E117</f>
        <v>135250</v>
      </c>
    </row>
    <row r="119" spans="2:6" x14ac:dyDescent="0.35">
      <c r="B119" s="615" t="s">
        <v>404</v>
      </c>
      <c r="C119" s="619"/>
      <c r="D119" s="619"/>
      <c r="E119" s="710">
        <v>-40000</v>
      </c>
    </row>
    <row r="120" spans="2:6" x14ac:dyDescent="0.35">
      <c r="B120" s="615" t="s">
        <v>63</v>
      </c>
      <c r="C120" s="709"/>
      <c r="D120" s="619"/>
      <c r="E120" s="710" t="s">
        <v>63</v>
      </c>
      <c r="F120" s="774" t="s">
        <v>63</v>
      </c>
    </row>
    <row r="121" spans="2:6" ht="15.5" x14ac:dyDescent="0.35">
      <c r="B121" s="705" t="s">
        <v>11</v>
      </c>
      <c r="C121" s="708"/>
      <c r="D121" s="706"/>
      <c r="E121" s="603">
        <f>+E118+E119</f>
        <v>95250</v>
      </c>
      <c r="F121" s="774" t="s">
        <v>63</v>
      </c>
    </row>
    <row r="122" spans="2:6" x14ac:dyDescent="0.35">
      <c r="F122" s="774" t="s">
        <v>63</v>
      </c>
    </row>
    <row r="124" spans="2:6" ht="23.5" x14ac:dyDescent="0.35">
      <c r="B124" s="1442" t="s">
        <v>264</v>
      </c>
      <c r="C124" s="1443"/>
      <c r="D124" s="1443"/>
      <c r="E124" s="1444"/>
    </row>
    <row r="125" spans="2:6" x14ac:dyDescent="0.35">
      <c r="B125" s="2" t="s">
        <v>7</v>
      </c>
      <c r="C125" s="270" t="s">
        <v>8</v>
      </c>
      <c r="D125" s="217" t="s">
        <v>4</v>
      </c>
      <c r="E125" s="597" t="s">
        <v>9</v>
      </c>
    </row>
    <row r="126" spans="2:6" x14ac:dyDescent="0.35">
      <c r="B126" s="772" t="s">
        <v>3</v>
      </c>
      <c r="C126" s="258">
        <v>168</v>
      </c>
      <c r="D126" s="227">
        <v>450</v>
      </c>
      <c r="E126" s="598">
        <f>+D126*C126</f>
        <v>75600</v>
      </c>
      <c r="F126" s="771" t="s">
        <v>436</v>
      </c>
    </row>
    <row r="127" spans="2:6" x14ac:dyDescent="0.35">
      <c r="B127" s="772" t="s">
        <v>401</v>
      </c>
      <c r="C127" s="258">
        <v>8</v>
      </c>
      <c r="D127" s="227">
        <v>450</v>
      </c>
      <c r="E127" s="598">
        <f>+C127*D127</f>
        <v>3600</v>
      </c>
    </row>
    <row r="128" spans="2:6" x14ac:dyDescent="0.35">
      <c r="B128" s="772" t="s">
        <v>196</v>
      </c>
      <c r="C128" s="258"/>
      <c r="D128" s="227"/>
      <c r="E128" s="598">
        <v>10000</v>
      </c>
    </row>
    <row r="129" spans="2:7" x14ac:dyDescent="0.35">
      <c r="B129" s="772" t="s">
        <v>195</v>
      </c>
      <c r="C129" s="258">
        <v>11</v>
      </c>
      <c r="D129" s="227">
        <f>+D126*1.5</f>
        <v>675</v>
      </c>
      <c r="E129" s="598">
        <f>+C129*D129</f>
        <v>7425</v>
      </c>
    </row>
    <row r="130" spans="2:7" x14ac:dyDescent="0.35">
      <c r="B130" s="772" t="s">
        <v>6</v>
      </c>
      <c r="C130" s="258">
        <v>10000</v>
      </c>
      <c r="D130" s="227"/>
      <c r="E130" s="598">
        <v>10000</v>
      </c>
    </row>
    <row r="131" spans="2:7" x14ac:dyDescent="0.35">
      <c r="B131" s="1439" t="s">
        <v>99</v>
      </c>
      <c r="C131" s="1440"/>
      <c r="D131" s="1441"/>
      <c r="E131" s="599">
        <f>+E126+E127+E128+E129+E130</f>
        <v>106625</v>
      </c>
      <c r="F131" s="774" t="s">
        <v>63</v>
      </c>
    </row>
    <row r="132" spans="2:7" x14ac:dyDescent="0.35">
      <c r="B132" s="723" t="s">
        <v>50</v>
      </c>
      <c r="C132" s="721"/>
      <c r="D132" s="721"/>
      <c r="E132" s="722">
        <v>-14000</v>
      </c>
      <c r="F132" s="774" t="s">
        <v>63</v>
      </c>
      <c r="G132" s="774" t="s">
        <v>63</v>
      </c>
    </row>
    <row r="133" spans="2:7" x14ac:dyDescent="0.35">
      <c r="B133" s="822" t="s">
        <v>439</v>
      </c>
      <c r="C133" s="818" t="s">
        <v>438</v>
      </c>
      <c r="D133" s="819"/>
      <c r="E133" s="600">
        <v>-10000</v>
      </c>
    </row>
    <row r="134" spans="2:7" ht="15.5" x14ac:dyDescent="0.35">
      <c r="B134" s="1446" t="s">
        <v>11</v>
      </c>
      <c r="C134" s="1447"/>
      <c r="D134" s="1448"/>
      <c r="E134" s="603">
        <f>+E131+E132+E133</f>
        <v>82625</v>
      </c>
      <c r="F134" s="774" t="s">
        <v>63</v>
      </c>
    </row>
    <row r="137" spans="2:7" ht="23.5" x14ac:dyDescent="0.35">
      <c r="B137" s="1442" t="s">
        <v>386</v>
      </c>
      <c r="C137" s="1443"/>
      <c r="D137" s="1443"/>
      <c r="E137" s="1444"/>
    </row>
    <row r="138" spans="2:7" x14ac:dyDescent="0.35">
      <c r="B138" s="801" t="s">
        <v>7</v>
      </c>
      <c r="C138" s="802" t="s">
        <v>388</v>
      </c>
      <c r="D138" s="803" t="s">
        <v>272</v>
      </c>
      <c r="E138" s="804" t="s">
        <v>9</v>
      </c>
    </row>
    <row r="139" spans="2:7" x14ac:dyDescent="0.35">
      <c r="B139" s="805" t="s">
        <v>3</v>
      </c>
      <c r="C139" s="806">
        <v>168</v>
      </c>
      <c r="D139" s="807">
        <v>530</v>
      </c>
      <c r="E139" s="808">
        <f>+C139*D139</f>
        <v>89040</v>
      </c>
      <c r="F139" s="771" t="s">
        <v>417</v>
      </c>
    </row>
    <row r="140" spans="2:7" x14ac:dyDescent="0.35">
      <c r="B140" s="805" t="s">
        <v>394</v>
      </c>
      <c r="C140" s="806">
        <v>8</v>
      </c>
      <c r="D140" s="807">
        <v>530</v>
      </c>
      <c r="E140" s="828">
        <f>+C140*D140</f>
        <v>4240</v>
      </c>
    </row>
    <row r="141" spans="2:7" x14ac:dyDescent="0.35">
      <c r="B141" s="805" t="s">
        <v>22</v>
      </c>
      <c r="C141" s="806">
        <v>14</v>
      </c>
      <c r="D141" s="807">
        <f>+D139*1.5</f>
        <v>795</v>
      </c>
      <c r="E141" s="828">
        <f>+C141*D141</f>
        <v>11130</v>
      </c>
    </row>
    <row r="142" spans="2:7" x14ac:dyDescent="0.35">
      <c r="B142" s="614" t="s">
        <v>200</v>
      </c>
      <c r="C142" s="617"/>
      <c r="D142" s="227"/>
      <c r="E142" s="811">
        <v>10000</v>
      </c>
    </row>
    <row r="143" spans="2:7" x14ac:dyDescent="0.35">
      <c r="B143" s="614" t="s">
        <v>426</v>
      </c>
      <c r="C143" s="617"/>
      <c r="D143" s="227"/>
      <c r="E143" s="811">
        <v>10000</v>
      </c>
    </row>
    <row r="144" spans="2:7" ht="15.5" x14ac:dyDescent="0.35">
      <c r="B144" s="1446" t="s">
        <v>389</v>
      </c>
      <c r="C144" s="1447"/>
      <c r="D144" s="1448"/>
      <c r="E144" s="603">
        <f>+E139+E140+E141+E142+E143</f>
        <v>124410</v>
      </c>
      <c r="F144" s="774" t="s">
        <v>63</v>
      </c>
    </row>
    <row r="145" spans="2:6" ht="15.5" x14ac:dyDescent="0.35">
      <c r="B145" s="831" t="s">
        <v>19</v>
      </c>
      <c r="C145" s="829"/>
      <c r="D145" s="829"/>
      <c r="E145" s="832">
        <v>-40000</v>
      </c>
    </row>
    <row r="146" spans="2:6" ht="15.5" x14ac:dyDescent="0.35">
      <c r="B146" s="829"/>
      <c r="C146" s="829"/>
      <c r="D146" s="829"/>
      <c r="E146" s="830"/>
    </row>
    <row r="147" spans="2:6" ht="15.5" x14ac:dyDescent="0.35">
      <c r="B147" s="611" t="s">
        <v>11</v>
      </c>
      <c r="C147" s="821"/>
      <c r="D147" s="821"/>
      <c r="E147" s="603">
        <f>+E144+E145</f>
        <v>84410</v>
      </c>
    </row>
    <row r="148" spans="2:6" x14ac:dyDescent="0.35">
      <c r="E148" s="203" t="s">
        <v>63</v>
      </c>
    </row>
    <row r="150" spans="2:6" ht="23.5" x14ac:dyDescent="0.35">
      <c r="B150" s="1442" t="s">
        <v>408</v>
      </c>
      <c r="C150" s="1443"/>
      <c r="D150" s="1443"/>
      <c r="E150" s="1444"/>
    </row>
    <row r="151" spans="2:6" x14ac:dyDescent="0.35">
      <c r="B151" s="801" t="s">
        <v>7</v>
      </c>
      <c r="C151" s="802" t="s">
        <v>425</v>
      </c>
      <c r="D151" s="803" t="s">
        <v>272</v>
      </c>
      <c r="E151" s="804" t="s">
        <v>9</v>
      </c>
    </row>
    <row r="152" spans="2:6" x14ac:dyDescent="0.35">
      <c r="B152" s="772" t="s">
        <v>409</v>
      </c>
      <c r="C152" s="258">
        <v>168</v>
      </c>
      <c r="D152" s="227">
        <v>450</v>
      </c>
      <c r="E152" s="598">
        <f>+C152*D152</f>
        <v>75600</v>
      </c>
      <c r="F152" s="771" t="s">
        <v>436</v>
      </c>
    </row>
    <row r="153" spans="2:6" x14ac:dyDescent="0.35">
      <c r="B153" s="772" t="s">
        <v>394</v>
      </c>
      <c r="C153" s="258">
        <v>8</v>
      </c>
      <c r="D153" s="227">
        <v>450</v>
      </c>
      <c r="E153" s="598">
        <f>+C153*D153</f>
        <v>3600</v>
      </c>
    </row>
    <row r="154" spans="2:6" x14ac:dyDescent="0.35">
      <c r="B154" s="772" t="s">
        <v>418</v>
      </c>
      <c r="C154" s="258" t="s">
        <v>63</v>
      </c>
      <c r="D154" s="227" t="s">
        <v>63</v>
      </c>
      <c r="E154" s="598">
        <v>10000</v>
      </c>
    </row>
    <row r="155" spans="2:6" x14ac:dyDescent="0.35">
      <c r="B155" s="772" t="s">
        <v>6</v>
      </c>
      <c r="C155" s="258"/>
      <c r="D155" s="227"/>
      <c r="E155" s="598">
        <v>10000</v>
      </c>
    </row>
    <row r="156" spans="2:6" x14ac:dyDescent="0.35">
      <c r="B156" s="772" t="s">
        <v>22</v>
      </c>
      <c r="C156" s="258">
        <v>7</v>
      </c>
      <c r="D156" s="227">
        <f>+D152*1.5</f>
        <v>675</v>
      </c>
      <c r="E156" s="598">
        <f>+C156*D156</f>
        <v>4725</v>
      </c>
    </row>
    <row r="157" spans="2:6" x14ac:dyDescent="0.35">
      <c r="B157" s="772"/>
      <c r="C157" s="258"/>
      <c r="D157" s="227"/>
      <c r="E157" s="598"/>
    </row>
    <row r="158" spans="2:6" x14ac:dyDescent="0.35">
      <c r="B158" s="1439" t="s">
        <v>389</v>
      </c>
      <c r="C158" s="1440"/>
      <c r="D158" s="1441"/>
      <c r="E158" s="599">
        <f>+E152+E153+E154+E155+E156</f>
        <v>103925</v>
      </c>
    </row>
    <row r="159" spans="2:6" x14ac:dyDescent="0.35">
      <c r="B159" s="723" t="s">
        <v>19</v>
      </c>
      <c r="C159" s="721"/>
      <c r="D159" s="721"/>
      <c r="E159" s="722">
        <v>-4000</v>
      </c>
      <c r="F159" s="774" t="s">
        <v>63</v>
      </c>
    </row>
    <row r="160" spans="2:6" ht="15.5" x14ac:dyDescent="0.35">
      <c r="B160" s="1446" t="s">
        <v>11</v>
      </c>
      <c r="C160" s="1447"/>
      <c r="D160" s="1448"/>
      <c r="E160" s="603">
        <f>+E158+E159</f>
        <v>99925</v>
      </c>
      <c r="F160" s="774"/>
    </row>
    <row r="163" spans="2:5" ht="14.5" customHeight="1" x14ac:dyDescent="0.35">
      <c r="B163" s="1442" t="s">
        <v>440</v>
      </c>
      <c r="C163" s="1443"/>
      <c r="D163" s="1443"/>
      <c r="E163" s="1444"/>
    </row>
    <row r="164" spans="2:5" ht="14.5" customHeight="1" x14ac:dyDescent="0.35">
      <c r="B164" s="801" t="s">
        <v>7</v>
      </c>
      <c r="C164" s="802" t="s">
        <v>388</v>
      </c>
      <c r="D164" s="803" t="s">
        <v>272</v>
      </c>
      <c r="E164" s="804" t="s">
        <v>9</v>
      </c>
    </row>
    <row r="165" spans="2:5" ht="14.5" customHeight="1" x14ac:dyDescent="0.35">
      <c r="B165" s="805" t="s">
        <v>3</v>
      </c>
      <c r="C165" s="806">
        <v>44</v>
      </c>
      <c r="D165" s="807">
        <v>450</v>
      </c>
      <c r="E165" s="833">
        <f>+C165*D165</f>
        <v>19800</v>
      </c>
    </row>
    <row r="166" spans="2:5" ht="15.5" customHeight="1" x14ac:dyDescent="0.35">
      <c r="B166" s="805" t="s">
        <v>299</v>
      </c>
      <c r="C166" s="806" t="s">
        <v>63</v>
      </c>
      <c r="D166" s="807" t="s">
        <v>63</v>
      </c>
      <c r="E166" s="834" t="s">
        <v>63</v>
      </c>
    </row>
    <row r="167" spans="2:5" x14ac:dyDescent="0.35">
      <c r="B167" s="805" t="s">
        <v>22</v>
      </c>
      <c r="C167" s="806">
        <v>3.5</v>
      </c>
      <c r="D167" s="807">
        <f>+D165*1.5</f>
        <v>675</v>
      </c>
      <c r="E167" s="834">
        <f>+C167*D167</f>
        <v>2362.5</v>
      </c>
    </row>
    <row r="168" spans="2:5" x14ac:dyDescent="0.35">
      <c r="B168" s="614" t="s">
        <v>200</v>
      </c>
      <c r="C168" s="617"/>
      <c r="D168" s="227"/>
      <c r="E168" s="598">
        <v>2500</v>
      </c>
    </row>
    <row r="169" spans="2:5" ht="15.5" x14ac:dyDescent="0.35">
      <c r="B169" s="1446" t="s">
        <v>389</v>
      </c>
      <c r="C169" s="1447"/>
      <c r="D169" s="1448"/>
      <c r="E169" s="603">
        <f>+E165+E167+E168</f>
        <v>24662.5</v>
      </c>
    </row>
    <row r="170" spans="2:5" ht="15.5" x14ac:dyDescent="0.35">
      <c r="B170" s="831" t="s">
        <v>19</v>
      </c>
      <c r="C170" s="829"/>
      <c r="D170" s="829"/>
      <c r="E170" s="832">
        <v>-2000</v>
      </c>
    </row>
    <row r="171" spans="2:5" ht="15.5" x14ac:dyDescent="0.35">
      <c r="B171" s="829"/>
      <c r="C171" s="829"/>
      <c r="D171" s="829"/>
      <c r="E171" s="830"/>
    </row>
    <row r="172" spans="2:5" ht="15.5" x14ac:dyDescent="0.35">
      <c r="B172" s="611" t="s">
        <v>11</v>
      </c>
      <c r="C172" s="821"/>
      <c r="D172" s="821"/>
      <c r="E172" s="603">
        <f>+E169+E170</f>
        <v>22662.5</v>
      </c>
    </row>
  </sheetData>
  <mergeCells count="29">
    <mergeCell ref="B150:E150"/>
    <mergeCell ref="B158:D158"/>
    <mergeCell ref="B160:D160"/>
    <mergeCell ref="B163:E163"/>
    <mergeCell ref="B169:D169"/>
    <mergeCell ref="B144:D144"/>
    <mergeCell ref="B70:E70"/>
    <mergeCell ref="B78:D78"/>
    <mergeCell ref="B84:E84"/>
    <mergeCell ref="B92:D92"/>
    <mergeCell ref="B99:E99"/>
    <mergeCell ref="B107:D107"/>
    <mergeCell ref="B112:E112"/>
    <mergeCell ref="B124:E124"/>
    <mergeCell ref="B131:D131"/>
    <mergeCell ref="B134:D134"/>
    <mergeCell ref="B137:E137"/>
    <mergeCell ref="B65:D65"/>
    <mergeCell ref="B2:E2"/>
    <mergeCell ref="B10:D10"/>
    <mergeCell ref="B13:D13"/>
    <mergeCell ref="B16:E16"/>
    <mergeCell ref="B24:D24"/>
    <mergeCell ref="B26:D26"/>
    <mergeCell ref="B29:E29"/>
    <mergeCell ref="B37:D37"/>
    <mergeCell ref="B42:E42"/>
    <mergeCell ref="B51:D51"/>
    <mergeCell ref="B57:E57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E47"/>
  <sheetViews>
    <sheetView topLeftCell="A30" workbookViewId="0">
      <selection activeCell="F32" sqref="F32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15.7265625" style="771" customWidth="1"/>
    <col min="5" max="5" width="14.08984375" style="771" customWidth="1"/>
    <col min="6" max="16384" width="10.90625" style="771"/>
  </cols>
  <sheetData>
    <row r="1" spans="2:3" s="658" customFormat="1" ht="28.5" x14ac:dyDescent="0.65">
      <c r="B1" s="718" t="s">
        <v>461</v>
      </c>
      <c r="C1" s="657"/>
    </row>
    <row r="3" spans="2:3" x14ac:dyDescent="0.35">
      <c r="B3" s="772" t="s">
        <v>10</v>
      </c>
      <c r="C3" s="773">
        <v>72500</v>
      </c>
    </row>
    <row r="4" spans="2:3" x14ac:dyDescent="0.35">
      <c r="B4" s="772" t="s">
        <v>15</v>
      </c>
      <c r="C4" s="773">
        <v>295800</v>
      </c>
    </row>
    <row r="5" spans="2:3" x14ac:dyDescent="0.35">
      <c r="B5" s="772" t="s">
        <v>16</v>
      </c>
      <c r="C5" s="773">
        <v>126100</v>
      </c>
    </row>
    <row r="6" spans="2:3" x14ac:dyDescent="0.35">
      <c r="B6" s="772" t="s">
        <v>0</v>
      </c>
      <c r="C6" s="773">
        <v>133300</v>
      </c>
    </row>
    <row r="7" spans="2:3" x14ac:dyDescent="0.35">
      <c r="B7" s="772" t="s">
        <v>28</v>
      </c>
      <c r="C7" s="773">
        <v>69200</v>
      </c>
    </row>
    <row r="8" spans="2:3" x14ac:dyDescent="0.35">
      <c r="B8" s="772" t="s">
        <v>245</v>
      </c>
      <c r="C8" s="773">
        <v>95600</v>
      </c>
    </row>
    <row r="9" spans="2:3" x14ac:dyDescent="0.35">
      <c r="B9" s="772" t="s">
        <v>267</v>
      </c>
      <c r="C9" s="773">
        <v>143200</v>
      </c>
    </row>
    <row r="10" spans="2:3" x14ac:dyDescent="0.35">
      <c r="B10" s="772" t="s">
        <v>260</v>
      </c>
      <c r="C10" s="773">
        <v>70300</v>
      </c>
    </row>
    <row r="11" spans="2:3" x14ac:dyDescent="0.35">
      <c r="B11" s="772" t="s">
        <v>277</v>
      </c>
      <c r="C11" s="773">
        <v>67500</v>
      </c>
    </row>
    <row r="12" spans="2:3" x14ac:dyDescent="0.35">
      <c r="B12" s="772" t="s">
        <v>355</v>
      </c>
      <c r="C12" s="773">
        <v>93700</v>
      </c>
    </row>
    <row r="13" spans="2:3" x14ac:dyDescent="0.35">
      <c r="B13" s="772" t="s">
        <v>443</v>
      </c>
      <c r="C13" s="773">
        <v>72500</v>
      </c>
    </row>
    <row r="14" spans="2:3" x14ac:dyDescent="0.35">
      <c r="B14" s="772" t="s">
        <v>412</v>
      </c>
      <c r="C14" s="773">
        <v>129300</v>
      </c>
    </row>
    <row r="15" spans="2:3" x14ac:dyDescent="0.35">
      <c r="B15" s="772" t="s">
        <v>411</v>
      </c>
      <c r="C15" s="773">
        <v>100840</v>
      </c>
    </row>
    <row r="16" spans="2:3" x14ac:dyDescent="0.35">
      <c r="B16" s="772" t="s">
        <v>463</v>
      </c>
      <c r="C16" s="773">
        <v>120500</v>
      </c>
    </row>
    <row r="17" spans="2:4" x14ac:dyDescent="0.35">
      <c r="B17" s="772" t="s">
        <v>462</v>
      </c>
      <c r="C17" s="773">
        <v>13600</v>
      </c>
    </row>
    <row r="18" spans="2:4" s="646" customFormat="1" ht="26" x14ac:dyDescent="0.6">
      <c r="B18" s="650" t="s">
        <v>315</v>
      </c>
      <c r="C18" s="652">
        <f>+C3+C4+C5+C6+C7+C8+C9+C10+C11+C12+C13+C14+C15+C16+C17</f>
        <v>1603940</v>
      </c>
    </row>
    <row r="19" spans="2:4" x14ac:dyDescent="0.35">
      <c r="C19" s="49" t="s">
        <v>63</v>
      </c>
    </row>
    <row r="20" spans="2:4" x14ac:dyDescent="0.35">
      <c r="C20" s="49" t="s">
        <v>63</v>
      </c>
    </row>
    <row r="23" spans="2:4" s="648" customFormat="1" ht="46" x14ac:dyDescent="1">
      <c r="B23" s="719" t="s">
        <v>464</v>
      </c>
      <c r="C23" s="653"/>
    </row>
    <row r="24" spans="2:4" ht="18.5" x14ac:dyDescent="0.45">
      <c r="B24" s="643" t="s">
        <v>306</v>
      </c>
      <c r="C24" s="654" t="s">
        <v>272</v>
      </c>
      <c r="D24" s="643" t="s">
        <v>200</v>
      </c>
    </row>
    <row r="25" spans="2:4" ht="18.5" x14ac:dyDescent="0.45">
      <c r="B25" s="644" t="s">
        <v>10</v>
      </c>
      <c r="C25" s="655">
        <v>600</v>
      </c>
      <c r="D25" s="644">
        <v>10000</v>
      </c>
    </row>
    <row r="26" spans="2:4" ht="18.5" x14ac:dyDescent="0.45">
      <c r="B26" s="644" t="s">
        <v>15</v>
      </c>
      <c r="C26" s="655">
        <v>1195</v>
      </c>
      <c r="D26" s="644">
        <v>10000</v>
      </c>
    </row>
    <row r="27" spans="2:4" ht="18.5" x14ac:dyDescent="0.45">
      <c r="B27" s="644" t="s">
        <v>16</v>
      </c>
      <c r="C27" s="655">
        <v>540</v>
      </c>
      <c r="D27" s="644">
        <v>10000</v>
      </c>
    </row>
    <row r="28" spans="2:4" ht="18.5" x14ac:dyDescent="0.45">
      <c r="B28" s="644" t="s">
        <v>0</v>
      </c>
      <c r="C28" s="655">
        <v>750</v>
      </c>
      <c r="D28" s="644">
        <v>10000</v>
      </c>
    </row>
    <row r="29" spans="2:4" ht="18.5" x14ac:dyDescent="0.45">
      <c r="B29" s="644" t="s">
        <v>28</v>
      </c>
      <c r="C29" s="655">
        <v>662.5</v>
      </c>
      <c r="D29" s="644">
        <v>10000</v>
      </c>
    </row>
    <row r="30" spans="2:4" ht="18.5" x14ac:dyDescent="0.45">
      <c r="B30" s="644" t="s">
        <v>245</v>
      </c>
      <c r="C30" s="655">
        <v>450</v>
      </c>
      <c r="D30" s="644">
        <v>10000</v>
      </c>
    </row>
    <row r="31" spans="2:4" ht="18.5" x14ac:dyDescent="0.45">
      <c r="B31" s="644" t="s">
        <v>267</v>
      </c>
      <c r="C31" s="655">
        <v>520</v>
      </c>
      <c r="D31" s="644">
        <v>10000</v>
      </c>
    </row>
    <row r="32" spans="2:4" ht="18.5" x14ac:dyDescent="0.45">
      <c r="B32" s="644" t="s">
        <v>260</v>
      </c>
      <c r="C32" s="655">
        <v>700</v>
      </c>
      <c r="D32" s="644">
        <v>10000</v>
      </c>
    </row>
    <row r="33" spans="1:5" ht="18.5" x14ac:dyDescent="0.45">
      <c r="B33" s="645" t="s">
        <v>277</v>
      </c>
      <c r="C33" s="655">
        <v>450</v>
      </c>
      <c r="D33" s="644">
        <v>10000</v>
      </c>
    </row>
    <row r="34" spans="1:5" ht="18.5" x14ac:dyDescent="0.45">
      <c r="B34" s="645" t="s">
        <v>355</v>
      </c>
      <c r="C34" s="655">
        <v>460</v>
      </c>
      <c r="D34" s="645">
        <v>10000</v>
      </c>
      <c r="E34" s="771" t="s">
        <v>63</v>
      </c>
    </row>
    <row r="35" spans="1:5" ht="18.5" x14ac:dyDescent="0.45">
      <c r="B35" s="645" t="s">
        <v>443</v>
      </c>
      <c r="C35" s="655">
        <v>450</v>
      </c>
      <c r="D35" s="645">
        <v>10000</v>
      </c>
    </row>
    <row r="36" spans="1:5" ht="18.5" x14ac:dyDescent="0.45">
      <c r="B36" s="645" t="s">
        <v>412</v>
      </c>
      <c r="C36" s="655">
        <v>450</v>
      </c>
      <c r="D36" s="645">
        <v>10000</v>
      </c>
    </row>
    <row r="37" spans="1:5" ht="18.5" x14ac:dyDescent="0.45">
      <c r="B37" s="645" t="s">
        <v>411</v>
      </c>
      <c r="C37" s="655">
        <v>530</v>
      </c>
      <c r="D37" s="645">
        <v>10000</v>
      </c>
    </row>
    <row r="38" spans="1:5" ht="18.5" x14ac:dyDescent="0.45">
      <c r="B38" s="645" t="s">
        <v>463</v>
      </c>
      <c r="C38" s="655">
        <v>500</v>
      </c>
      <c r="D38" s="645">
        <v>10000</v>
      </c>
    </row>
    <row r="39" spans="1:5" ht="18.5" x14ac:dyDescent="0.45">
      <c r="B39" s="645" t="s">
        <v>462</v>
      </c>
      <c r="C39" s="655">
        <v>600</v>
      </c>
      <c r="D39" s="645">
        <v>10000</v>
      </c>
    </row>
    <row r="40" spans="1:5" ht="18.5" x14ac:dyDescent="0.45">
      <c r="B40" s="798"/>
      <c r="C40" s="799"/>
      <c r="D40" s="798"/>
    </row>
    <row r="42" spans="1:5" x14ac:dyDescent="0.35">
      <c r="A42" s="701" t="s">
        <v>106</v>
      </c>
      <c r="B42" s="702" t="s">
        <v>107</v>
      </c>
      <c r="C42" s="702" t="s">
        <v>262</v>
      </c>
      <c r="D42" s="704"/>
    </row>
    <row r="43" spans="1:5" x14ac:dyDescent="0.35">
      <c r="A43" s="703">
        <v>17</v>
      </c>
      <c r="B43" s="703">
        <v>9</v>
      </c>
      <c r="C43" s="568">
        <f>+A43*B43</f>
        <v>153</v>
      </c>
      <c r="D43" s="592" t="s">
        <v>116</v>
      </c>
    </row>
    <row r="44" spans="1:5" x14ac:dyDescent="0.35">
      <c r="A44" s="703">
        <v>3</v>
      </c>
      <c r="B44" s="703">
        <v>8</v>
      </c>
      <c r="C44" s="568">
        <f>+A44*B44</f>
        <v>24</v>
      </c>
      <c r="D44" s="593" t="s">
        <v>117</v>
      </c>
    </row>
    <row r="45" spans="1:5" x14ac:dyDescent="0.35">
      <c r="A45" s="703">
        <v>3</v>
      </c>
      <c r="B45" s="703">
        <v>8</v>
      </c>
      <c r="C45" s="568">
        <f>+A45*B45</f>
        <v>24</v>
      </c>
      <c r="D45" s="593" t="s">
        <v>111</v>
      </c>
    </row>
    <row r="46" spans="1:5" x14ac:dyDescent="0.35">
      <c r="A46" s="568" t="s">
        <v>63</v>
      </c>
      <c r="B46" s="773"/>
      <c r="C46" s="568">
        <f>+C43+C44+C45</f>
        <v>201</v>
      </c>
      <c r="D46" s="592" t="s">
        <v>309</v>
      </c>
    </row>
    <row r="47" spans="1:5" x14ac:dyDescent="0.35">
      <c r="B47" s="49"/>
      <c r="C47" s="771"/>
    </row>
  </sheetData>
  <pageMargins left="0.7" right="0.7" top="0.75" bottom="0.75" header="0.3" footer="0.3"/>
  <pageSetup paperSize="9" scale="93" fitToWidth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1:V204"/>
  <sheetViews>
    <sheetView topLeftCell="A82" zoomScale="90" zoomScaleNormal="90" workbookViewId="0">
      <selection activeCell="E10" sqref="E10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18" customHeight="1" x14ac:dyDescent="0.35"/>
    <row r="2" spans="2:21" ht="25.5" customHeight="1" x14ac:dyDescent="0.35">
      <c r="B2" s="1431" t="s">
        <v>10</v>
      </c>
      <c r="C2" s="1431"/>
      <c r="D2" s="1431"/>
      <c r="E2" s="1431"/>
    </row>
    <row r="3" spans="2:21" s="835" customFormat="1" ht="18" customHeight="1" x14ac:dyDescent="0.35">
      <c r="B3" s="2" t="s">
        <v>7</v>
      </c>
      <c r="C3" s="270" t="s">
        <v>8</v>
      </c>
      <c r="D3" s="217" t="s">
        <v>4</v>
      </c>
      <c r="E3" s="597" t="s">
        <v>9</v>
      </c>
      <c r="F3" s="771"/>
      <c r="T3" s="771"/>
      <c r="U3" s="771"/>
    </row>
    <row r="4" spans="2:21" ht="18" customHeight="1" x14ac:dyDescent="0.35">
      <c r="B4" s="772" t="s">
        <v>3</v>
      </c>
      <c r="C4" s="258">
        <v>177</v>
      </c>
      <c r="D4" s="227">
        <v>660</v>
      </c>
      <c r="E4" s="598">
        <f>+C4*D4</f>
        <v>116820</v>
      </c>
      <c r="F4" s="553" t="s">
        <v>362</v>
      </c>
      <c r="T4" s="835"/>
    </row>
    <row r="5" spans="2:21" ht="18" customHeight="1" x14ac:dyDescent="0.35">
      <c r="B5" s="772" t="s">
        <v>444</v>
      </c>
      <c r="C5" s="258">
        <v>24</v>
      </c>
      <c r="D5" s="227">
        <v>660</v>
      </c>
      <c r="E5" s="598">
        <f>+C5*D5</f>
        <v>15840</v>
      </c>
      <c r="T5" s="774"/>
    </row>
    <row r="6" spans="2:21" ht="18" customHeight="1" x14ac:dyDescent="0.35">
      <c r="B6" s="772" t="s">
        <v>196</v>
      </c>
      <c r="C6" s="258"/>
      <c r="D6" s="227"/>
      <c r="E6" s="598">
        <v>10000</v>
      </c>
      <c r="F6" s="774" t="s">
        <v>63</v>
      </c>
      <c r="G6" s="771" t="s">
        <v>63</v>
      </c>
    </row>
    <row r="7" spans="2:21" ht="18" customHeight="1" x14ac:dyDescent="0.35">
      <c r="B7" s="772" t="s">
        <v>335</v>
      </c>
      <c r="C7" s="258">
        <v>2.5</v>
      </c>
      <c r="D7" s="194">
        <f>+D4*1.5</f>
        <v>990</v>
      </c>
      <c r="E7" s="598">
        <f>+C7*D7</f>
        <v>2475</v>
      </c>
      <c r="G7" s="774"/>
    </row>
    <row r="8" spans="2:21" ht="18" customHeight="1" x14ac:dyDescent="0.35">
      <c r="B8" s="772" t="s">
        <v>6</v>
      </c>
      <c r="C8" s="258">
        <v>20000</v>
      </c>
      <c r="D8" s="194"/>
      <c r="E8" s="598">
        <f>+C8</f>
        <v>20000</v>
      </c>
      <c r="F8" s="90" t="s">
        <v>63</v>
      </c>
      <c r="G8" s="774" t="s">
        <v>63</v>
      </c>
      <c r="U8" s="835"/>
    </row>
    <row r="9" spans="2:21" ht="18" customHeight="1" x14ac:dyDescent="0.35">
      <c r="B9" s="772" t="s">
        <v>445</v>
      </c>
      <c r="C9" s="258">
        <v>1</v>
      </c>
      <c r="D9" s="194">
        <v>1500</v>
      </c>
      <c r="E9" s="598">
        <f>+C9*D9</f>
        <v>1500</v>
      </c>
      <c r="F9" s="774" t="s">
        <v>63</v>
      </c>
      <c r="U9" s="835"/>
    </row>
    <row r="10" spans="2:21" ht="18" customHeight="1" x14ac:dyDescent="0.35">
      <c r="B10" s="1432" t="s">
        <v>99</v>
      </c>
      <c r="C10" s="1432"/>
      <c r="D10" s="1432"/>
      <c r="E10" s="599">
        <f>+E4+E5+E6+E7+E8+E9</f>
        <v>166635</v>
      </c>
      <c r="F10" s="774" t="s">
        <v>63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835"/>
    </row>
    <row r="11" spans="2:21" ht="18" customHeight="1" x14ac:dyDescent="0.35">
      <c r="B11" s="843" t="s">
        <v>384</v>
      </c>
      <c r="C11" s="840"/>
      <c r="D11" s="840"/>
      <c r="E11" s="599">
        <v>-66424.539999999994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835"/>
    </row>
    <row r="12" spans="2:21" ht="18" customHeight="1" x14ac:dyDescent="0.35">
      <c r="B12" s="800" t="s">
        <v>446</v>
      </c>
      <c r="C12" s="721" t="s">
        <v>63</v>
      </c>
      <c r="D12" s="721" t="s">
        <v>63</v>
      </c>
      <c r="E12" s="722">
        <v>-16663.5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835"/>
    </row>
    <row r="13" spans="2:21" ht="18" customHeight="1" x14ac:dyDescent="0.35">
      <c r="B13" s="1433" t="s">
        <v>11</v>
      </c>
      <c r="C13" s="1433"/>
      <c r="D13" s="1433"/>
      <c r="E13" s="603">
        <f>+E10+E11+E12</f>
        <v>83546.960000000006</v>
      </c>
      <c r="F13" s="774" t="s">
        <v>63</v>
      </c>
      <c r="H13" s="321"/>
      <c r="I13" s="321"/>
      <c r="J13" s="321"/>
      <c r="K13" s="473"/>
      <c r="L13" s="321"/>
      <c r="M13" s="321"/>
      <c r="T13" s="835"/>
    </row>
    <row r="14" spans="2:21" ht="18" customHeight="1" x14ac:dyDescent="0.35">
      <c r="B14" s="455"/>
      <c r="C14" s="455"/>
      <c r="D14" s="455"/>
      <c r="E14" s="456"/>
      <c r="H14" s="321"/>
      <c r="I14" s="321"/>
      <c r="J14" s="321"/>
      <c r="K14" s="473"/>
      <c r="L14" s="321"/>
      <c r="M14" s="321"/>
      <c r="T14" s="835"/>
    </row>
    <row r="15" spans="2:21" ht="18" customHeight="1" x14ac:dyDescent="0.35">
      <c r="F15" s="106"/>
      <c r="G15" s="4"/>
      <c r="N15" s="4"/>
      <c r="T15" s="835"/>
    </row>
    <row r="16" spans="2:21" ht="18" customHeight="1" x14ac:dyDescent="0.35">
      <c r="B16" s="1431" t="s">
        <v>15</v>
      </c>
      <c r="C16" s="1431"/>
      <c r="D16" s="1431"/>
      <c r="E16" s="1431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835"/>
      <c r="K17" s="101"/>
      <c r="L17" s="101"/>
      <c r="M17" s="101"/>
    </row>
    <row r="18" spans="2:22" ht="18" customHeight="1" x14ac:dyDescent="0.35">
      <c r="B18" s="772" t="s">
        <v>3</v>
      </c>
      <c r="C18" s="315">
        <v>177</v>
      </c>
      <c r="D18" s="194">
        <v>1195</v>
      </c>
      <c r="E18" s="598">
        <f>+C18*D18</f>
        <v>211515</v>
      </c>
      <c r="F18" s="774" t="s">
        <v>63</v>
      </c>
      <c r="K18" s="101"/>
      <c r="L18" s="101"/>
      <c r="M18" s="101"/>
    </row>
    <row r="19" spans="2:22" ht="18" customHeight="1" x14ac:dyDescent="0.35">
      <c r="B19" s="772" t="s">
        <v>444</v>
      </c>
      <c r="C19" s="258">
        <v>24</v>
      </c>
      <c r="D19" s="194">
        <v>1195</v>
      </c>
      <c r="E19" s="598">
        <f>+C19*D19</f>
        <v>28680</v>
      </c>
      <c r="F19" s="774"/>
      <c r="K19" s="101"/>
      <c r="L19" s="101"/>
      <c r="M19" s="101"/>
    </row>
    <row r="20" spans="2:22" ht="18" customHeight="1" x14ac:dyDescent="0.35">
      <c r="B20" s="772" t="s">
        <v>196</v>
      </c>
      <c r="C20" s="258"/>
      <c r="D20" s="194"/>
      <c r="E20" s="598">
        <v>10000</v>
      </c>
      <c r="F20" s="835"/>
      <c r="H20" s="839"/>
      <c r="N20" s="51"/>
      <c r="O20" s="51"/>
      <c r="P20" s="66"/>
      <c r="Q20" s="49"/>
      <c r="R20" s="49"/>
    </row>
    <row r="21" spans="2:22" ht="18" customHeight="1" x14ac:dyDescent="0.35">
      <c r="B21" s="772" t="s">
        <v>195</v>
      </c>
      <c r="C21" s="315">
        <v>10</v>
      </c>
      <c r="D21" s="194">
        <f>+D18*1.5</f>
        <v>1792.5</v>
      </c>
      <c r="E21" s="598">
        <f>+C21*D21</f>
        <v>17925</v>
      </c>
      <c r="F21" s="774"/>
      <c r="G21" s="4"/>
      <c r="L21" s="180"/>
      <c r="M21" s="184"/>
    </row>
    <row r="22" spans="2:22" ht="18" customHeight="1" x14ac:dyDescent="0.35">
      <c r="B22" s="772" t="s">
        <v>449</v>
      </c>
      <c r="C22" s="315">
        <v>3</v>
      </c>
      <c r="D22" s="194">
        <f>+D18*2</f>
        <v>2390</v>
      </c>
      <c r="E22" s="598">
        <f>+C22*D22</f>
        <v>7170</v>
      </c>
      <c r="F22" s="774"/>
      <c r="G22" s="4"/>
      <c r="L22" s="180"/>
      <c r="M22" s="184"/>
    </row>
    <row r="23" spans="2:22" s="835" customFormat="1" ht="18" customHeight="1" x14ac:dyDescent="0.35">
      <c r="B23" s="772" t="s">
        <v>6</v>
      </c>
      <c r="C23" s="258"/>
      <c r="D23" s="194"/>
      <c r="E23" s="598">
        <v>20000</v>
      </c>
      <c r="F23" s="774" t="s">
        <v>63</v>
      </c>
      <c r="G23" s="771"/>
      <c r="L23" s="184"/>
      <c r="M23" s="184"/>
      <c r="N23" s="771"/>
      <c r="O23" s="771"/>
      <c r="P23" s="771"/>
      <c r="Q23" s="771"/>
      <c r="R23" s="771"/>
      <c r="S23" s="771"/>
      <c r="V23" s="771"/>
    </row>
    <row r="24" spans="2:22" s="835" customFormat="1" ht="18" customHeight="1" x14ac:dyDescent="0.35">
      <c r="B24" s="772" t="s">
        <v>458</v>
      </c>
      <c r="C24" s="258">
        <v>1</v>
      </c>
      <c r="D24" s="194">
        <v>3000</v>
      </c>
      <c r="E24" s="598">
        <f>+C24*D24</f>
        <v>3000</v>
      </c>
      <c r="F24" s="771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835" customFormat="1" ht="18" customHeight="1" x14ac:dyDescent="0.35">
      <c r="B25" s="1432" t="s">
        <v>99</v>
      </c>
      <c r="C25" s="1432"/>
      <c r="D25" s="1432"/>
      <c r="E25" s="599">
        <f>+E18+E19+E20+E21+E22+E23+E24</f>
        <v>298290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835" customFormat="1" ht="18" customHeight="1" x14ac:dyDescent="0.35">
      <c r="B26" s="772" t="s">
        <v>79</v>
      </c>
      <c r="C26" s="258"/>
      <c r="D26" s="194"/>
      <c r="E26" s="598">
        <v>-2480</v>
      </c>
      <c r="F26" s="774" t="s">
        <v>63</v>
      </c>
      <c r="G26" s="771"/>
      <c r="L26" s="181"/>
      <c r="M26" s="184"/>
      <c r="N26" s="180"/>
      <c r="O26" s="180"/>
      <c r="P26" s="181"/>
      <c r="Q26" s="181"/>
      <c r="R26" s="181"/>
      <c r="S26" s="771"/>
      <c r="V26" s="771"/>
    </row>
    <row r="27" spans="2:22" ht="18" customHeight="1" x14ac:dyDescent="0.35">
      <c r="B27" s="1435" t="s">
        <v>11</v>
      </c>
      <c r="C27" s="1435"/>
      <c r="D27" s="1435"/>
      <c r="E27" s="602">
        <f>+E25+E26</f>
        <v>295810</v>
      </c>
      <c r="F27" s="796" t="s">
        <v>63</v>
      </c>
      <c r="G27" s="115"/>
      <c r="M27" s="189"/>
      <c r="N27" s="180"/>
      <c r="O27" s="180"/>
      <c r="P27" s="181"/>
      <c r="Q27" s="181"/>
      <c r="R27" s="181"/>
    </row>
    <row r="28" spans="2:22" ht="18" customHeight="1" x14ac:dyDescent="0.35">
      <c r="B28" s="455"/>
      <c r="C28" s="455"/>
      <c r="D28" s="455"/>
      <c r="E28" s="456"/>
      <c r="F28" s="409"/>
      <c r="G28" s="115"/>
      <c r="M28" s="189"/>
      <c r="N28" s="180"/>
      <c r="O28" s="180"/>
      <c r="P28" s="181"/>
      <c r="Q28" s="181"/>
      <c r="R28" s="181"/>
    </row>
    <row r="29" spans="2:22" ht="19.5" customHeight="1" x14ac:dyDescent="0.35">
      <c r="F29" s="409"/>
      <c r="G29" s="115"/>
      <c r="M29" s="185"/>
      <c r="N29" s="181"/>
      <c r="O29" s="181"/>
      <c r="P29" s="181"/>
      <c r="Q29" s="181"/>
    </row>
    <row r="30" spans="2:22" ht="18" customHeight="1" x14ac:dyDescent="0.45">
      <c r="B30" s="1450" t="s">
        <v>359</v>
      </c>
      <c r="C30" s="1451"/>
      <c r="D30" s="1451"/>
      <c r="E30" s="1452"/>
      <c r="F30" s="409"/>
      <c r="G30" s="115"/>
      <c r="M30" s="185"/>
      <c r="N30" s="181"/>
      <c r="O30" s="181"/>
      <c r="P30" s="181"/>
      <c r="Q30" s="181"/>
    </row>
    <row r="31" spans="2:22" ht="18" customHeight="1" x14ac:dyDescent="0.35">
      <c r="B31" s="604" t="s">
        <v>7</v>
      </c>
      <c r="C31" s="605" t="s">
        <v>8</v>
      </c>
      <c r="D31" s="606" t="s">
        <v>4</v>
      </c>
      <c r="E31" s="606" t="s">
        <v>9</v>
      </c>
      <c r="M31" s="185"/>
      <c r="N31" s="181"/>
      <c r="O31" s="181"/>
      <c r="P31" s="184"/>
    </row>
    <row r="32" spans="2:22" ht="18" customHeight="1" x14ac:dyDescent="0.35">
      <c r="B32" s="607" t="s">
        <v>3</v>
      </c>
      <c r="C32" s="267">
        <v>177</v>
      </c>
      <c r="D32" s="211">
        <v>540</v>
      </c>
      <c r="E32" s="211">
        <f>C32*D32</f>
        <v>95580</v>
      </c>
      <c r="F32" s="771" t="s">
        <v>63</v>
      </c>
      <c r="M32" s="182"/>
    </row>
    <row r="33" spans="2:15" ht="18" customHeight="1" x14ac:dyDescent="0.35">
      <c r="B33" s="772" t="s">
        <v>444</v>
      </c>
      <c r="C33" s="267">
        <v>24</v>
      </c>
      <c r="D33" s="211">
        <v>540</v>
      </c>
      <c r="E33" s="211">
        <f>+C33*D33</f>
        <v>12960</v>
      </c>
      <c r="F33" s="774"/>
      <c r="I33" s="835"/>
      <c r="J33" s="835"/>
      <c r="K33" s="835"/>
    </row>
    <row r="34" spans="2:15" ht="18" customHeight="1" x14ac:dyDescent="0.35">
      <c r="B34" s="772" t="s">
        <v>196</v>
      </c>
      <c r="C34" s="267"/>
      <c r="D34" s="211"/>
      <c r="E34" s="211">
        <v>10000</v>
      </c>
      <c r="F34" s="774"/>
      <c r="L34" s="835"/>
    </row>
    <row r="35" spans="2:15" ht="18" customHeight="1" x14ac:dyDescent="0.35">
      <c r="B35" s="772" t="s">
        <v>195</v>
      </c>
      <c r="C35" s="267">
        <v>15.5</v>
      </c>
      <c r="D35" s="211">
        <f>+D32*1.5</f>
        <v>810</v>
      </c>
      <c r="E35" s="211">
        <f>C35*D35</f>
        <v>12555</v>
      </c>
      <c r="F35" s="649" t="s">
        <v>63</v>
      </c>
      <c r="G35" s="180"/>
      <c r="H35" s="180"/>
      <c r="I35" s="181"/>
      <c r="J35" s="187"/>
      <c r="K35" s="188"/>
      <c r="L35" s="835"/>
      <c r="O35" s="835"/>
    </row>
    <row r="36" spans="2:15" ht="18" customHeight="1" x14ac:dyDescent="0.35">
      <c r="B36" s="772" t="s">
        <v>6</v>
      </c>
      <c r="C36" s="267">
        <v>20000</v>
      </c>
      <c r="D36" s="211"/>
      <c r="E36" s="211">
        <v>20000</v>
      </c>
      <c r="F36" s="774" t="s">
        <v>63</v>
      </c>
      <c r="G36" s="180"/>
      <c r="H36" s="180"/>
      <c r="I36" s="181"/>
      <c r="J36" s="181"/>
      <c r="K36" s="184"/>
      <c r="O36" s="835"/>
    </row>
    <row r="37" spans="2:15" ht="18" customHeight="1" x14ac:dyDescent="0.35">
      <c r="B37" s="772" t="s">
        <v>433</v>
      </c>
      <c r="C37" s="267"/>
      <c r="D37" s="211"/>
      <c r="E37" s="211">
        <v>15000</v>
      </c>
      <c r="F37" s="774"/>
      <c r="G37" s="180"/>
      <c r="H37" s="180"/>
      <c r="I37" s="181"/>
      <c r="J37" s="181"/>
      <c r="K37" s="184"/>
      <c r="O37" s="835"/>
    </row>
    <row r="38" spans="2:15" s="835" customFormat="1" ht="18" customHeight="1" x14ac:dyDescent="0.35">
      <c r="B38" s="1459" t="s">
        <v>99</v>
      </c>
      <c r="C38" s="1459"/>
      <c r="D38" s="1459"/>
      <c r="E38" s="599">
        <f>+E32+E33+E34+E35+E36+E37</f>
        <v>166095</v>
      </c>
      <c r="F38" s="774" t="s">
        <v>63</v>
      </c>
      <c r="G38" s="180"/>
      <c r="H38" s="180"/>
      <c r="I38" s="181"/>
      <c r="J38" s="181"/>
      <c r="K38" s="184"/>
      <c r="L38" s="771"/>
      <c r="N38" s="771"/>
      <c r="O38" s="771"/>
    </row>
    <row r="39" spans="2:15" s="835" customFormat="1" ht="18" customHeight="1" x14ac:dyDescent="0.35">
      <c r="B39" s="825" t="s">
        <v>19</v>
      </c>
      <c r="C39" s="826" t="s">
        <v>63</v>
      </c>
      <c r="D39" s="823" t="s">
        <v>63</v>
      </c>
      <c r="E39" s="824">
        <v>-40000</v>
      </c>
      <c r="F39" s="774" t="s">
        <v>63</v>
      </c>
      <c r="G39" s="180"/>
      <c r="H39" s="180"/>
      <c r="I39" s="181"/>
      <c r="J39" s="181"/>
      <c r="K39" s="184"/>
      <c r="L39" s="771"/>
      <c r="N39" s="771"/>
      <c r="O39" s="771"/>
    </row>
    <row r="40" spans="2:15" ht="18" customHeight="1" x14ac:dyDescent="0.35">
      <c r="B40" s="786" t="s">
        <v>11</v>
      </c>
      <c r="C40" s="783"/>
      <c r="D40" s="783"/>
      <c r="E40" s="784">
        <f>+E38+E39</f>
        <v>126095</v>
      </c>
      <c r="F40" s="774"/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594"/>
      <c r="C42" s="594"/>
      <c r="D42" s="594"/>
      <c r="E42" s="595"/>
      <c r="G42" s="180"/>
      <c r="H42" s="180"/>
      <c r="I42" s="181"/>
      <c r="J42" s="181"/>
      <c r="K42" s="184"/>
    </row>
    <row r="43" spans="2:15" ht="18" customHeight="1" x14ac:dyDescent="0.35">
      <c r="B43" s="1431" t="s">
        <v>0</v>
      </c>
      <c r="C43" s="1431"/>
      <c r="D43" s="1431"/>
      <c r="E43" s="1431"/>
      <c r="G43" s="180"/>
      <c r="H43" s="180"/>
      <c r="I43" s="181"/>
      <c r="J43" s="181"/>
      <c r="K43" s="184"/>
    </row>
    <row r="44" spans="2:15" ht="18" customHeight="1" x14ac:dyDescent="0.35">
      <c r="B44" s="2" t="s">
        <v>7</v>
      </c>
      <c r="C44" s="270" t="s">
        <v>8</v>
      </c>
      <c r="D44" s="217" t="s">
        <v>4</v>
      </c>
      <c r="E44" s="597" t="s">
        <v>9</v>
      </c>
      <c r="G44" s="180"/>
      <c r="H44" s="180"/>
      <c r="I44" s="181"/>
      <c r="J44" s="181"/>
      <c r="K44" s="184"/>
    </row>
    <row r="45" spans="2:15" ht="18" customHeight="1" x14ac:dyDescent="0.35">
      <c r="B45" s="772" t="s">
        <v>253</v>
      </c>
      <c r="C45" s="258">
        <v>177</v>
      </c>
      <c r="D45" s="194">
        <v>750</v>
      </c>
      <c r="E45" s="598">
        <f>+C45*D45</f>
        <v>132750</v>
      </c>
      <c r="F45" s="771" t="s">
        <v>63</v>
      </c>
      <c r="G45" s="180"/>
      <c r="H45" s="180"/>
      <c r="I45" s="181"/>
      <c r="J45" s="181"/>
      <c r="K45" s="184"/>
    </row>
    <row r="46" spans="2:15" ht="18" customHeight="1" x14ac:dyDescent="0.35">
      <c r="B46" s="772" t="s">
        <v>444</v>
      </c>
      <c r="C46" s="258">
        <v>24</v>
      </c>
      <c r="D46" s="194">
        <v>750</v>
      </c>
      <c r="E46" s="598">
        <f>+C46*D46</f>
        <v>18000</v>
      </c>
      <c r="F46" s="774" t="s">
        <v>63</v>
      </c>
      <c r="G46" s="180"/>
      <c r="H46" s="180"/>
      <c r="I46" s="181"/>
      <c r="J46" s="181"/>
      <c r="K46" s="184"/>
    </row>
    <row r="47" spans="2:15" ht="15" customHeight="1" x14ac:dyDescent="0.35">
      <c r="B47" s="772" t="s">
        <v>196</v>
      </c>
      <c r="C47" s="258"/>
      <c r="D47" s="194"/>
      <c r="E47" s="598">
        <v>10000</v>
      </c>
      <c r="G47" s="180"/>
      <c r="H47" s="180"/>
      <c r="I47" s="181"/>
      <c r="J47" s="181"/>
      <c r="K47" s="184"/>
      <c r="L47" s="835"/>
    </row>
    <row r="48" spans="2:15" ht="15" customHeight="1" x14ac:dyDescent="0.35">
      <c r="B48" s="772" t="s">
        <v>195</v>
      </c>
      <c r="C48" s="315">
        <v>10</v>
      </c>
      <c r="D48" s="194">
        <f>+D45*1.5</f>
        <v>1125</v>
      </c>
      <c r="E48" s="598">
        <f>+D48*C48</f>
        <v>11250</v>
      </c>
      <c r="G48" s="180"/>
      <c r="H48" s="180"/>
      <c r="I48" s="181"/>
      <c r="J48" s="181"/>
      <c r="K48" s="184"/>
      <c r="L48" s="835"/>
    </row>
    <row r="49" spans="2:22" ht="15" customHeight="1" x14ac:dyDescent="0.35">
      <c r="B49" s="772" t="s">
        <v>449</v>
      </c>
      <c r="C49" s="315">
        <v>4</v>
      </c>
      <c r="D49" s="194">
        <f>+D45*2</f>
        <v>1500</v>
      </c>
      <c r="E49" s="598">
        <f>+C49*D49</f>
        <v>6000</v>
      </c>
      <c r="G49" s="180"/>
      <c r="H49" s="180"/>
      <c r="I49" s="181"/>
      <c r="J49" s="181"/>
      <c r="K49" s="184"/>
      <c r="L49" s="835"/>
    </row>
    <row r="50" spans="2:22" ht="15" customHeight="1" x14ac:dyDescent="0.35">
      <c r="B50" s="772" t="s">
        <v>6</v>
      </c>
      <c r="C50" s="258">
        <v>20000</v>
      </c>
      <c r="D50" s="194"/>
      <c r="E50" s="598">
        <f>+C50</f>
        <v>20000</v>
      </c>
      <c r="G50" s="180"/>
      <c r="H50" s="180"/>
      <c r="I50" s="181"/>
      <c r="J50" s="181"/>
      <c r="K50" s="184"/>
    </row>
    <row r="51" spans="2:22" ht="15" customHeight="1" x14ac:dyDescent="0.35">
      <c r="B51" s="772" t="s">
        <v>447</v>
      </c>
      <c r="C51" s="258">
        <v>1</v>
      </c>
      <c r="D51" s="194">
        <v>3000</v>
      </c>
      <c r="E51" s="598">
        <f>+C51*D51</f>
        <v>3000</v>
      </c>
      <c r="M51" s="176"/>
      <c r="N51" s="180"/>
      <c r="O51" s="180"/>
      <c r="P51" s="181"/>
      <c r="Q51" s="181"/>
      <c r="R51" s="184"/>
    </row>
    <row r="52" spans="2:22" ht="15" customHeight="1" x14ac:dyDescent="0.35">
      <c r="B52" s="1432" t="s">
        <v>99</v>
      </c>
      <c r="C52" s="1432"/>
      <c r="D52" s="1432"/>
      <c r="E52" s="599">
        <f>+E45+E46+E47+E48+E49+E50+E51</f>
        <v>201000</v>
      </c>
      <c r="F52" s="774" t="s">
        <v>63</v>
      </c>
      <c r="G52" s="774" t="s">
        <v>63</v>
      </c>
      <c r="M52" s="176"/>
      <c r="N52" s="176"/>
      <c r="O52" s="176"/>
      <c r="P52" s="181"/>
      <c r="Q52" s="181"/>
      <c r="R52" s="184"/>
      <c r="T52" s="835"/>
    </row>
    <row r="53" spans="2:22" s="835" customFormat="1" ht="15" customHeight="1" x14ac:dyDescent="0.35">
      <c r="B53" s="723" t="s">
        <v>333</v>
      </c>
      <c r="C53" s="727" t="s">
        <v>63</v>
      </c>
      <c r="D53" s="727" t="s">
        <v>63</v>
      </c>
      <c r="E53" s="722">
        <v>-67691.67</v>
      </c>
      <c r="F53" s="649" t="s">
        <v>63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s="835" customFormat="1" ht="15" customHeight="1" x14ac:dyDescent="0.35">
      <c r="B54" s="672"/>
      <c r="C54" s="673" t="s">
        <v>11</v>
      </c>
      <c r="D54" s="674"/>
      <c r="E54" s="675">
        <f>+E52+E53</f>
        <v>133308.33000000002</v>
      </c>
      <c r="F54" s="649" t="s">
        <v>63</v>
      </c>
      <c r="G54" s="771"/>
      <c r="H54" s="771"/>
      <c r="I54" s="771"/>
      <c r="J54" s="771"/>
      <c r="K54" s="771"/>
      <c r="L54" s="771"/>
      <c r="M54" s="176"/>
      <c r="N54" s="176"/>
      <c r="O54" s="176"/>
      <c r="P54" s="176"/>
      <c r="Q54" s="176"/>
      <c r="R54" s="176"/>
      <c r="S54" s="771"/>
      <c r="T54" s="771"/>
      <c r="U54" s="771"/>
      <c r="V54" s="771"/>
    </row>
    <row r="55" spans="2:22" ht="15" customHeight="1" x14ac:dyDescent="0.35">
      <c r="C55" s="771"/>
      <c r="D55" s="771"/>
      <c r="E55" s="771"/>
      <c r="N55" s="183"/>
      <c r="O55" s="183"/>
      <c r="P55" s="176"/>
      <c r="Q55" s="176"/>
      <c r="R55" s="176"/>
      <c r="T55" s="835"/>
    </row>
    <row r="56" spans="2:22" s="90" customFormat="1" ht="15" customHeight="1" x14ac:dyDescent="0.35">
      <c r="N56" s="455"/>
      <c r="O56" s="455"/>
      <c r="P56" s="728"/>
      <c r="Q56" s="728"/>
      <c r="R56" s="728"/>
      <c r="T56" s="839"/>
    </row>
    <row r="57" spans="2:22" s="690" customFormat="1" ht="15" customHeight="1" x14ac:dyDescent="0.35">
      <c r="G57" s="671"/>
      <c r="H57" s="671"/>
      <c r="I57" s="671"/>
      <c r="J57" s="671"/>
      <c r="K57" s="671"/>
      <c r="L57" s="671"/>
      <c r="M57" s="691"/>
      <c r="N57" s="691"/>
      <c r="O57" s="691"/>
      <c r="P57" s="691"/>
      <c r="Q57" s="691"/>
      <c r="R57" s="691"/>
      <c r="S57" s="671"/>
      <c r="T57" s="671"/>
      <c r="U57" s="671"/>
      <c r="V57" s="671"/>
    </row>
    <row r="58" spans="2:22" s="835" customFormat="1" ht="15" customHeight="1" x14ac:dyDescent="0.35">
      <c r="B58" s="1431" t="s">
        <v>28</v>
      </c>
      <c r="C58" s="1431"/>
      <c r="D58" s="1431"/>
      <c r="E58" s="1431"/>
      <c r="F58" s="771"/>
      <c r="G58" s="771"/>
      <c r="H58" s="771"/>
      <c r="I58" s="771"/>
      <c r="J58" s="771"/>
      <c r="K58" s="771"/>
      <c r="L58" s="771"/>
      <c r="M58" s="771"/>
      <c r="N58" s="176"/>
      <c r="O58" s="176"/>
      <c r="P58" s="176"/>
      <c r="Q58" s="176"/>
      <c r="R58" s="176"/>
      <c r="S58" s="771"/>
      <c r="U58" s="771"/>
    </row>
    <row r="59" spans="2:22" s="835" customFormat="1" ht="15" customHeight="1" x14ac:dyDescent="0.35">
      <c r="B59" s="2" t="s">
        <v>7</v>
      </c>
      <c r="C59" s="270" t="s">
        <v>8</v>
      </c>
      <c r="D59" s="217" t="s">
        <v>4</v>
      </c>
      <c r="E59" s="597" t="s">
        <v>9</v>
      </c>
      <c r="F59" s="771"/>
      <c r="G59" s="771"/>
      <c r="H59" s="771"/>
      <c r="I59" s="771"/>
      <c r="J59" s="771"/>
      <c r="K59" s="771"/>
      <c r="L59" s="771"/>
      <c r="M59" s="771"/>
      <c r="N59" s="176"/>
      <c r="O59" s="176"/>
      <c r="P59" s="176"/>
      <c r="Q59" s="176"/>
      <c r="R59" s="176"/>
      <c r="S59" s="771"/>
      <c r="U59" s="771"/>
    </row>
    <row r="60" spans="2:22" ht="15" customHeight="1" x14ac:dyDescent="0.35">
      <c r="B60" s="772" t="s">
        <v>3</v>
      </c>
      <c r="C60" s="315">
        <v>177</v>
      </c>
      <c r="D60" s="194">
        <v>662.5</v>
      </c>
      <c r="E60" s="598">
        <f>+C60*D60</f>
        <v>117262.5</v>
      </c>
      <c r="N60" s="176"/>
      <c r="O60" s="176"/>
      <c r="P60" s="176"/>
      <c r="Q60" s="176"/>
      <c r="R60" s="176"/>
    </row>
    <row r="61" spans="2:22" ht="15" customHeight="1" x14ac:dyDescent="0.35">
      <c r="B61" s="772" t="s">
        <v>448</v>
      </c>
      <c r="C61" s="315">
        <v>24</v>
      </c>
      <c r="D61" s="194">
        <v>662.5</v>
      </c>
      <c r="E61" s="598">
        <f>+C61*D61</f>
        <v>15900</v>
      </c>
      <c r="N61" s="176"/>
      <c r="O61" s="176"/>
      <c r="P61" s="176"/>
      <c r="Q61" s="176"/>
      <c r="R61" s="176"/>
    </row>
    <row r="62" spans="2:22" ht="15" customHeight="1" x14ac:dyDescent="0.35">
      <c r="B62" s="772" t="s">
        <v>200</v>
      </c>
      <c r="C62" s="315" t="s">
        <v>63</v>
      </c>
      <c r="D62" s="194"/>
      <c r="E62" s="598" t="s">
        <v>63</v>
      </c>
      <c r="N62" s="176"/>
      <c r="O62" s="176"/>
      <c r="P62" s="176"/>
      <c r="Q62" s="176"/>
      <c r="R62" s="176"/>
    </row>
    <row r="63" spans="2:22" ht="15" customHeight="1" x14ac:dyDescent="0.35">
      <c r="B63" s="772" t="s">
        <v>195</v>
      </c>
      <c r="C63" s="315" t="s">
        <v>63</v>
      </c>
      <c r="D63" s="194" t="s">
        <v>63</v>
      </c>
      <c r="E63" s="598" t="s">
        <v>63</v>
      </c>
      <c r="N63" s="176"/>
      <c r="O63" s="176"/>
      <c r="P63" s="176"/>
      <c r="Q63" s="176"/>
      <c r="R63" s="176"/>
    </row>
    <row r="64" spans="2:22" ht="15" customHeight="1" x14ac:dyDescent="0.35">
      <c r="B64" s="772" t="s">
        <v>6</v>
      </c>
      <c r="C64" s="315" t="s">
        <v>63</v>
      </c>
      <c r="D64" s="194"/>
      <c r="E64" s="598" t="s">
        <v>63</v>
      </c>
      <c r="N64" s="176"/>
      <c r="O64" s="176"/>
      <c r="P64" s="176"/>
      <c r="Q64" s="176"/>
      <c r="R64" s="176"/>
    </row>
    <row r="65" spans="2:22" ht="15" customHeight="1" x14ac:dyDescent="0.35">
      <c r="B65" s="772" t="s">
        <v>435</v>
      </c>
      <c r="C65" s="315">
        <v>1</v>
      </c>
      <c r="D65" s="194" t="s">
        <v>63</v>
      </c>
      <c r="E65" s="598" t="s">
        <v>63</v>
      </c>
      <c r="F65" s="774" t="s">
        <v>63</v>
      </c>
      <c r="N65" s="176"/>
      <c r="O65" s="176"/>
      <c r="P65" s="176"/>
      <c r="Q65" s="176"/>
      <c r="R65" s="176"/>
    </row>
    <row r="66" spans="2:22" ht="15" customHeight="1" x14ac:dyDescent="0.35">
      <c r="B66" s="1432" t="s">
        <v>99</v>
      </c>
      <c r="C66" s="1432"/>
      <c r="D66" s="1432"/>
      <c r="E66" s="599">
        <f>+E60+E61</f>
        <v>133162.5</v>
      </c>
      <c r="F66" s="774" t="s">
        <v>63</v>
      </c>
      <c r="N66" s="176"/>
      <c r="O66" s="176"/>
      <c r="P66" s="176"/>
      <c r="Q66" s="176"/>
      <c r="R66" s="176"/>
    </row>
    <row r="67" spans="2:22" ht="15" customHeight="1" x14ac:dyDescent="0.35">
      <c r="B67" s="836" t="s">
        <v>375</v>
      </c>
      <c r="C67" s="836"/>
      <c r="D67" s="836" t="s">
        <v>63</v>
      </c>
      <c r="E67" s="600">
        <v>-63990.27</v>
      </c>
      <c r="N67" s="176"/>
      <c r="O67" s="176"/>
      <c r="P67" s="176"/>
      <c r="Q67" s="176"/>
      <c r="R67" s="176"/>
    </row>
    <row r="68" spans="2:22" ht="15" customHeight="1" x14ac:dyDescent="0.35">
      <c r="B68" s="684"/>
      <c r="C68" s="685" t="s">
        <v>11</v>
      </c>
      <c r="D68" s="686"/>
      <c r="E68" s="687">
        <f>+E66+E67</f>
        <v>69172.23000000001</v>
      </c>
    </row>
    <row r="69" spans="2:22" ht="15" customHeight="1" x14ac:dyDescent="0.35">
      <c r="C69" s="771"/>
      <c r="D69" s="771"/>
      <c r="E69" s="771"/>
    </row>
    <row r="70" spans="2:22" ht="15" customHeight="1" x14ac:dyDescent="0.35">
      <c r="C70" s="771"/>
      <c r="D70" s="771"/>
      <c r="E70" s="771"/>
    </row>
    <row r="71" spans="2:22" ht="15" customHeight="1" x14ac:dyDescent="0.35">
      <c r="B71" s="1442" t="s">
        <v>263</v>
      </c>
      <c r="C71" s="1443"/>
      <c r="D71" s="1443"/>
      <c r="E71" s="1444"/>
      <c r="V71" s="835"/>
    </row>
    <row r="72" spans="2:22" x14ac:dyDescent="0.35">
      <c r="B72" s="2" t="s">
        <v>7</v>
      </c>
      <c r="C72" s="270" t="s">
        <v>8</v>
      </c>
      <c r="D72" s="217" t="s">
        <v>4</v>
      </c>
      <c r="E72" s="597" t="s">
        <v>9</v>
      </c>
    </row>
    <row r="73" spans="2:22" x14ac:dyDescent="0.35">
      <c r="B73" s="772" t="s">
        <v>3</v>
      </c>
      <c r="C73" s="258">
        <v>177</v>
      </c>
      <c r="D73" s="227">
        <v>520</v>
      </c>
      <c r="E73" s="598">
        <f>+C73*D73</f>
        <v>92040</v>
      </c>
      <c r="F73" s="771" t="s">
        <v>63</v>
      </c>
    </row>
    <row r="74" spans="2:22" x14ac:dyDescent="0.35">
      <c r="B74" s="772" t="s">
        <v>448</v>
      </c>
      <c r="C74" s="258">
        <v>24</v>
      </c>
      <c r="D74" s="227">
        <v>520</v>
      </c>
      <c r="E74" s="598">
        <f>+C74*D74</f>
        <v>12480</v>
      </c>
    </row>
    <row r="75" spans="2:22" x14ac:dyDescent="0.35">
      <c r="B75" s="772" t="s">
        <v>266</v>
      </c>
      <c r="C75" s="258"/>
      <c r="D75" s="227"/>
      <c r="E75" s="598">
        <v>10000</v>
      </c>
    </row>
    <row r="76" spans="2:22" x14ac:dyDescent="0.35">
      <c r="B76" s="772" t="s">
        <v>195</v>
      </c>
      <c r="C76" s="258">
        <v>13.5</v>
      </c>
      <c r="D76" s="194">
        <f>+D73*1.5</f>
        <v>780</v>
      </c>
      <c r="E76" s="598">
        <f>+C76*D76</f>
        <v>10530</v>
      </c>
      <c r="G76" s="774" t="s">
        <v>63</v>
      </c>
    </row>
    <row r="77" spans="2:22" x14ac:dyDescent="0.35">
      <c r="B77" s="772" t="s">
        <v>449</v>
      </c>
      <c r="C77" s="258">
        <v>3</v>
      </c>
      <c r="D77" s="194">
        <f>+D73*2</f>
        <v>1040</v>
      </c>
      <c r="E77" s="598">
        <f>+C77*D77</f>
        <v>3120</v>
      </c>
      <c r="G77" s="774"/>
    </row>
    <row r="78" spans="2:22" x14ac:dyDescent="0.35">
      <c r="B78" s="772" t="s">
        <v>6</v>
      </c>
      <c r="C78" s="258">
        <v>15000</v>
      </c>
      <c r="D78" s="194"/>
      <c r="E78" s="598">
        <v>15000</v>
      </c>
    </row>
    <row r="79" spans="2:22" x14ac:dyDescent="0.35">
      <c r="B79" s="772" t="s">
        <v>63</v>
      </c>
      <c r="C79" s="258" t="s">
        <v>63</v>
      </c>
      <c r="D79" s="194" t="s">
        <v>63</v>
      </c>
      <c r="E79" s="598" t="s">
        <v>63</v>
      </c>
    </row>
    <row r="80" spans="2:22" x14ac:dyDescent="0.35">
      <c r="B80" s="1439" t="s">
        <v>99</v>
      </c>
      <c r="C80" s="1440"/>
      <c r="D80" s="1441"/>
      <c r="E80" s="599">
        <f>+E73+E74+E75+E76+E77+E78</f>
        <v>143170</v>
      </c>
      <c r="F80" s="774" t="s">
        <v>63</v>
      </c>
    </row>
    <row r="81" spans="2:6" x14ac:dyDescent="0.35">
      <c r="B81" s="723" t="s">
        <v>63</v>
      </c>
      <c r="C81" s="720" t="s">
        <v>63</v>
      </c>
      <c r="D81" s="720"/>
      <c r="E81" s="722" t="s">
        <v>63</v>
      </c>
      <c r="F81" s="774" t="s">
        <v>63</v>
      </c>
    </row>
    <row r="82" spans="2:6" x14ac:dyDescent="0.35">
      <c r="B82" s="672"/>
      <c r="C82" s="673" t="s">
        <v>11</v>
      </c>
      <c r="D82" s="674"/>
      <c r="E82" s="675">
        <f>+E73+E74+E75+E76+E77+E78</f>
        <v>143170</v>
      </c>
    </row>
    <row r="83" spans="2:6" x14ac:dyDescent="0.35">
      <c r="C83" s="771"/>
      <c r="D83" s="771"/>
      <c r="E83" s="771"/>
    </row>
    <row r="86" spans="2:6" ht="23.5" x14ac:dyDescent="0.35">
      <c r="B86" s="1442" t="s">
        <v>301</v>
      </c>
      <c r="C86" s="1443"/>
      <c r="D86" s="1443"/>
      <c r="E86" s="1444"/>
    </row>
    <row r="87" spans="2:6" x14ac:dyDescent="0.35">
      <c r="B87" s="2" t="s">
        <v>7</v>
      </c>
      <c r="C87" s="270" t="s">
        <v>8</v>
      </c>
      <c r="D87" s="217" t="s">
        <v>4</v>
      </c>
      <c r="E87" s="597" t="s">
        <v>9</v>
      </c>
    </row>
    <row r="88" spans="2:6" x14ac:dyDescent="0.35">
      <c r="B88" s="772" t="s">
        <v>3</v>
      </c>
      <c r="C88" s="258">
        <v>177</v>
      </c>
      <c r="D88" s="227">
        <v>450</v>
      </c>
      <c r="E88" s="598">
        <f>+C88*D88</f>
        <v>79650</v>
      </c>
      <c r="F88" s="771" t="s">
        <v>63</v>
      </c>
    </row>
    <row r="89" spans="2:6" x14ac:dyDescent="0.35">
      <c r="B89" s="772" t="s">
        <v>450</v>
      </c>
      <c r="C89" s="258">
        <v>24</v>
      </c>
      <c r="D89" s="227">
        <v>450</v>
      </c>
      <c r="E89" s="598">
        <f>+C89*D89</f>
        <v>10800</v>
      </c>
    </row>
    <row r="90" spans="2:6" x14ac:dyDescent="0.35">
      <c r="B90" s="772" t="s">
        <v>200</v>
      </c>
      <c r="C90" s="258"/>
      <c r="D90" s="227"/>
      <c r="E90" s="598">
        <v>10000</v>
      </c>
    </row>
    <row r="91" spans="2:6" x14ac:dyDescent="0.35">
      <c r="B91" s="772" t="s">
        <v>195</v>
      </c>
      <c r="C91" s="258">
        <v>3</v>
      </c>
      <c r="D91" s="194">
        <f>+D88*1.5</f>
        <v>675</v>
      </c>
      <c r="E91" s="598">
        <f>+C91*D91</f>
        <v>2025</v>
      </c>
    </row>
    <row r="92" spans="2:6" x14ac:dyDescent="0.35">
      <c r="B92" s="772" t="s">
        <v>6</v>
      </c>
      <c r="C92" s="258">
        <v>15000</v>
      </c>
      <c r="D92" s="194"/>
      <c r="E92" s="598">
        <v>15000</v>
      </c>
      <c r="F92" s="771" t="s">
        <v>63</v>
      </c>
    </row>
    <row r="93" spans="2:6" x14ac:dyDescent="0.35">
      <c r="B93" s="772" t="s">
        <v>63</v>
      </c>
      <c r="C93" s="258" t="s">
        <v>63</v>
      </c>
      <c r="D93" s="194" t="s">
        <v>63</v>
      </c>
      <c r="E93" s="598" t="s">
        <v>63</v>
      </c>
    </row>
    <row r="94" spans="2:6" x14ac:dyDescent="0.35">
      <c r="B94" s="1439" t="s">
        <v>99</v>
      </c>
      <c r="C94" s="1440"/>
      <c r="D94" s="1441"/>
      <c r="E94" s="599">
        <f>+E88+E89+E90+E91+E92</f>
        <v>117475</v>
      </c>
      <c r="F94" s="774" t="s">
        <v>63</v>
      </c>
    </row>
    <row r="95" spans="2:6" x14ac:dyDescent="0.35">
      <c r="B95" s="724" t="s">
        <v>19</v>
      </c>
      <c r="C95" s="729" t="s">
        <v>63</v>
      </c>
      <c r="D95" s="730" t="s">
        <v>63</v>
      </c>
      <c r="E95" s="731">
        <v>-40000</v>
      </c>
      <c r="F95" s="774" t="s">
        <v>63</v>
      </c>
    </row>
    <row r="96" spans="2:6" x14ac:dyDescent="0.35">
      <c r="B96" s="739" t="s">
        <v>451</v>
      </c>
      <c r="C96" s="729"/>
      <c r="D96" s="730"/>
      <c r="E96" s="731">
        <v>-10000</v>
      </c>
    </row>
    <row r="97" spans="2:7" s="755" customFormat="1" ht="23.5" x14ac:dyDescent="0.55000000000000004">
      <c r="B97" s="751"/>
      <c r="C97" s="752" t="s">
        <v>11</v>
      </c>
      <c r="D97" s="753"/>
      <c r="E97" s="754">
        <f>+E94+E95+E96</f>
        <v>67475</v>
      </c>
      <c r="F97" s="770" t="s">
        <v>63</v>
      </c>
    </row>
    <row r="101" spans="2:7" ht="21" customHeight="1" x14ac:dyDescent="0.35">
      <c r="B101" s="1442" t="s">
        <v>354</v>
      </c>
      <c r="C101" s="1443"/>
      <c r="D101" s="1443"/>
      <c r="E101" s="1444"/>
    </row>
    <row r="102" spans="2:7" ht="21" customHeight="1" x14ac:dyDescent="0.35">
      <c r="B102" s="2" t="s">
        <v>7</v>
      </c>
      <c r="C102" s="270" t="s">
        <v>8</v>
      </c>
      <c r="D102" s="217" t="s">
        <v>4</v>
      </c>
      <c r="E102" s="597" t="s">
        <v>9</v>
      </c>
    </row>
    <row r="103" spans="2:7" ht="14.5" customHeight="1" x14ac:dyDescent="0.35">
      <c r="B103" s="772" t="s">
        <v>3</v>
      </c>
      <c r="C103" s="258">
        <v>177</v>
      </c>
      <c r="D103" s="227">
        <v>460</v>
      </c>
      <c r="E103" s="598">
        <f>+C103*D103</f>
        <v>81420</v>
      </c>
      <c r="F103" s="771" t="s">
        <v>63</v>
      </c>
    </row>
    <row r="104" spans="2:7" ht="13.5" customHeight="1" x14ac:dyDescent="0.35">
      <c r="B104" s="772" t="s">
        <v>444</v>
      </c>
      <c r="C104" s="258">
        <v>24</v>
      </c>
      <c r="D104" s="227">
        <v>460</v>
      </c>
      <c r="E104" s="598">
        <f>+C104*D104</f>
        <v>11040</v>
      </c>
    </row>
    <row r="105" spans="2:7" x14ac:dyDescent="0.35">
      <c r="B105" s="772" t="s">
        <v>266</v>
      </c>
      <c r="C105" s="258"/>
      <c r="D105" s="227"/>
      <c r="E105" s="598">
        <v>10000</v>
      </c>
    </row>
    <row r="106" spans="2:7" x14ac:dyDescent="0.35">
      <c r="B106" s="772" t="s">
        <v>195</v>
      </c>
      <c r="C106" s="258">
        <v>9</v>
      </c>
      <c r="D106" s="194">
        <f>+D103*1.5</f>
        <v>690</v>
      </c>
      <c r="E106" s="598">
        <f>+C106*D106</f>
        <v>6210</v>
      </c>
    </row>
    <row r="107" spans="2:7" x14ac:dyDescent="0.35">
      <c r="B107" s="772" t="s">
        <v>6</v>
      </c>
      <c r="C107" s="258">
        <v>15000</v>
      </c>
      <c r="D107" s="194"/>
      <c r="E107" s="598">
        <v>15000</v>
      </c>
    </row>
    <row r="108" spans="2:7" x14ac:dyDescent="0.35">
      <c r="B108" s="772" t="s">
        <v>303</v>
      </c>
      <c r="C108" s="258" t="s">
        <v>63</v>
      </c>
      <c r="D108" s="194" t="s">
        <v>63</v>
      </c>
      <c r="E108" s="598">
        <v>20000</v>
      </c>
    </row>
    <row r="109" spans="2:7" x14ac:dyDescent="0.35">
      <c r="B109" s="1439" t="s">
        <v>99</v>
      </c>
      <c r="C109" s="1440"/>
      <c r="D109" s="1441"/>
      <c r="E109" s="599">
        <f>+E103+E104+E105+E106+E107+E108</f>
        <v>143670</v>
      </c>
      <c r="F109" s="774" t="s">
        <v>63</v>
      </c>
      <c r="G109" s="774" t="s">
        <v>63</v>
      </c>
    </row>
    <row r="110" spans="2:7" x14ac:dyDescent="0.35">
      <c r="B110" s="723" t="s">
        <v>19</v>
      </c>
      <c r="C110" s="720" t="s">
        <v>63</v>
      </c>
      <c r="D110" s="720"/>
      <c r="E110" s="722">
        <v>-50000</v>
      </c>
      <c r="F110" s="774" t="s">
        <v>63</v>
      </c>
    </row>
    <row r="111" spans="2:7" s="760" customFormat="1" ht="21" x14ac:dyDescent="0.5">
      <c r="B111" s="756"/>
      <c r="C111" s="757" t="s">
        <v>11</v>
      </c>
      <c r="D111" s="758"/>
      <c r="E111" s="759">
        <f>+E109+E110</f>
        <v>93670</v>
      </c>
      <c r="F111" s="797" t="s">
        <v>63</v>
      </c>
    </row>
    <row r="114" spans="2:6" ht="23.5" x14ac:dyDescent="0.35">
      <c r="B114" s="1442" t="s">
        <v>260</v>
      </c>
      <c r="C114" s="1443"/>
      <c r="D114" s="1443"/>
      <c r="E114" s="1444"/>
    </row>
    <row r="115" spans="2:6" x14ac:dyDescent="0.35">
      <c r="B115" s="2" t="s">
        <v>7</v>
      </c>
      <c r="C115" s="270" t="s">
        <v>8</v>
      </c>
      <c r="D115" s="217" t="s">
        <v>4</v>
      </c>
      <c r="E115" s="597" t="s">
        <v>9</v>
      </c>
    </row>
    <row r="116" spans="2:6" x14ac:dyDescent="0.35">
      <c r="B116" s="772" t="s">
        <v>3</v>
      </c>
      <c r="C116" s="258">
        <v>148</v>
      </c>
      <c r="D116" s="194">
        <v>700</v>
      </c>
      <c r="E116" s="598">
        <f>+C116*D116</f>
        <v>103600</v>
      </c>
      <c r="F116" s="771" t="s">
        <v>63</v>
      </c>
    </row>
    <row r="117" spans="2:6" x14ac:dyDescent="0.35">
      <c r="B117" s="772" t="s">
        <v>452</v>
      </c>
      <c r="C117" s="258">
        <v>21</v>
      </c>
      <c r="D117" s="194">
        <v>700</v>
      </c>
      <c r="E117" s="609">
        <f>+C117*D117</f>
        <v>14700</v>
      </c>
    </row>
    <row r="118" spans="2:6" x14ac:dyDescent="0.35">
      <c r="B118" s="772" t="s">
        <v>6</v>
      </c>
      <c r="C118" s="258"/>
      <c r="D118" s="194"/>
      <c r="E118" s="609">
        <v>15000</v>
      </c>
    </row>
    <row r="119" spans="2:6" x14ac:dyDescent="0.35">
      <c r="B119" s="614" t="s">
        <v>200</v>
      </c>
      <c r="C119" s="617"/>
      <c r="D119" s="227"/>
      <c r="E119" s="609">
        <v>10000</v>
      </c>
      <c r="F119" s="774" t="s">
        <v>63</v>
      </c>
    </row>
    <row r="120" spans="2:6" x14ac:dyDescent="0.35">
      <c r="B120" s="621" t="s">
        <v>99</v>
      </c>
      <c r="C120" s="622"/>
      <c r="D120" s="622"/>
      <c r="E120" s="634">
        <f>+E116+E117+E118+E119</f>
        <v>143300</v>
      </c>
      <c r="F120" s="774" t="s">
        <v>63</v>
      </c>
    </row>
    <row r="121" spans="2:6" x14ac:dyDescent="0.35">
      <c r="B121" s="615" t="s">
        <v>374</v>
      </c>
      <c r="C121" s="619"/>
      <c r="D121" s="619"/>
      <c r="E121" s="710">
        <v>-40000</v>
      </c>
    </row>
    <row r="122" spans="2:6" x14ac:dyDescent="0.35">
      <c r="B122" s="615" t="s">
        <v>453</v>
      </c>
      <c r="C122" s="709"/>
      <c r="D122" s="619"/>
      <c r="E122" s="710">
        <v>-33000</v>
      </c>
      <c r="F122" s="774" t="s">
        <v>63</v>
      </c>
    </row>
    <row r="123" spans="2:6" ht="15.5" x14ac:dyDescent="0.35">
      <c r="B123" s="705" t="s">
        <v>11</v>
      </c>
      <c r="C123" s="708"/>
      <c r="D123" s="706"/>
      <c r="E123" s="603">
        <f>+E120+E121+E122</f>
        <v>70300</v>
      </c>
      <c r="F123" s="774" t="s">
        <v>63</v>
      </c>
    </row>
    <row r="124" spans="2:6" x14ac:dyDescent="0.35">
      <c r="F124" s="774" t="s">
        <v>63</v>
      </c>
    </row>
    <row r="126" spans="2:6" ht="23.5" x14ac:dyDescent="0.35">
      <c r="B126" s="1442" t="s">
        <v>264</v>
      </c>
      <c r="C126" s="1443"/>
      <c r="D126" s="1443"/>
      <c r="E126" s="1444"/>
    </row>
    <row r="127" spans="2:6" x14ac:dyDescent="0.35">
      <c r="B127" s="2" t="s">
        <v>7</v>
      </c>
      <c r="C127" s="270" t="s">
        <v>8</v>
      </c>
      <c r="D127" s="217" t="s">
        <v>4</v>
      </c>
      <c r="E127" s="597" t="s">
        <v>9</v>
      </c>
    </row>
    <row r="128" spans="2:6" x14ac:dyDescent="0.35">
      <c r="B128" s="772" t="s">
        <v>3</v>
      </c>
      <c r="C128" s="258">
        <v>177</v>
      </c>
      <c r="D128" s="227">
        <v>450</v>
      </c>
      <c r="E128" s="598">
        <f>+D128*C128</f>
        <v>79650</v>
      </c>
      <c r="F128" s="771" t="s">
        <v>63</v>
      </c>
    </row>
    <row r="129" spans="2:7" x14ac:dyDescent="0.35">
      <c r="B129" s="772" t="s">
        <v>450</v>
      </c>
      <c r="C129" s="258">
        <v>24</v>
      </c>
      <c r="D129" s="227">
        <v>450</v>
      </c>
      <c r="E129" s="598">
        <f>+C129*D129</f>
        <v>10800</v>
      </c>
    </row>
    <row r="130" spans="2:7" x14ac:dyDescent="0.35">
      <c r="B130" s="772" t="s">
        <v>196</v>
      </c>
      <c r="C130" s="258"/>
      <c r="D130" s="227"/>
      <c r="E130" s="598">
        <v>10000</v>
      </c>
    </row>
    <row r="131" spans="2:7" x14ac:dyDescent="0.35">
      <c r="B131" s="772" t="s">
        <v>195</v>
      </c>
      <c r="C131" s="258">
        <v>11</v>
      </c>
      <c r="D131" s="227">
        <f>+D128*1.5</f>
        <v>675</v>
      </c>
      <c r="E131" s="598">
        <f>+C131*D131</f>
        <v>7425</v>
      </c>
    </row>
    <row r="132" spans="2:7" x14ac:dyDescent="0.35">
      <c r="B132" s="772" t="s">
        <v>449</v>
      </c>
      <c r="C132" s="258">
        <v>3</v>
      </c>
      <c r="D132" s="227">
        <f>+D128*2</f>
        <v>900</v>
      </c>
      <c r="E132" s="598">
        <f>+C132*D132</f>
        <v>2700</v>
      </c>
    </row>
    <row r="133" spans="2:7" x14ac:dyDescent="0.35">
      <c r="B133" s="772" t="s">
        <v>6</v>
      </c>
      <c r="C133" s="258">
        <v>10000</v>
      </c>
      <c r="D133" s="227"/>
      <c r="E133" s="598">
        <v>10000</v>
      </c>
    </row>
    <row r="134" spans="2:7" x14ac:dyDescent="0.35">
      <c r="B134" s="1439" t="s">
        <v>99</v>
      </c>
      <c r="C134" s="1440"/>
      <c r="D134" s="1441"/>
      <c r="E134" s="599">
        <f>+E128+E129+E130+E131+E132+E133</f>
        <v>120575</v>
      </c>
      <c r="F134" s="774" t="s">
        <v>63</v>
      </c>
    </row>
    <row r="135" spans="2:7" x14ac:dyDescent="0.35">
      <c r="B135" s="723" t="s">
        <v>50</v>
      </c>
      <c r="C135" s="721"/>
      <c r="D135" s="721"/>
      <c r="E135" s="722">
        <v>-15000</v>
      </c>
      <c r="F135" s="774" t="s">
        <v>63</v>
      </c>
      <c r="G135" s="774" t="s">
        <v>63</v>
      </c>
    </row>
    <row r="136" spans="2:7" x14ac:dyDescent="0.35">
      <c r="B136" s="842" t="s">
        <v>454</v>
      </c>
      <c r="C136" s="837" t="s">
        <v>455</v>
      </c>
      <c r="D136" s="838"/>
      <c r="E136" s="600">
        <v>-10000</v>
      </c>
    </row>
    <row r="137" spans="2:7" ht="15.5" x14ac:dyDescent="0.35">
      <c r="B137" s="1446" t="s">
        <v>11</v>
      </c>
      <c r="C137" s="1447"/>
      <c r="D137" s="1448"/>
      <c r="E137" s="603">
        <f>+E134+E135+E136</f>
        <v>95575</v>
      </c>
      <c r="F137" s="774" t="s">
        <v>63</v>
      </c>
    </row>
    <row r="140" spans="2:7" ht="23.5" x14ac:dyDescent="0.35">
      <c r="B140" s="1431" t="s">
        <v>386</v>
      </c>
      <c r="C140" s="1431"/>
      <c r="D140" s="1431"/>
      <c r="E140" s="1431"/>
    </row>
    <row r="141" spans="2:7" x14ac:dyDescent="0.35">
      <c r="B141" s="801" t="s">
        <v>7</v>
      </c>
      <c r="C141" s="802" t="s">
        <v>388</v>
      </c>
      <c r="D141" s="803" t="s">
        <v>272</v>
      </c>
      <c r="E141" s="804" t="s">
        <v>9</v>
      </c>
    </row>
    <row r="142" spans="2:7" x14ac:dyDescent="0.35">
      <c r="B142" s="805" t="s">
        <v>3</v>
      </c>
      <c r="C142" s="806">
        <v>177</v>
      </c>
      <c r="D142" s="807">
        <v>530</v>
      </c>
      <c r="E142" s="808">
        <f>+C142*D142</f>
        <v>93810</v>
      </c>
      <c r="F142" s="771" t="s">
        <v>63</v>
      </c>
    </row>
    <row r="143" spans="2:7" x14ac:dyDescent="0.35">
      <c r="B143" s="805" t="s">
        <v>444</v>
      </c>
      <c r="C143" s="806">
        <v>24</v>
      </c>
      <c r="D143" s="807">
        <v>530</v>
      </c>
      <c r="E143" s="828">
        <f>+C143*D143</f>
        <v>12720</v>
      </c>
    </row>
    <row r="144" spans="2:7" x14ac:dyDescent="0.35">
      <c r="B144" s="805" t="s">
        <v>22</v>
      </c>
      <c r="C144" s="806">
        <v>18</v>
      </c>
      <c r="D144" s="807">
        <f>+D142*1.5</f>
        <v>795</v>
      </c>
      <c r="E144" s="828">
        <f>+C144*D144</f>
        <v>14310</v>
      </c>
    </row>
    <row r="145" spans="2:6" x14ac:dyDescent="0.35">
      <c r="B145" s="614" t="s">
        <v>200</v>
      </c>
      <c r="C145" s="617"/>
      <c r="D145" s="227"/>
      <c r="E145" s="811">
        <v>10000</v>
      </c>
    </row>
    <row r="146" spans="2:6" x14ac:dyDescent="0.35">
      <c r="B146" s="614" t="s">
        <v>426</v>
      </c>
      <c r="C146" s="617"/>
      <c r="D146" s="227"/>
      <c r="E146" s="811">
        <v>10000</v>
      </c>
    </row>
    <row r="147" spans="2:6" ht="15.5" x14ac:dyDescent="0.35">
      <c r="B147" s="1433" t="s">
        <v>389</v>
      </c>
      <c r="C147" s="1433"/>
      <c r="D147" s="1433"/>
      <c r="E147" s="603">
        <f>+E142+E143+E144+E145+E146</f>
        <v>140840</v>
      </c>
      <c r="F147" s="774" t="s">
        <v>63</v>
      </c>
    </row>
    <row r="148" spans="2:6" ht="15.5" x14ac:dyDescent="0.35">
      <c r="B148" s="831" t="s">
        <v>19</v>
      </c>
      <c r="C148" s="829"/>
      <c r="D148" s="829"/>
      <c r="E148" s="832">
        <v>-40000</v>
      </c>
    </row>
    <row r="149" spans="2:6" ht="15.5" x14ac:dyDescent="0.35">
      <c r="B149" s="829"/>
      <c r="C149" s="829"/>
      <c r="D149" s="829"/>
      <c r="E149" s="830"/>
    </row>
    <row r="150" spans="2:6" ht="15.5" x14ac:dyDescent="0.35">
      <c r="B150" s="611" t="s">
        <v>11</v>
      </c>
      <c r="C150" s="841"/>
      <c r="D150" s="841"/>
      <c r="E150" s="603">
        <f>+E147+E148</f>
        <v>100840</v>
      </c>
    </row>
    <row r="151" spans="2:6" x14ac:dyDescent="0.35">
      <c r="E151" s="203" t="s">
        <v>63</v>
      </c>
    </row>
    <row r="153" spans="2:6" ht="23.5" x14ac:dyDescent="0.35">
      <c r="B153" s="1442" t="s">
        <v>408</v>
      </c>
      <c r="C153" s="1443"/>
      <c r="D153" s="1443"/>
      <c r="E153" s="1444"/>
    </row>
    <row r="154" spans="2:6" x14ac:dyDescent="0.35">
      <c r="B154" s="801" t="s">
        <v>7</v>
      </c>
      <c r="C154" s="802" t="s">
        <v>425</v>
      </c>
      <c r="D154" s="803" t="s">
        <v>272</v>
      </c>
      <c r="E154" s="804" t="s">
        <v>9</v>
      </c>
    </row>
    <row r="155" spans="2:6" x14ac:dyDescent="0.35">
      <c r="B155" s="772" t="s">
        <v>409</v>
      </c>
      <c r="C155" s="258">
        <v>177</v>
      </c>
      <c r="D155" s="227">
        <v>450</v>
      </c>
      <c r="E155" s="598">
        <f>+C155*D155</f>
        <v>79650</v>
      </c>
      <c r="F155" s="771" t="s">
        <v>63</v>
      </c>
    </row>
    <row r="156" spans="2:6" x14ac:dyDescent="0.35">
      <c r="B156" s="772" t="s">
        <v>444</v>
      </c>
      <c r="C156" s="258">
        <v>24</v>
      </c>
      <c r="D156" s="227">
        <v>450</v>
      </c>
      <c r="E156" s="598">
        <f>+C156*D156</f>
        <v>10800</v>
      </c>
    </row>
    <row r="157" spans="2:6" x14ac:dyDescent="0.35">
      <c r="B157" s="772" t="s">
        <v>200</v>
      </c>
      <c r="C157" s="258" t="s">
        <v>63</v>
      </c>
      <c r="D157" s="227" t="s">
        <v>63</v>
      </c>
      <c r="E157" s="598">
        <v>10000</v>
      </c>
    </row>
    <row r="158" spans="2:6" x14ac:dyDescent="0.35">
      <c r="B158" s="772" t="s">
        <v>6</v>
      </c>
      <c r="C158" s="258"/>
      <c r="D158" s="227"/>
      <c r="E158" s="598">
        <v>10000</v>
      </c>
    </row>
    <row r="159" spans="2:6" x14ac:dyDescent="0.35">
      <c r="B159" s="772" t="s">
        <v>22</v>
      </c>
      <c r="C159" s="258">
        <v>12</v>
      </c>
      <c r="D159" s="227">
        <f>+D155*1.5</f>
        <v>675</v>
      </c>
      <c r="E159" s="598">
        <f>+C159*D159</f>
        <v>8100</v>
      </c>
    </row>
    <row r="160" spans="2:6" x14ac:dyDescent="0.35">
      <c r="B160" s="772" t="s">
        <v>449</v>
      </c>
      <c r="C160" s="258">
        <v>3</v>
      </c>
      <c r="D160" s="227">
        <f>+D155*2</f>
        <v>900</v>
      </c>
      <c r="E160" s="598">
        <f>+C160*D160</f>
        <v>2700</v>
      </c>
    </row>
    <row r="161" spans="2:6" x14ac:dyDescent="0.35">
      <c r="B161" s="1439" t="s">
        <v>389</v>
      </c>
      <c r="C161" s="1440"/>
      <c r="D161" s="1441"/>
      <c r="E161" s="599">
        <f>+E155+E156+E157+E158+E159+E160</f>
        <v>121250</v>
      </c>
    </row>
    <row r="162" spans="2:6" x14ac:dyDescent="0.35">
      <c r="B162" s="831" t="s">
        <v>459</v>
      </c>
      <c r="C162" s="829"/>
      <c r="D162" s="829"/>
      <c r="E162" s="844">
        <v>8000</v>
      </c>
      <c r="F162" s="774" t="s">
        <v>63</v>
      </c>
    </row>
    <row r="163" spans="2:6" ht="15.5" x14ac:dyDescent="0.35">
      <c r="B163" s="1446" t="s">
        <v>11</v>
      </c>
      <c r="C163" s="1447"/>
      <c r="D163" s="1448"/>
      <c r="E163" s="603">
        <f>+E161+E162</f>
        <v>129250</v>
      </c>
      <c r="F163" s="774" t="s">
        <v>63</v>
      </c>
    </row>
    <row r="166" spans="2:6" ht="14.5" customHeight="1" x14ac:dyDescent="0.35">
      <c r="B166" s="1442" t="s">
        <v>440</v>
      </c>
      <c r="C166" s="1443"/>
      <c r="D166" s="1443"/>
      <c r="E166" s="1444"/>
    </row>
    <row r="167" spans="2:6" ht="14.5" customHeight="1" x14ac:dyDescent="0.35">
      <c r="B167" s="801" t="s">
        <v>7</v>
      </c>
      <c r="C167" s="802" t="s">
        <v>388</v>
      </c>
      <c r="D167" s="803" t="s">
        <v>272</v>
      </c>
      <c r="E167" s="804" t="s">
        <v>9</v>
      </c>
    </row>
    <row r="168" spans="2:6" ht="14.5" customHeight="1" x14ac:dyDescent="0.35">
      <c r="B168" s="805" t="s">
        <v>3</v>
      </c>
      <c r="C168" s="806">
        <v>177</v>
      </c>
      <c r="D168" s="807">
        <v>450</v>
      </c>
      <c r="E168" s="833">
        <f>+C168*D168</f>
        <v>79650</v>
      </c>
    </row>
    <row r="169" spans="2:6" ht="15.5" customHeight="1" x14ac:dyDescent="0.35">
      <c r="B169" s="805" t="s">
        <v>444</v>
      </c>
      <c r="C169" s="806">
        <v>24</v>
      </c>
      <c r="D169" s="807">
        <v>450</v>
      </c>
      <c r="E169" s="834">
        <f>+C169*D169</f>
        <v>10800</v>
      </c>
    </row>
    <row r="170" spans="2:6" x14ac:dyDescent="0.35">
      <c r="B170" s="805" t="s">
        <v>22</v>
      </c>
      <c r="C170" s="806">
        <v>6</v>
      </c>
      <c r="D170" s="807">
        <f>+D168*1.5</f>
        <v>675</v>
      </c>
      <c r="E170" s="834">
        <f>+C170*D170</f>
        <v>4050</v>
      </c>
    </row>
    <row r="171" spans="2:6" x14ac:dyDescent="0.35">
      <c r="B171" s="614" t="s">
        <v>200</v>
      </c>
      <c r="C171" s="617"/>
      <c r="D171" s="227"/>
      <c r="E171" s="598">
        <v>10000</v>
      </c>
    </row>
    <row r="172" spans="2:6" x14ac:dyDescent="0.35">
      <c r="B172" s="614" t="s">
        <v>459</v>
      </c>
      <c r="C172" s="617"/>
      <c r="D172" s="227"/>
      <c r="E172" s="598">
        <v>8000</v>
      </c>
    </row>
    <row r="173" spans="2:6" ht="15.5" x14ac:dyDescent="0.35">
      <c r="B173" s="1446" t="s">
        <v>389</v>
      </c>
      <c r="C173" s="1447"/>
      <c r="D173" s="1448"/>
      <c r="E173" s="603">
        <f>+E168+E169+E170+E171+E172</f>
        <v>112500</v>
      </c>
      <c r="F173" s="774" t="s">
        <v>63</v>
      </c>
    </row>
    <row r="174" spans="2:6" ht="15.5" x14ac:dyDescent="0.35">
      <c r="B174" s="831" t="s">
        <v>19</v>
      </c>
      <c r="C174" s="829"/>
      <c r="D174" s="829"/>
      <c r="E174" s="832">
        <v>-40000</v>
      </c>
    </row>
    <row r="175" spans="2:6" ht="15.5" x14ac:dyDescent="0.35">
      <c r="B175" s="829"/>
      <c r="C175" s="829"/>
      <c r="D175" s="829"/>
      <c r="E175" s="830" t="s">
        <v>63</v>
      </c>
    </row>
    <row r="176" spans="2:6" ht="15.5" x14ac:dyDescent="0.35">
      <c r="B176" s="611" t="s">
        <v>11</v>
      </c>
      <c r="C176" s="841"/>
      <c r="D176" s="841"/>
      <c r="E176" s="603">
        <f>+E173+E174</f>
        <v>72500</v>
      </c>
    </row>
    <row r="184" spans="2:5" ht="23.5" x14ac:dyDescent="0.35">
      <c r="B184" s="1442" t="s">
        <v>456</v>
      </c>
      <c r="C184" s="1443"/>
      <c r="D184" s="1443"/>
      <c r="E184" s="1444"/>
    </row>
    <row r="185" spans="2:5" x14ac:dyDescent="0.35">
      <c r="B185" s="801" t="s">
        <v>7</v>
      </c>
      <c r="C185" s="802" t="s">
        <v>388</v>
      </c>
      <c r="D185" s="803" t="s">
        <v>272</v>
      </c>
      <c r="E185" s="804" t="s">
        <v>9</v>
      </c>
    </row>
    <row r="186" spans="2:5" x14ac:dyDescent="0.35">
      <c r="B186" s="805" t="s">
        <v>3</v>
      </c>
      <c r="C186" s="806">
        <v>177</v>
      </c>
      <c r="D186" s="807">
        <v>500</v>
      </c>
      <c r="E186" s="833">
        <f>+C186*D186</f>
        <v>88500</v>
      </c>
    </row>
    <row r="187" spans="2:5" x14ac:dyDescent="0.35">
      <c r="B187" s="805" t="s">
        <v>444</v>
      </c>
      <c r="C187" s="806">
        <v>24</v>
      </c>
      <c r="D187" s="807">
        <v>500</v>
      </c>
      <c r="E187" s="834">
        <f>+C187*D187</f>
        <v>12000</v>
      </c>
    </row>
    <row r="188" spans="2:5" x14ac:dyDescent="0.35">
      <c r="B188" s="805" t="s">
        <v>6</v>
      </c>
      <c r="C188" s="806" t="s">
        <v>63</v>
      </c>
      <c r="D188" s="807" t="s">
        <v>63</v>
      </c>
      <c r="E188" s="834">
        <v>10000</v>
      </c>
    </row>
    <row r="189" spans="2:5" x14ac:dyDescent="0.35">
      <c r="B189" s="614" t="s">
        <v>200</v>
      </c>
      <c r="C189" s="617"/>
      <c r="D189" s="227"/>
      <c r="E189" s="598">
        <v>10000</v>
      </c>
    </row>
    <row r="190" spans="2:5" ht="15.5" x14ac:dyDescent="0.35">
      <c r="B190" s="1446" t="s">
        <v>389</v>
      </c>
      <c r="C190" s="1447"/>
      <c r="D190" s="1448"/>
      <c r="E190" s="603">
        <f>+E186+E187+E188+E189</f>
        <v>120500</v>
      </c>
    </row>
    <row r="191" spans="2:5" ht="15.5" x14ac:dyDescent="0.35">
      <c r="B191" s="829"/>
      <c r="C191" s="829"/>
      <c r="D191" s="829"/>
      <c r="E191" s="830" t="s">
        <v>63</v>
      </c>
    </row>
    <row r="192" spans="2:5" ht="15.5" x14ac:dyDescent="0.35">
      <c r="B192" s="611" t="s">
        <v>11</v>
      </c>
      <c r="C192" s="841"/>
      <c r="D192" s="841"/>
      <c r="E192" s="603">
        <v>120500</v>
      </c>
    </row>
    <row r="195" spans="2:5" ht="23.5" x14ac:dyDescent="0.35">
      <c r="B195" s="1442" t="s">
        <v>457</v>
      </c>
      <c r="C195" s="1443"/>
      <c r="D195" s="1443"/>
      <c r="E195" s="1444"/>
    </row>
    <row r="196" spans="2:5" x14ac:dyDescent="0.35">
      <c r="B196" s="801" t="s">
        <v>7</v>
      </c>
      <c r="C196" s="802" t="s">
        <v>388</v>
      </c>
      <c r="D196" s="803" t="s">
        <v>272</v>
      </c>
      <c r="E196" s="804" t="s">
        <v>9</v>
      </c>
    </row>
    <row r="197" spans="2:5" x14ac:dyDescent="0.35">
      <c r="B197" s="805" t="s">
        <v>3</v>
      </c>
      <c r="C197" s="806">
        <v>18</v>
      </c>
      <c r="D197" s="807">
        <v>600</v>
      </c>
      <c r="E197" s="833">
        <f>+C197*D197</f>
        <v>10800</v>
      </c>
    </row>
    <row r="198" spans="2:5" x14ac:dyDescent="0.35">
      <c r="B198" s="805" t="s">
        <v>282</v>
      </c>
      <c r="C198" s="806" t="s">
        <v>63</v>
      </c>
      <c r="D198" s="807" t="s">
        <v>63</v>
      </c>
      <c r="E198" s="834" t="s">
        <v>63</v>
      </c>
    </row>
    <row r="199" spans="2:5" x14ac:dyDescent="0.35">
      <c r="B199" s="805" t="s">
        <v>22</v>
      </c>
      <c r="C199" s="806">
        <v>2</v>
      </c>
      <c r="D199" s="807">
        <f>+D197*1.5</f>
        <v>900</v>
      </c>
      <c r="E199" s="834">
        <f>+C199*D199</f>
        <v>1800</v>
      </c>
    </row>
    <row r="200" spans="2:5" x14ac:dyDescent="0.35">
      <c r="B200" s="805" t="s">
        <v>63</v>
      </c>
      <c r="C200" s="806"/>
      <c r="D200" s="807"/>
      <c r="E200" s="834"/>
    </row>
    <row r="201" spans="2:5" x14ac:dyDescent="0.35">
      <c r="B201" s="614" t="s">
        <v>460</v>
      </c>
      <c r="C201" s="617"/>
      <c r="D201" s="227"/>
      <c r="E201" s="598">
        <v>1000</v>
      </c>
    </row>
    <row r="202" spans="2:5" ht="15.5" x14ac:dyDescent="0.35">
      <c r="B202" s="1446" t="s">
        <v>389</v>
      </c>
      <c r="C202" s="1447"/>
      <c r="D202" s="1448"/>
      <c r="E202" s="603">
        <f>+E197+E199+E201</f>
        <v>13600</v>
      </c>
    </row>
    <row r="203" spans="2:5" ht="15.5" x14ac:dyDescent="0.35">
      <c r="B203" s="829"/>
      <c r="C203" s="829"/>
      <c r="D203" s="829"/>
      <c r="E203" s="830" t="s">
        <v>63</v>
      </c>
    </row>
    <row r="204" spans="2:5" ht="15.5" x14ac:dyDescent="0.35">
      <c r="B204" s="611" t="s">
        <v>11</v>
      </c>
      <c r="C204" s="841"/>
      <c r="D204" s="841"/>
      <c r="E204" s="603">
        <f>+E197+E199+E201</f>
        <v>13600</v>
      </c>
    </row>
  </sheetData>
  <mergeCells count="33">
    <mergeCell ref="B66:D66"/>
    <mergeCell ref="B2:E2"/>
    <mergeCell ref="B10:D10"/>
    <mergeCell ref="B13:D13"/>
    <mergeCell ref="B16:E16"/>
    <mergeCell ref="B25:D25"/>
    <mergeCell ref="B27:D27"/>
    <mergeCell ref="B30:E30"/>
    <mergeCell ref="B38:D38"/>
    <mergeCell ref="B43:E43"/>
    <mergeCell ref="B52:D52"/>
    <mergeCell ref="B58:E58"/>
    <mergeCell ref="B147:D147"/>
    <mergeCell ref="B71:E71"/>
    <mergeCell ref="B80:D80"/>
    <mergeCell ref="B86:E86"/>
    <mergeCell ref="B94:D94"/>
    <mergeCell ref="B101:E101"/>
    <mergeCell ref="B109:D109"/>
    <mergeCell ref="B114:E114"/>
    <mergeCell ref="B126:E126"/>
    <mergeCell ref="B134:D134"/>
    <mergeCell ref="B137:D137"/>
    <mergeCell ref="B140:E140"/>
    <mergeCell ref="B190:D190"/>
    <mergeCell ref="B195:E195"/>
    <mergeCell ref="B202:D202"/>
    <mergeCell ref="B153:E153"/>
    <mergeCell ref="B161:D161"/>
    <mergeCell ref="B163:D163"/>
    <mergeCell ref="B166:E166"/>
    <mergeCell ref="B173:D173"/>
    <mergeCell ref="B184:E184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E14"/>
  <sheetViews>
    <sheetView workbookViewId="0">
      <selection activeCell="H7" sqref="H7"/>
    </sheetView>
  </sheetViews>
  <sheetFormatPr baseColWidth="10" defaultRowHeight="14.5" x14ac:dyDescent="0.35"/>
  <cols>
    <col min="1" max="1" width="10.90625" style="771"/>
    <col min="2" max="2" width="22.7265625" customWidth="1"/>
    <col min="5" max="5" width="11.08984375" bestFit="1" customWidth="1"/>
  </cols>
  <sheetData>
    <row r="2" spans="2:5" s="771" customFormat="1" x14ac:dyDescent="0.35">
      <c r="B2" s="585">
        <v>45078</v>
      </c>
    </row>
    <row r="3" spans="2:5" s="771" customFormat="1" x14ac:dyDescent="0.35"/>
    <row r="5" spans="2:5" ht="23.5" x14ac:dyDescent="0.35">
      <c r="B5" s="1442" t="s">
        <v>457</v>
      </c>
      <c r="C5" s="1443"/>
      <c r="D5" s="1443"/>
      <c r="E5" s="1444"/>
    </row>
    <row r="6" spans="2:5" x14ac:dyDescent="0.35">
      <c r="B6" s="801" t="s">
        <v>7</v>
      </c>
      <c r="C6" s="802" t="s">
        <v>388</v>
      </c>
      <c r="D6" s="803" t="s">
        <v>272</v>
      </c>
      <c r="E6" s="804" t="s">
        <v>9</v>
      </c>
    </row>
    <row r="7" spans="2:5" x14ac:dyDescent="0.35">
      <c r="B7" s="805" t="s">
        <v>3</v>
      </c>
      <c r="C7" s="806">
        <v>88</v>
      </c>
      <c r="D7" s="807">
        <v>600</v>
      </c>
      <c r="E7" s="833">
        <f>+C7*D7</f>
        <v>52800</v>
      </c>
    </row>
    <row r="8" spans="2:5" x14ac:dyDescent="0.35">
      <c r="B8" s="805" t="s">
        <v>282</v>
      </c>
      <c r="C8" s="806" t="s">
        <v>63</v>
      </c>
      <c r="D8" s="807" t="s">
        <v>63</v>
      </c>
      <c r="E8" s="834" t="s">
        <v>63</v>
      </c>
    </row>
    <row r="9" spans="2:5" x14ac:dyDescent="0.35">
      <c r="B9" s="805" t="s">
        <v>22</v>
      </c>
      <c r="C9" s="806" t="s">
        <v>63</v>
      </c>
      <c r="D9" s="807" t="s">
        <v>63</v>
      </c>
      <c r="E9" s="834" t="s">
        <v>63</v>
      </c>
    </row>
    <row r="10" spans="2:5" x14ac:dyDescent="0.35">
      <c r="B10" s="805" t="s">
        <v>63</v>
      </c>
      <c r="C10" s="806"/>
      <c r="D10" s="807"/>
      <c r="E10" s="834"/>
    </row>
    <row r="11" spans="2:5" x14ac:dyDescent="0.35">
      <c r="B11" s="614" t="s">
        <v>460</v>
      </c>
      <c r="C11" s="617"/>
      <c r="D11" s="227"/>
      <c r="E11" s="598">
        <v>5000</v>
      </c>
    </row>
    <row r="12" spans="2:5" ht="15.5" x14ac:dyDescent="0.35">
      <c r="B12" s="1446" t="s">
        <v>389</v>
      </c>
      <c r="C12" s="1447"/>
      <c r="D12" s="1448"/>
      <c r="E12" s="603">
        <f>+E7+E11</f>
        <v>57800</v>
      </c>
    </row>
    <row r="13" spans="2:5" ht="15.5" x14ac:dyDescent="0.35">
      <c r="B13" s="829"/>
      <c r="C13" s="829"/>
      <c r="D13" s="829"/>
      <c r="E13" s="830" t="s">
        <v>63</v>
      </c>
    </row>
    <row r="14" spans="2:5" ht="15.5" x14ac:dyDescent="0.35">
      <c r="B14" s="611" t="s">
        <v>11</v>
      </c>
      <c r="C14" s="845"/>
      <c r="D14" s="845"/>
      <c r="E14" s="603">
        <v>57800</v>
      </c>
    </row>
  </sheetData>
  <mergeCells count="2">
    <mergeCell ref="B5:E5"/>
    <mergeCell ref="B12:D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1:V208"/>
  <sheetViews>
    <sheetView topLeftCell="B53" zoomScale="90" zoomScaleNormal="90" workbookViewId="0">
      <selection activeCell="H100" sqref="H100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25.5" customHeight="1" x14ac:dyDescent="0.35">
      <c r="B1" s="1431" t="s">
        <v>10</v>
      </c>
      <c r="C1" s="1431"/>
      <c r="D1" s="1431"/>
      <c r="E1" s="1431"/>
    </row>
    <row r="2" spans="2:21" s="846" customFormat="1" ht="18" customHeight="1" x14ac:dyDescent="0.35">
      <c r="B2" s="2" t="s">
        <v>7</v>
      </c>
      <c r="C2" s="270" t="s">
        <v>8</v>
      </c>
      <c r="D2" s="217" t="s">
        <v>4</v>
      </c>
      <c r="E2" s="597" t="s">
        <v>9</v>
      </c>
      <c r="F2" s="771"/>
      <c r="T2" s="771"/>
      <c r="U2" s="771"/>
    </row>
    <row r="3" spans="2:21" ht="18" customHeight="1" x14ac:dyDescent="0.35">
      <c r="B3" s="772" t="s">
        <v>480</v>
      </c>
      <c r="C3" s="258">
        <v>171</v>
      </c>
      <c r="D3" s="227">
        <v>660</v>
      </c>
      <c r="E3" s="598">
        <f>+C3*D3</f>
        <v>112860</v>
      </c>
      <c r="F3" s="553" t="s">
        <v>63</v>
      </c>
      <c r="T3" s="846"/>
    </row>
    <row r="4" spans="2:21" ht="18" customHeight="1" x14ac:dyDescent="0.35">
      <c r="B4" s="772" t="s">
        <v>481</v>
      </c>
      <c r="C4" s="258">
        <v>20</v>
      </c>
      <c r="D4" s="227">
        <v>660</v>
      </c>
      <c r="E4" s="598">
        <f>+C4*D4</f>
        <v>13200</v>
      </c>
      <c r="F4" s="774" t="s">
        <v>63</v>
      </c>
      <c r="T4" s="774"/>
    </row>
    <row r="5" spans="2:21" ht="18" customHeight="1" x14ac:dyDescent="0.35">
      <c r="B5" s="772" t="s">
        <v>488</v>
      </c>
      <c r="C5" s="258"/>
      <c r="D5" s="227"/>
      <c r="E5" s="598">
        <v>10000</v>
      </c>
      <c r="F5" s="774" t="s">
        <v>63</v>
      </c>
      <c r="G5" s="771" t="s">
        <v>63</v>
      </c>
    </row>
    <row r="6" spans="2:21" ht="18" customHeight="1" x14ac:dyDescent="0.35">
      <c r="B6" s="772" t="s">
        <v>467</v>
      </c>
      <c r="C6" s="258">
        <v>4</v>
      </c>
      <c r="D6" s="194">
        <f>+D3*1.5</f>
        <v>990</v>
      </c>
      <c r="E6" s="598">
        <f>+C6*D6</f>
        <v>3960</v>
      </c>
      <c r="G6" s="774"/>
    </row>
    <row r="7" spans="2:21" ht="18" customHeight="1" x14ac:dyDescent="0.35">
      <c r="B7" s="772" t="s">
        <v>466</v>
      </c>
      <c r="C7" s="258">
        <v>11</v>
      </c>
      <c r="D7" s="194">
        <f>+D3*2</f>
        <v>1320</v>
      </c>
      <c r="E7" s="598">
        <f>+C7*D7</f>
        <v>14520</v>
      </c>
      <c r="G7" s="774"/>
    </row>
    <row r="8" spans="2:21" ht="18" customHeight="1" x14ac:dyDescent="0.35">
      <c r="B8" s="772" t="s">
        <v>489</v>
      </c>
      <c r="C8" s="258">
        <v>20000</v>
      </c>
      <c r="D8" s="194"/>
      <c r="E8" s="598">
        <f>+C8</f>
        <v>20000</v>
      </c>
      <c r="F8" s="90" t="s">
        <v>63</v>
      </c>
      <c r="G8" s="774" t="s">
        <v>63</v>
      </c>
      <c r="U8" s="846"/>
    </row>
    <row r="9" spans="2:21" ht="18" customHeight="1" x14ac:dyDescent="0.35">
      <c r="B9" s="772" t="s">
        <v>307</v>
      </c>
      <c r="C9" s="258" t="s">
        <v>63</v>
      </c>
      <c r="D9" s="194" t="s">
        <v>63</v>
      </c>
      <c r="E9" s="598" t="s">
        <v>63</v>
      </c>
      <c r="F9" s="774" t="s">
        <v>63</v>
      </c>
      <c r="U9" s="846"/>
    </row>
    <row r="10" spans="2:21" ht="18" customHeight="1" x14ac:dyDescent="0.35">
      <c r="B10" s="1432" t="s">
        <v>99</v>
      </c>
      <c r="C10" s="1432"/>
      <c r="D10" s="1432"/>
      <c r="E10" s="599">
        <f>+E3+E4+E5+E6+E7+E8</f>
        <v>174540</v>
      </c>
      <c r="F10" s="774" t="s">
        <v>63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846"/>
    </row>
    <row r="11" spans="2:21" s="859" customFormat="1" ht="18" customHeight="1" x14ac:dyDescent="0.35">
      <c r="B11" s="866" t="s">
        <v>478</v>
      </c>
      <c r="C11" s="860"/>
      <c r="D11" s="860"/>
      <c r="E11" s="861">
        <f>+E10/2</f>
        <v>87270</v>
      </c>
      <c r="F11" s="862"/>
      <c r="G11" s="863"/>
      <c r="H11" s="863"/>
      <c r="I11" s="863"/>
      <c r="J11" s="863"/>
      <c r="K11" s="863"/>
      <c r="L11" s="863"/>
      <c r="M11" s="863"/>
      <c r="N11" s="863"/>
      <c r="O11" s="863"/>
      <c r="P11" s="863"/>
      <c r="R11" s="864"/>
    </row>
    <row r="12" spans="2:21" ht="18" customHeight="1" x14ac:dyDescent="0.35">
      <c r="B12" s="855" t="s">
        <v>384</v>
      </c>
      <c r="C12" s="852"/>
      <c r="D12" s="852"/>
      <c r="E12" s="221">
        <v>-66424.539999999994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846"/>
    </row>
    <row r="13" spans="2:21" ht="18" customHeight="1" x14ac:dyDescent="0.35">
      <c r="B13" s="865" t="s">
        <v>483</v>
      </c>
      <c r="C13" s="852"/>
      <c r="D13" s="852"/>
      <c r="E13" s="221">
        <v>-33162.269999999997</v>
      </c>
      <c r="F13" s="774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846"/>
    </row>
    <row r="14" spans="2:21" ht="18" customHeight="1" x14ac:dyDescent="0.35">
      <c r="B14" s="800" t="s">
        <v>482</v>
      </c>
      <c r="C14" s="721" t="s">
        <v>477</v>
      </c>
      <c r="D14" s="721" t="s">
        <v>63</v>
      </c>
      <c r="E14" s="722">
        <v>-15606</v>
      </c>
      <c r="F14" s="774" t="s">
        <v>63</v>
      </c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R14" s="846"/>
    </row>
    <row r="15" spans="2:21" ht="18" customHeight="1" x14ac:dyDescent="0.35">
      <c r="B15" s="1433" t="s">
        <v>11</v>
      </c>
      <c r="C15" s="1433"/>
      <c r="D15" s="1433"/>
      <c r="E15" s="603">
        <f>+E10+E11+E12+E13+E14</f>
        <v>146617.19000000003</v>
      </c>
      <c r="F15" s="774" t="s">
        <v>63</v>
      </c>
      <c r="H15" s="321"/>
      <c r="I15" s="321"/>
      <c r="J15" s="321"/>
      <c r="K15" s="473"/>
      <c r="L15" s="321"/>
      <c r="M15" s="321"/>
      <c r="T15" s="846"/>
    </row>
    <row r="16" spans="2:21" ht="18" customHeight="1" x14ac:dyDescent="0.35">
      <c r="E16" s="203" t="s">
        <v>63</v>
      </c>
      <c r="F16" s="106"/>
      <c r="G16" s="4"/>
      <c r="N16" s="4"/>
      <c r="T16" s="846"/>
    </row>
    <row r="17" spans="2:22" ht="18" customHeight="1" x14ac:dyDescent="0.35">
      <c r="B17" s="1431" t="s">
        <v>15</v>
      </c>
      <c r="C17" s="1431"/>
      <c r="D17" s="1431"/>
      <c r="E17" s="1431"/>
      <c r="F17" s="406"/>
      <c r="K17" s="465"/>
      <c r="L17" s="465"/>
      <c r="M17" s="465"/>
    </row>
    <row r="18" spans="2:22" ht="18" customHeight="1" x14ac:dyDescent="0.35">
      <c r="B18" s="2" t="s">
        <v>7</v>
      </c>
      <c r="C18" s="270" t="s">
        <v>8</v>
      </c>
      <c r="D18" s="217" t="s">
        <v>4</v>
      </c>
      <c r="E18" s="597" t="s">
        <v>9</v>
      </c>
      <c r="F18" s="846"/>
      <c r="K18" s="101"/>
      <c r="L18" s="101"/>
      <c r="M18" s="101"/>
    </row>
    <row r="19" spans="2:22" ht="18" customHeight="1" x14ac:dyDescent="0.35">
      <c r="B19" s="772" t="s">
        <v>3</v>
      </c>
      <c r="C19" s="315">
        <v>171</v>
      </c>
      <c r="D19" s="194">
        <v>1195</v>
      </c>
      <c r="E19" s="598">
        <f>+C19*D19</f>
        <v>204345</v>
      </c>
      <c r="F19" s="774" t="s">
        <v>63</v>
      </c>
      <c r="K19" s="101"/>
      <c r="L19" s="101"/>
      <c r="M19" s="101"/>
    </row>
    <row r="20" spans="2:22" ht="18" customHeight="1" x14ac:dyDescent="0.35">
      <c r="B20" s="772" t="s">
        <v>465</v>
      </c>
      <c r="C20" s="258">
        <v>20</v>
      </c>
      <c r="D20" s="194">
        <v>1195</v>
      </c>
      <c r="E20" s="598">
        <f>+C20*D20</f>
        <v>23900</v>
      </c>
      <c r="F20" s="774"/>
      <c r="K20" s="101"/>
      <c r="L20" s="101"/>
      <c r="M20" s="101"/>
    </row>
    <row r="21" spans="2:22" ht="18" customHeight="1" x14ac:dyDescent="0.35">
      <c r="B21" s="772" t="s">
        <v>196</v>
      </c>
      <c r="C21" s="258"/>
      <c r="D21" s="194"/>
      <c r="E21" s="598">
        <v>10000</v>
      </c>
      <c r="F21" s="846"/>
      <c r="H21" s="851"/>
      <c r="N21" s="51"/>
      <c r="O21" s="51"/>
      <c r="P21" s="66"/>
      <c r="Q21" s="49"/>
      <c r="R21" s="49"/>
    </row>
    <row r="22" spans="2:22" ht="18" customHeight="1" x14ac:dyDescent="0.35">
      <c r="B22" s="772" t="s">
        <v>6</v>
      </c>
      <c r="C22" s="258"/>
      <c r="D22" s="194"/>
      <c r="E22" s="598">
        <v>20000</v>
      </c>
      <c r="F22" s="649" t="s">
        <v>63</v>
      </c>
      <c r="H22" s="851"/>
      <c r="N22" s="51"/>
      <c r="O22" s="51"/>
      <c r="P22" s="66"/>
      <c r="Q22" s="49"/>
      <c r="R22" s="49"/>
    </row>
    <row r="23" spans="2:22" ht="18" customHeight="1" x14ac:dyDescent="0.35">
      <c r="B23" s="772" t="s">
        <v>195</v>
      </c>
      <c r="C23" s="315">
        <v>9</v>
      </c>
      <c r="D23" s="194">
        <f>+D19*1.5</f>
        <v>1792.5</v>
      </c>
      <c r="E23" s="598">
        <f>+C23*D23</f>
        <v>16132.5</v>
      </c>
      <c r="F23" s="774"/>
      <c r="G23" s="4"/>
      <c r="L23" s="180"/>
      <c r="M23" s="184"/>
    </row>
    <row r="24" spans="2:22" ht="18" customHeight="1" x14ac:dyDescent="0.35">
      <c r="B24" s="772" t="s">
        <v>449</v>
      </c>
      <c r="C24" s="315">
        <v>11</v>
      </c>
      <c r="D24" s="194">
        <f>+D19*2</f>
        <v>2390</v>
      </c>
      <c r="E24" s="598">
        <f>+C24*D24</f>
        <v>26290</v>
      </c>
      <c r="F24" s="774"/>
      <c r="G24" s="4"/>
      <c r="L24" s="180"/>
      <c r="M24" s="184"/>
    </row>
    <row r="25" spans="2:22" s="846" customFormat="1" ht="18" customHeight="1" x14ac:dyDescent="0.35">
      <c r="B25" s="772" t="s">
        <v>356</v>
      </c>
      <c r="C25" s="258" t="s">
        <v>63</v>
      </c>
      <c r="D25" s="194" t="s">
        <v>63</v>
      </c>
      <c r="E25" s="598" t="s">
        <v>63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846" customFormat="1" ht="18" customHeight="1" x14ac:dyDescent="0.35">
      <c r="B26" s="1432" t="s">
        <v>99</v>
      </c>
      <c r="C26" s="1432"/>
      <c r="D26" s="1432"/>
      <c r="E26" s="599">
        <f>+E19+E20+E21+E22+E23+E24</f>
        <v>300667.5</v>
      </c>
      <c r="F26" s="774" t="s">
        <v>63</v>
      </c>
      <c r="G26" s="771"/>
      <c r="L26" s="181"/>
      <c r="M26" s="184"/>
      <c r="N26" s="180"/>
      <c r="O26" s="180"/>
      <c r="P26" s="181"/>
      <c r="Q26" s="181"/>
      <c r="R26" s="181"/>
      <c r="S26" s="771"/>
      <c r="V26" s="771"/>
    </row>
    <row r="27" spans="2:22" s="864" customFormat="1" ht="18" customHeight="1" x14ac:dyDescent="0.35">
      <c r="B27" s="870" t="s">
        <v>478</v>
      </c>
      <c r="C27" s="860"/>
      <c r="D27" s="860"/>
      <c r="E27" s="861">
        <f>+E26/2</f>
        <v>150333.75</v>
      </c>
      <c r="F27" s="862"/>
      <c r="G27" s="859"/>
      <c r="L27" s="867"/>
      <c r="M27" s="868"/>
      <c r="N27" s="869"/>
      <c r="O27" s="869"/>
      <c r="P27" s="867"/>
      <c r="Q27" s="867"/>
      <c r="R27" s="867"/>
      <c r="S27" s="859"/>
      <c r="V27" s="859"/>
    </row>
    <row r="28" spans="2:22" s="846" customFormat="1" ht="18" customHeight="1" x14ac:dyDescent="0.35">
      <c r="B28" s="772" t="s">
        <v>79</v>
      </c>
      <c r="C28" s="258"/>
      <c r="D28" s="194"/>
      <c r="E28" s="731">
        <v>-2480</v>
      </c>
      <c r="F28" s="774" t="s">
        <v>63</v>
      </c>
      <c r="G28" s="771"/>
      <c r="L28" s="181"/>
      <c r="M28" s="184"/>
      <c r="N28" s="180"/>
      <c r="O28" s="180"/>
      <c r="P28" s="181"/>
      <c r="Q28" s="181"/>
      <c r="R28" s="181"/>
      <c r="S28" s="771"/>
      <c r="V28" s="771"/>
    </row>
    <row r="29" spans="2:22" ht="18" customHeight="1" x14ac:dyDescent="0.35">
      <c r="B29" s="1435" t="s">
        <v>11</v>
      </c>
      <c r="C29" s="1435"/>
      <c r="D29" s="1435"/>
      <c r="E29" s="602">
        <f>+E26+E27+E28</f>
        <v>448521.25</v>
      </c>
      <c r="F29" s="796" t="s">
        <v>63</v>
      </c>
      <c r="G29" s="115"/>
      <c r="M29" s="189"/>
      <c r="N29" s="180"/>
      <c r="O29" s="180"/>
      <c r="P29" s="181"/>
      <c r="Q29" s="181"/>
      <c r="R29" s="181"/>
    </row>
    <row r="30" spans="2:22" ht="18" customHeight="1" x14ac:dyDescent="0.35">
      <c r="B30" s="455"/>
      <c r="C30" s="455"/>
      <c r="D30" s="455"/>
      <c r="E30" s="456"/>
      <c r="F30" s="409"/>
      <c r="G30" s="115"/>
      <c r="M30" s="189"/>
      <c r="N30" s="180"/>
      <c r="O30" s="180"/>
      <c r="P30" s="181"/>
      <c r="Q30" s="181"/>
      <c r="R30" s="181"/>
    </row>
    <row r="31" spans="2:22" ht="18" customHeight="1" x14ac:dyDescent="0.45">
      <c r="B31" s="1450" t="s">
        <v>359</v>
      </c>
      <c r="C31" s="1451"/>
      <c r="D31" s="1451"/>
      <c r="E31" s="1452"/>
      <c r="F31" s="409"/>
      <c r="G31" s="115"/>
      <c r="M31" s="185"/>
      <c r="N31" s="181"/>
      <c r="O31" s="181"/>
      <c r="P31" s="181"/>
      <c r="Q31" s="181"/>
    </row>
    <row r="32" spans="2:22" ht="18" customHeight="1" x14ac:dyDescent="0.35">
      <c r="B32" s="604" t="s">
        <v>7</v>
      </c>
      <c r="C32" s="605" t="s">
        <v>8</v>
      </c>
      <c r="D32" s="606" t="s">
        <v>4</v>
      </c>
      <c r="E32" s="606" t="s">
        <v>9</v>
      </c>
      <c r="M32" s="185"/>
      <c r="N32" s="181"/>
      <c r="O32" s="181"/>
      <c r="P32" s="184"/>
    </row>
    <row r="33" spans="2:15" ht="18" customHeight="1" x14ac:dyDescent="0.35">
      <c r="B33" s="607" t="s">
        <v>3</v>
      </c>
      <c r="C33" s="267">
        <v>171</v>
      </c>
      <c r="D33" s="211">
        <v>540</v>
      </c>
      <c r="E33" s="211">
        <f>C33*D33</f>
        <v>92340</v>
      </c>
      <c r="F33" s="771" t="s">
        <v>63</v>
      </c>
      <c r="M33" s="182"/>
    </row>
    <row r="34" spans="2:15" ht="18" customHeight="1" x14ac:dyDescent="0.35">
      <c r="B34" s="772" t="s">
        <v>465</v>
      </c>
      <c r="C34" s="267">
        <v>20</v>
      </c>
      <c r="D34" s="211">
        <v>540</v>
      </c>
      <c r="E34" s="211">
        <f>+C34*D34</f>
        <v>10800</v>
      </c>
      <c r="F34" s="774"/>
      <c r="I34" s="846"/>
      <c r="J34" s="846"/>
      <c r="K34" s="846"/>
    </row>
    <row r="35" spans="2:15" ht="18" customHeight="1" x14ac:dyDescent="0.35">
      <c r="B35" s="772" t="s">
        <v>196</v>
      </c>
      <c r="C35" s="267"/>
      <c r="D35" s="211"/>
      <c r="E35" s="211">
        <v>10000</v>
      </c>
      <c r="F35" s="774"/>
      <c r="L35" s="846"/>
    </row>
    <row r="36" spans="2:15" ht="18" customHeight="1" x14ac:dyDescent="0.35">
      <c r="B36" s="772" t="s">
        <v>6</v>
      </c>
      <c r="C36" s="267"/>
      <c r="D36" s="211"/>
      <c r="E36" s="211">
        <v>20000</v>
      </c>
      <c r="F36" s="774"/>
      <c r="L36" s="846"/>
    </row>
    <row r="37" spans="2:15" ht="18" customHeight="1" x14ac:dyDescent="0.35">
      <c r="B37" s="772" t="s">
        <v>468</v>
      </c>
      <c r="C37" s="267">
        <v>12</v>
      </c>
      <c r="D37" s="211">
        <f>+D33*1.5</f>
        <v>810</v>
      </c>
      <c r="E37" s="211">
        <f>C37*D37</f>
        <v>9720</v>
      </c>
      <c r="F37" s="649" t="s">
        <v>63</v>
      </c>
      <c r="G37" s="180"/>
      <c r="H37" s="180"/>
      <c r="I37" s="181"/>
      <c r="J37" s="187"/>
      <c r="K37" s="188"/>
      <c r="L37" s="846"/>
      <c r="O37" s="846"/>
    </row>
    <row r="38" spans="2:15" ht="18" customHeight="1" x14ac:dyDescent="0.35">
      <c r="B38" s="772" t="s">
        <v>466</v>
      </c>
      <c r="C38" s="267">
        <v>11.5</v>
      </c>
      <c r="D38" s="211">
        <f>+D33*2</f>
        <v>1080</v>
      </c>
      <c r="E38" s="211">
        <f>+C38*D38</f>
        <v>12420</v>
      </c>
      <c r="F38" s="774" t="s">
        <v>63</v>
      </c>
      <c r="G38" s="180"/>
      <c r="H38" s="180"/>
      <c r="I38" s="181"/>
      <c r="J38" s="181"/>
      <c r="K38" s="184"/>
      <c r="O38" s="846"/>
    </row>
    <row r="39" spans="2:15" ht="18" customHeight="1" x14ac:dyDescent="0.35">
      <c r="B39" s="772" t="s">
        <v>484</v>
      </c>
      <c r="C39" s="267"/>
      <c r="D39" s="211"/>
      <c r="E39" s="211">
        <v>15000</v>
      </c>
      <c r="F39" s="774" t="s">
        <v>63</v>
      </c>
      <c r="G39" s="180"/>
      <c r="H39" s="180"/>
      <c r="I39" s="181"/>
      <c r="J39" s="181"/>
      <c r="K39" s="184"/>
      <c r="O39" s="846"/>
    </row>
    <row r="40" spans="2:15" s="846" customFormat="1" ht="18" customHeight="1" x14ac:dyDescent="0.35">
      <c r="B40" s="1459" t="s">
        <v>99</v>
      </c>
      <c r="C40" s="1459"/>
      <c r="D40" s="1459"/>
      <c r="E40" s="599">
        <f>+E33+E34+E35+E36+E37+E38+E39</f>
        <v>170280</v>
      </c>
      <c r="F40" s="774" t="s">
        <v>63</v>
      </c>
      <c r="G40" s="180"/>
      <c r="H40" s="180"/>
      <c r="I40" s="181"/>
      <c r="J40" s="181"/>
      <c r="K40" s="184"/>
      <c r="L40" s="771"/>
      <c r="N40" s="771"/>
      <c r="O40" s="771"/>
    </row>
    <row r="41" spans="2:15" s="864" customFormat="1" ht="18" customHeight="1" x14ac:dyDescent="0.35">
      <c r="B41" s="866" t="s">
        <v>478</v>
      </c>
      <c r="C41" s="866"/>
      <c r="D41" s="871"/>
      <c r="E41" s="861">
        <f>+E40/2</f>
        <v>85140</v>
      </c>
      <c r="F41" s="862"/>
      <c r="G41" s="869"/>
      <c r="H41" s="869"/>
      <c r="I41" s="867"/>
      <c r="J41" s="867"/>
      <c r="K41" s="868"/>
      <c r="L41" s="859"/>
      <c r="N41" s="859"/>
      <c r="O41" s="859"/>
    </row>
    <row r="42" spans="2:15" s="846" customFormat="1" ht="18" customHeight="1" x14ac:dyDescent="0.35">
      <c r="B42" s="825" t="s">
        <v>19</v>
      </c>
      <c r="C42" s="826" t="s">
        <v>63</v>
      </c>
      <c r="D42" s="823" t="s">
        <v>63</v>
      </c>
      <c r="E42" s="824">
        <v>-43000</v>
      </c>
      <c r="F42" s="774" t="s">
        <v>63</v>
      </c>
      <c r="G42" s="180"/>
      <c r="H42" s="180"/>
      <c r="I42" s="181"/>
      <c r="J42" s="181"/>
      <c r="K42" s="184"/>
      <c r="L42" s="771"/>
      <c r="N42" s="771"/>
      <c r="O42" s="771"/>
    </row>
    <row r="43" spans="2:15" ht="18" customHeight="1" x14ac:dyDescent="0.35">
      <c r="B43" s="786" t="s">
        <v>11</v>
      </c>
      <c r="C43" s="783"/>
      <c r="D43" s="783"/>
      <c r="E43" s="784">
        <f>+E40+E41+E42</f>
        <v>212420</v>
      </c>
      <c r="F43" s="774" t="s">
        <v>63</v>
      </c>
      <c r="G43" s="180"/>
      <c r="H43" s="180"/>
      <c r="I43" s="181"/>
      <c r="J43" s="181"/>
      <c r="K43" s="184"/>
    </row>
    <row r="44" spans="2:15" ht="18" customHeight="1" x14ac:dyDescent="0.35">
      <c r="B44" s="594"/>
      <c r="C44" s="594"/>
      <c r="D44" s="594"/>
      <c r="E44" s="595"/>
      <c r="G44" s="180"/>
      <c r="H44" s="180"/>
      <c r="I44" s="181"/>
      <c r="J44" s="181"/>
      <c r="K44" s="184"/>
    </row>
    <row r="45" spans="2:15" ht="18" customHeight="1" x14ac:dyDescent="0.35">
      <c r="B45" s="594"/>
      <c r="C45" s="594"/>
      <c r="D45" s="594"/>
      <c r="E45" s="595"/>
      <c r="G45" s="180"/>
      <c r="H45" s="180"/>
      <c r="I45" s="181"/>
      <c r="J45" s="181"/>
      <c r="K45" s="184"/>
    </row>
    <row r="46" spans="2:15" ht="18" customHeight="1" x14ac:dyDescent="0.35">
      <c r="B46" s="1431" t="s">
        <v>0</v>
      </c>
      <c r="C46" s="1431"/>
      <c r="D46" s="1431"/>
      <c r="E46" s="1431"/>
      <c r="G46" s="180"/>
      <c r="H46" s="180"/>
      <c r="I46" s="181"/>
      <c r="J46" s="181"/>
      <c r="K46" s="184"/>
    </row>
    <row r="47" spans="2:15" ht="18" customHeight="1" x14ac:dyDescent="0.35">
      <c r="B47" s="2" t="s">
        <v>7</v>
      </c>
      <c r="C47" s="270" t="s">
        <v>8</v>
      </c>
      <c r="D47" s="217" t="s">
        <v>4</v>
      </c>
      <c r="E47" s="597" t="s">
        <v>9</v>
      </c>
      <c r="G47" s="180"/>
      <c r="H47" s="180"/>
      <c r="I47" s="181"/>
      <c r="J47" s="181"/>
      <c r="K47" s="184"/>
    </row>
    <row r="48" spans="2:15" ht="18" customHeight="1" x14ac:dyDescent="0.35">
      <c r="B48" s="772" t="s">
        <v>253</v>
      </c>
      <c r="C48" s="258">
        <v>171</v>
      </c>
      <c r="D48" s="194">
        <v>750</v>
      </c>
      <c r="E48" s="598">
        <f>+C48*D48</f>
        <v>128250</v>
      </c>
      <c r="F48" s="771" t="s">
        <v>63</v>
      </c>
      <c r="G48" s="180"/>
      <c r="H48" s="180"/>
      <c r="I48" s="181"/>
      <c r="J48" s="181"/>
      <c r="K48" s="184"/>
    </row>
    <row r="49" spans="2:22" ht="18" customHeight="1" x14ac:dyDescent="0.35">
      <c r="B49" s="772" t="s">
        <v>465</v>
      </c>
      <c r="C49" s="258">
        <v>20</v>
      </c>
      <c r="D49" s="194">
        <v>750</v>
      </c>
      <c r="E49" s="598">
        <f>+C49*D49</f>
        <v>15000</v>
      </c>
      <c r="F49" s="774" t="s">
        <v>63</v>
      </c>
      <c r="G49" s="180"/>
      <c r="H49" s="180"/>
      <c r="I49" s="181"/>
      <c r="J49" s="181"/>
      <c r="K49" s="184"/>
    </row>
    <row r="50" spans="2:22" ht="15" customHeight="1" x14ac:dyDescent="0.35">
      <c r="B50" s="772" t="s">
        <v>196</v>
      </c>
      <c r="C50" s="258"/>
      <c r="D50" s="194"/>
      <c r="E50" s="598">
        <v>10000</v>
      </c>
      <c r="G50" s="180"/>
      <c r="H50" s="180"/>
      <c r="I50" s="181"/>
      <c r="J50" s="181"/>
      <c r="K50" s="184"/>
      <c r="L50" s="846"/>
    </row>
    <row r="51" spans="2:22" ht="15" customHeight="1" x14ac:dyDescent="0.35">
      <c r="B51" s="772" t="s">
        <v>6</v>
      </c>
      <c r="C51" s="258"/>
      <c r="D51" s="194"/>
      <c r="E51" s="598">
        <v>20000</v>
      </c>
      <c r="G51" s="180"/>
      <c r="H51" s="180"/>
      <c r="I51" s="181"/>
      <c r="J51" s="181"/>
      <c r="K51" s="184"/>
      <c r="L51" s="846"/>
    </row>
    <row r="52" spans="2:22" ht="15" customHeight="1" x14ac:dyDescent="0.35">
      <c r="B52" s="772" t="s">
        <v>195</v>
      </c>
      <c r="C52" s="315">
        <v>8.5</v>
      </c>
      <c r="D52" s="194">
        <f>+D48*1.5</f>
        <v>1125</v>
      </c>
      <c r="E52" s="598">
        <f>+D52*C52</f>
        <v>9562.5</v>
      </c>
      <c r="G52" s="180"/>
      <c r="H52" s="180"/>
      <c r="I52" s="181"/>
      <c r="J52" s="181"/>
      <c r="K52" s="184"/>
      <c r="L52" s="846"/>
    </row>
    <row r="53" spans="2:22" ht="15" customHeight="1" x14ac:dyDescent="0.35">
      <c r="B53" s="772" t="s">
        <v>449</v>
      </c>
      <c r="C53" s="315">
        <v>12</v>
      </c>
      <c r="D53" s="194">
        <f>+D48*2</f>
        <v>1500</v>
      </c>
      <c r="E53" s="598">
        <f>+C53*D53</f>
        <v>18000</v>
      </c>
      <c r="G53" s="180"/>
      <c r="H53" s="180"/>
      <c r="I53" s="181"/>
      <c r="J53" s="181"/>
      <c r="K53" s="184"/>
      <c r="L53" s="846"/>
    </row>
    <row r="54" spans="2:22" ht="15" customHeight="1" x14ac:dyDescent="0.35">
      <c r="B54" s="772" t="s">
        <v>307</v>
      </c>
      <c r="C54" s="258" t="s">
        <v>63</v>
      </c>
      <c r="D54" s="194" t="s">
        <v>63</v>
      </c>
      <c r="E54" s="598" t="s">
        <v>63</v>
      </c>
      <c r="M54" s="176"/>
      <c r="N54" s="180"/>
      <c r="O54" s="180"/>
      <c r="P54" s="181"/>
      <c r="Q54" s="181"/>
      <c r="R54" s="184"/>
    </row>
    <row r="55" spans="2:22" ht="15" customHeight="1" x14ac:dyDescent="0.35">
      <c r="B55" s="1432" t="s">
        <v>99</v>
      </c>
      <c r="C55" s="1432"/>
      <c r="D55" s="1432"/>
      <c r="E55" s="599">
        <f>+E48+E49+E50+E51+E52+E53</f>
        <v>200812.5</v>
      </c>
      <c r="F55" s="774" t="s">
        <v>63</v>
      </c>
      <c r="G55" s="774" t="s">
        <v>63</v>
      </c>
      <c r="M55" s="176"/>
      <c r="N55" s="176"/>
      <c r="O55" s="176"/>
      <c r="P55" s="181"/>
      <c r="Q55" s="181"/>
      <c r="R55" s="184"/>
      <c r="T55" s="846"/>
    </row>
    <row r="56" spans="2:22" s="859" customFormat="1" ht="15" customHeight="1" x14ac:dyDescent="0.35">
      <c r="B56" s="866" t="s">
        <v>478</v>
      </c>
      <c r="C56" s="860"/>
      <c r="D56" s="860"/>
      <c r="E56" s="861">
        <f>201000/2</f>
        <v>100500</v>
      </c>
      <c r="F56" s="862"/>
      <c r="G56" s="862"/>
      <c r="M56" s="875"/>
      <c r="N56" s="875"/>
      <c r="O56" s="875"/>
      <c r="P56" s="867"/>
      <c r="Q56" s="867"/>
      <c r="R56" s="868"/>
      <c r="T56" s="864"/>
    </row>
    <row r="57" spans="2:22" s="846" customFormat="1" ht="15" customHeight="1" x14ac:dyDescent="0.35">
      <c r="B57" s="723" t="s">
        <v>333</v>
      </c>
      <c r="C57" s="727" t="s">
        <v>63</v>
      </c>
      <c r="D57" s="727" t="s">
        <v>63</v>
      </c>
      <c r="E57" s="722">
        <v>-67691.67</v>
      </c>
      <c r="F57" s="649" t="s">
        <v>63</v>
      </c>
      <c r="G57" s="771"/>
      <c r="H57" s="771"/>
      <c r="I57" s="771"/>
      <c r="J57" s="771"/>
      <c r="K57" s="771"/>
      <c r="L57" s="771"/>
      <c r="M57" s="176"/>
      <c r="N57" s="176"/>
      <c r="O57" s="176"/>
      <c r="P57" s="176"/>
      <c r="Q57" s="176"/>
      <c r="R57" s="176"/>
      <c r="S57" s="771"/>
      <c r="T57" s="771"/>
      <c r="U57" s="771"/>
      <c r="V57" s="771"/>
    </row>
    <row r="58" spans="2:22" s="856" customFormat="1" ht="15" customHeight="1" x14ac:dyDescent="0.35">
      <c r="B58" s="872" t="s">
        <v>333</v>
      </c>
      <c r="C58" s="873"/>
      <c r="D58" s="874"/>
      <c r="E58" s="722">
        <v>-33795.83</v>
      </c>
      <c r="F58" s="649"/>
      <c r="G58" s="771"/>
      <c r="H58" s="771"/>
      <c r="I58" s="771"/>
      <c r="J58" s="771"/>
      <c r="K58" s="771"/>
      <c r="L58" s="771"/>
      <c r="M58" s="176"/>
      <c r="N58" s="176"/>
      <c r="O58" s="176"/>
      <c r="P58" s="176"/>
      <c r="Q58" s="176"/>
      <c r="R58" s="176"/>
      <c r="S58" s="771"/>
      <c r="T58" s="771"/>
      <c r="U58" s="771"/>
      <c r="V58" s="771"/>
    </row>
    <row r="59" spans="2:22" s="846" customFormat="1" ht="15" customHeight="1" x14ac:dyDescent="0.35">
      <c r="B59" s="672"/>
      <c r="C59" s="673" t="s">
        <v>11</v>
      </c>
      <c r="D59" s="674"/>
      <c r="E59" s="675">
        <f>+E55+E56+E57+E58</f>
        <v>199825</v>
      </c>
      <c r="F59" s="649" t="s">
        <v>63</v>
      </c>
      <c r="G59" s="771"/>
      <c r="H59" s="771"/>
      <c r="I59" s="771"/>
      <c r="J59" s="771"/>
      <c r="K59" s="771"/>
      <c r="L59" s="771"/>
      <c r="M59" s="176"/>
      <c r="N59" s="176"/>
      <c r="O59" s="176"/>
      <c r="P59" s="176"/>
      <c r="Q59" s="176"/>
      <c r="R59" s="176"/>
      <c r="S59" s="771"/>
      <c r="T59" s="771"/>
      <c r="U59" s="771"/>
      <c r="V59" s="771"/>
    </row>
    <row r="60" spans="2:22" ht="15" customHeight="1" x14ac:dyDescent="0.35">
      <c r="C60" s="771"/>
      <c r="D60" s="771"/>
      <c r="E60" s="771"/>
      <c r="N60" s="183"/>
      <c r="O60" s="183"/>
      <c r="P60" s="176"/>
      <c r="Q60" s="176"/>
      <c r="R60" s="176"/>
      <c r="T60" s="846"/>
    </row>
    <row r="61" spans="2:22" s="90" customFormat="1" ht="15" customHeight="1" x14ac:dyDescent="0.35">
      <c r="N61" s="455"/>
      <c r="O61" s="455"/>
      <c r="P61" s="728"/>
      <c r="Q61" s="728"/>
      <c r="R61" s="728"/>
      <c r="T61" s="851"/>
    </row>
    <row r="62" spans="2:22" s="690" customFormat="1" ht="15" customHeight="1" x14ac:dyDescent="0.35">
      <c r="G62" s="671"/>
      <c r="H62" s="671"/>
      <c r="I62" s="671"/>
      <c r="J62" s="671"/>
      <c r="K62" s="671"/>
      <c r="L62" s="671"/>
      <c r="M62" s="691"/>
      <c r="N62" s="691"/>
      <c r="O62" s="691"/>
      <c r="P62" s="691"/>
      <c r="Q62" s="691"/>
      <c r="R62" s="691"/>
      <c r="S62" s="671"/>
      <c r="T62" s="671"/>
      <c r="U62" s="671"/>
      <c r="V62" s="671"/>
    </row>
    <row r="63" spans="2:22" s="846" customFormat="1" ht="15" customHeight="1" x14ac:dyDescent="0.35">
      <c r="B63" s="1431" t="s">
        <v>28</v>
      </c>
      <c r="C63" s="1431"/>
      <c r="D63" s="1431"/>
      <c r="E63" s="1431"/>
      <c r="F63" s="771"/>
      <c r="G63" s="771"/>
      <c r="H63" s="771"/>
      <c r="I63" s="771"/>
      <c r="J63" s="771"/>
      <c r="K63" s="771"/>
      <c r="L63" s="771"/>
      <c r="M63" s="771"/>
      <c r="N63" s="176"/>
      <c r="O63" s="176"/>
      <c r="P63" s="176"/>
      <c r="Q63" s="176"/>
      <c r="R63" s="176"/>
      <c r="S63" s="771"/>
      <c r="U63" s="771"/>
    </row>
    <row r="64" spans="2:22" s="846" customFormat="1" ht="15" customHeight="1" x14ac:dyDescent="0.35">
      <c r="B64" s="2" t="s">
        <v>7</v>
      </c>
      <c r="C64" s="270" t="s">
        <v>8</v>
      </c>
      <c r="D64" s="217" t="s">
        <v>4</v>
      </c>
      <c r="E64" s="597" t="s">
        <v>9</v>
      </c>
      <c r="F64" s="771"/>
      <c r="G64" s="771"/>
      <c r="H64" s="771"/>
      <c r="I64" s="771"/>
      <c r="J64" s="771"/>
      <c r="K64" s="771"/>
      <c r="L64" s="771"/>
      <c r="M64" s="771"/>
      <c r="N64" s="176"/>
      <c r="O64" s="176"/>
      <c r="P64" s="176"/>
      <c r="Q64" s="176"/>
      <c r="R64" s="176"/>
      <c r="S64" s="771"/>
      <c r="U64" s="771"/>
    </row>
    <row r="65" spans="2:22" ht="15" customHeight="1" x14ac:dyDescent="0.35">
      <c r="B65" s="772" t="s">
        <v>3</v>
      </c>
      <c r="C65" s="315">
        <v>171</v>
      </c>
      <c r="D65" s="194">
        <v>662.5</v>
      </c>
      <c r="E65" s="598">
        <f>+C65*D65</f>
        <v>113287.5</v>
      </c>
      <c r="N65" s="176"/>
      <c r="O65" s="176"/>
      <c r="P65" s="176"/>
      <c r="Q65" s="176"/>
      <c r="R65" s="176"/>
    </row>
    <row r="66" spans="2:22" ht="15" customHeight="1" x14ac:dyDescent="0.35">
      <c r="B66" s="772" t="s">
        <v>469</v>
      </c>
      <c r="C66" s="315">
        <v>20</v>
      </c>
      <c r="D66" s="194">
        <v>662.5</v>
      </c>
      <c r="E66" s="598">
        <f>+C66*D66</f>
        <v>13250</v>
      </c>
      <c r="N66" s="176"/>
      <c r="O66" s="176"/>
      <c r="P66" s="176"/>
      <c r="Q66" s="176"/>
      <c r="R66" s="176"/>
    </row>
    <row r="67" spans="2:22" ht="15" customHeight="1" x14ac:dyDescent="0.35">
      <c r="B67" s="772" t="s">
        <v>200</v>
      </c>
      <c r="C67" s="315" t="s">
        <v>63</v>
      </c>
      <c r="D67" s="194"/>
      <c r="E67" s="598" t="s">
        <v>63</v>
      </c>
      <c r="N67" s="176"/>
      <c r="O67" s="176"/>
      <c r="P67" s="176"/>
      <c r="Q67" s="176"/>
      <c r="R67" s="176"/>
    </row>
    <row r="68" spans="2:22" ht="15" customHeight="1" x14ac:dyDescent="0.35">
      <c r="B68" s="772" t="s">
        <v>195</v>
      </c>
      <c r="C68" s="315" t="s">
        <v>63</v>
      </c>
      <c r="D68" s="194" t="s">
        <v>63</v>
      </c>
      <c r="E68" s="598" t="s">
        <v>63</v>
      </c>
      <c r="N68" s="176"/>
      <c r="O68" s="176"/>
      <c r="P68" s="176"/>
      <c r="Q68" s="176"/>
      <c r="R68" s="176"/>
    </row>
    <row r="69" spans="2:22" ht="15" customHeight="1" x14ac:dyDescent="0.35">
      <c r="B69" s="772" t="s">
        <v>6</v>
      </c>
      <c r="C69" s="315" t="s">
        <v>63</v>
      </c>
      <c r="D69" s="194"/>
      <c r="E69" s="598" t="s">
        <v>63</v>
      </c>
      <c r="N69" s="176"/>
      <c r="O69" s="176"/>
      <c r="P69" s="176"/>
      <c r="Q69" s="176"/>
      <c r="R69" s="176"/>
    </row>
    <row r="70" spans="2:22" ht="15" customHeight="1" x14ac:dyDescent="0.35">
      <c r="B70" s="772" t="s">
        <v>478</v>
      </c>
      <c r="C70" s="315" t="s">
        <v>63</v>
      </c>
      <c r="D70" s="194" t="s">
        <v>63</v>
      </c>
      <c r="E70" s="598">
        <v>86090.5</v>
      </c>
      <c r="F70" s="774" t="s">
        <v>63</v>
      </c>
      <c r="N70" s="176"/>
      <c r="O70" s="176"/>
      <c r="P70" s="176"/>
      <c r="Q70" s="176"/>
      <c r="R70" s="176"/>
    </row>
    <row r="71" spans="2:22" ht="15" customHeight="1" x14ac:dyDescent="0.35">
      <c r="B71" s="1432" t="s">
        <v>99</v>
      </c>
      <c r="C71" s="1432"/>
      <c r="D71" s="1432"/>
      <c r="E71" s="599">
        <f>+E65+E66+E70</f>
        <v>212628</v>
      </c>
      <c r="F71" s="774" t="s">
        <v>63</v>
      </c>
      <c r="N71" s="176"/>
      <c r="O71" s="176"/>
      <c r="P71" s="176"/>
      <c r="Q71" s="176"/>
      <c r="R71" s="176"/>
    </row>
    <row r="72" spans="2:22" ht="15" customHeight="1" x14ac:dyDescent="0.35">
      <c r="B72" s="847" t="s">
        <v>19</v>
      </c>
      <c r="C72" s="852"/>
      <c r="D72" s="852"/>
      <c r="E72" s="221">
        <v>-30000</v>
      </c>
      <c r="F72" s="774"/>
      <c r="N72" s="176"/>
      <c r="O72" s="176"/>
      <c r="P72" s="176"/>
      <c r="Q72" s="176"/>
      <c r="R72" s="176"/>
    </row>
    <row r="73" spans="2:22" ht="15" customHeight="1" x14ac:dyDescent="0.35">
      <c r="B73" s="848" t="s">
        <v>375</v>
      </c>
      <c r="C73" s="848"/>
      <c r="D73" s="848" t="s">
        <v>63</v>
      </c>
      <c r="E73" s="600">
        <v>-63990.27</v>
      </c>
      <c r="N73" s="176"/>
      <c r="O73" s="176"/>
      <c r="P73" s="176"/>
      <c r="Q73" s="176"/>
      <c r="R73" s="176"/>
    </row>
    <row r="74" spans="2:22" ht="15" customHeight="1" x14ac:dyDescent="0.35">
      <c r="B74" s="848" t="s">
        <v>479</v>
      </c>
      <c r="C74" s="848"/>
      <c r="D74" s="848"/>
      <c r="E74" s="600">
        <v>-15997.57</v>
      </c>
      <c r="N74" s="176"/>
      <c r="O74" s="176"/>
      <c r="P74" s="176"/>
      <c r="Q74" s="176"/>
      <c r="R74" s="176"/>
    </row>
    <row r="75" spans="2:22" ht="15" customHeight="1" x14ac:dyDescent="0.35">
      <c r="B75" s="857"/>
      <c r="C75" s="858" t="s">
        <v>11</v>
      </c>
      <c r="D75" s="857"/>
      <c r="E75" s="675">
        <f>+E71+E72+E73+E74</f>
        <v>102640.16</v>
      </c>
    </row>
    <row r="76" spans="2:22" ht="15" customHeight="1" x14ac:dyDescent="0.35">
      <c r="C76" s="771"/>
      <c r="D76" s="771"/>
      <c r="E76" s="774" t="s">
        <v>63</v>
      </c>
    </row>
    <row r="77" spans="2:22" ht="15" customHeight="1" x14ac:dyDescent="0.35">
      <c r="C77" s="771"/>
      <c r="D77" s="771"/>
      <c r="E77" s="774" t="s">
        <v>63</v>
      </c>
    </row>
    <row r="78" spans="2:22" ht="15" customHeight="1" x14ac:dyDescent="0.35">
      <c r="B78" s="1442" t="s">
        <v>263</v>
      </c>
      <c r="C78" s="1443"/>
      <c r="D78" s="1443"/>
      <c r="E78" s="1444"/>
      <c r="V78" s="846"/>
    </row>
    <row r="79" spans="2:22" x14ac:dyDescent="0.35">
      <c r="B79" s="2" t="s">
        <v>7</v>
      </c>
      <c r="C79" s="270" t="s">
        <v>8</v>
      </c>
      <c r="D79" s="217" t="s">
        <v>4</v>
      </c>
      <c r="E79" s="597" t="s">
        <v>9</v>
      </c>
    </row>
    <row r="80" spans="2:22" x14ac:dyDescent="0.35">
      <c r="B80" s="772" t="s">
        <v>480</v>
      </c>
      <c r="C80" s="258">
        <v>171</v>
      </c>
      <c r="D80" s="227">
        <v>520</v>
      </c>
      <c r="E80" s="598">
        <f>+C80*D80</f>
        <v>88920</v>
      </c>
      <c r="F80" s="774">
        <f>+E80+E81+E82+E83</f>
        <v>124320</v>
      </c>
    </row>
    <row r="81" spans="2:7" x14ac:dyDescent="0.35">
      <c r="B81" s="772" t="s">
        <v>486</v>
      </c>
      <c r="C81" s="258">
        <v>20</v>
      </c>
      <c r="D81" s="227">
        <v>520</v>
      </c>
      <c r="E81" s="598">
        <f>+C81*D81</f>
        <v>10400</v>
      </c>
    </row>
    <row r="82" spans="2:7" x14ac:dyDescent="0.35">
      <c r="B82" s="772" t="s">
        <v>490</v>
      </c>
      <c r="C82" s="258"/>
      <c r="D82" s="227"/>
      <c r="E82" s="598">
        <v>10000</v>
      </c>
    </row>
    <row r="83" spans="2:7" x14ac:dyDescent="0.35">
      <c r="B83" s="772" t="s">
        <v>489</v>
      </c>
      <c r="C83" s="258"/>
      <c r="D83" s="227"/>
      <c r="E83" s="598">
        <v>15000</v>
      </c>
    </row>
    <row r="84" spans="2:7" x14ac:dyDescent="0.35">
      <c r="B84" s="772" t="s">
        <v>195</v>
      </c>
      <c r="C84" s="258">
        <v>20.5</v>
      </c>
      <c r="D84" s="194">
        <f>+D80*1.5</f>
        <v>780</v>
      </c>
      <c r="E84" s="598">
        <f>+C84*D84</f>
        <v>15990</v>
      </c>
      <c r="G84" s="774" t="s">
        <v>63</v>
      </c>
    </row>
    <row r="85" spans="2:7" x14ac:dyDescent="0.35">
      <c r="B85" s="772" t="s">
        <v>449</v>
      </c>
      <c r="C85" s="258" t="s">
        <v>63</v>
      </c>
      <c r="D85" s="194" t="s">
        <v>63</v>
      </c>
      <c r="E85" s="598" t="s">
        <v>63</v>
      </c>
      <c r="G85" s="774"/>
    </row>
    <row r="86" spans="2:7" x14ac:dyDescent="0.35">
      <c r="B86" s="772" t="s">
        <v>63</v>
      </c>
      <c r="C86" s="258" t="s">
        <v>63</v>
      </c>
      <c r="D86" s="194" t="s">
        <v>63</v>
      </c>
      <c r="E86" s="598" t="s">
        <v>63</v>
      </c>
    </row>
    <row r="87" spans="2:7" x14ac:dyDescent="0.35">
      <c r="B87" s="1439" t="s">
        <v>99</v>
      </c>
      <c r="C87" s="1440"/>
      <c r="D87" s="1441"/>
      <c r="E87" s="599">
        <f>+E80+E81+E82+E83+E84</f>
        <v>140310</v>
      </c>
      <c r="F87" s="774" t="s">
        <v>63</v>
      </c>
    </row>
    <row r="88" spans="2:7" s="859" customFormat="1" x14ac:dyDescent="0.35">
      <c r="B88" s="866" t="s">
        <v>478</v>
      </c>
      <c r="C88" s="860"/>
      <c r="D88" s="860"/>
      <c r="E88" s="861">
        <f>143170/2</f>
        <v>71585</v>
      </c>
      <c r="F88" s="862"/>
    </row>
    <row r="89" spans="2:7" x14ac:dyDescent="0.35">
      <c r="B89" s="723" t="s">
        <v>485</v>
      </c>
      <c r="C89" s="720" t="s">
        <v>63</v>
      </c>
      <c r="D89" s="720"/>
      <c r="E89" s="722">
        <v>-12432</v>
      </c>
      <c r="F89" s="774" t="s">
        <v>63</v>
      </c>
    </row>
    <row r="90" spans="2:7" x14ac:dyDescent="0.35">
      <c r="B90" s="672"/>
      <c r="C90" s="673" t="s">
        <v>11</v>
      </c>
      <c r="D90" s="674"/>
      <c r="E90" s="675">
        <f>+E87+E88+E89</f>
        <v>199463</v>
      </c>
    </row>
    <row r="91" spans="2:7" x14ac:dyDescent="0.35">
      <c r="C91" s="771"/>
      <c r="D91" s="771"/>
      <c r="E91" s="771"/>
    </row>
    <row r="94" spans="2:7" ht="23.5" x14ac:dyDescent="0.35">
      <c r="B94" s="1442" t="s">
        <v>301</v>
      </c>
      <c r="C94" s="1443"/>
      <c r="D94" s="1443"/>
      <c r="E94" s="1444"/>
    </row>
    <row r="95" spans="2:7" x14ac:dyDescent="0.35">
      <c r="B95" s="2" t="s">
        <v>7</v>
      </c>
      <c r="C95" s="270" t="s">
        <v>8</v>
      </c>
      <c r="D95" s="217" t="s">
        <v>4</v>
      </c>
      <c r="E95" s="597" t="s">
        <v>9</v>
      </c>
    </row>
    <row r="96" spans="2:7" x14ac:dyDescent="0.35">
      <c r="B96" s="772" t="s">
        <v>3</v>
      </c>
      <c r="C96" s="258">
        <v>129</v>
      </c>
      <c r="D96" s="227">
        <v>450</v>
      </c>
      <c r="E96" s="598">
        <f>+C96*D96</f>
        <v>58050</v>
      </c>
      <c r="F96" s="771" t="s">
        <v>63</v>
      </c>
    </row>
    <row r="97" spans="2:6" x14ac:dyDescent="0.35">
      <c r="B97" s="772" t="s">
        <v>470</v>
      </c>
      <c r="C97" s="258">
        <v>20</v>
      </c>
      <c r="D97" s="227">
        <v>450</v>
      </c>
      <c r="E97" s="598">
        <f>+C97*D97</f>
        <v>9000</v>
      </c>
    </row>
    <row r="98" spans="2:6" x14ac:dyDescent="0.35">
      <c r="B98" s="772" t="s">
        <v>471</v>
      </c>
      <c r="C98" s="258">
        <v>42</v>
      </c>
      <c r="D98" s="227">
        <v>450</v>
      </c>
      <c r="E98" s="598">
        <f>+C98*D98</f>
        <v>18900</v>
      </c>
    </row>
    <row r="99" spans="2:6" x14ac:dyDescent="0.35">
      <c r="B99" s="772" t="s">
        <v>200</v>
      </c>
      <c r="C99" s="258"/>
      <c r="D99" s="227"/>
      <c r="E99" s="598" t="s">
        <v>63</v>
      </c>
    </row>
    <row r="100" spans="2:6" x14ac:dyDescent="0.35">
      <c r="B100" s="772" t="s">
        <v>6</v>
      </c>
      <c r="C100" s="258" t="s">
        <v>63</v>
      </c>
      <c r="D100" s="194" t="s">
        <v>63</v>
      </c>
      <c r="E100" s="598">
        <v>15000</v>
      </c>
    </row>
    <row r="101" spans="2:6" x14ac:dyDescent="0.35">
      <c r="B101" s="772" t="s">
        <v>270</v>
      </c>
      <c r="C101" s="258">
        <v>4.5</v>
      </c>
      <c r="D101" s="194">
        <f>+D96*1.5</f>
        <v>675</v>
      </c>
      <c r="E101" s="598">
        <f>+C101*D101</f>
        <v>3037.5</v>
      </c>
      <c r="F101" s="771" t="s">
        <v>63</v>
      </c>
    </row>
    <row r="102" spans="2:6" x14ac:dyDescent="0.35">
      <c r="B102" s="772" t="s">
        <v>63</v>
      </c>
      <c r="C102" s="258" t="s">
        <v>63</v>
      </c>
      <c r="D102" s="194" t="s">
        <v>63</v>
      </c>
      <c r="E102" s="598" t="s">
        <v>63</v>
      </c>
    </row>
    <row r="103" spans="2:6" x14ac:dyDescent="0.35">
      <c r="B103" s="1439" t="s">
        <v>99</v>
      </c>
      <c r="C103" s="1440"/>
      <c r="D103" s="1441"/>
      <c r="E103" s="599">
        <f>+E96+E97+E98+E100+E101</f>
        <v>103987.5</v>
      </c>
      <c r="F103" s="774" t="s">
        <v>63</v>
      </c>
    </row>
    <row r="104" spans="2:6" s="859" customFormat="1" x14ac:dyDescent="0.35">
      <c r="B104" s="866" t="s">
        <v>478</v>
      </c>
      <c r="C104" s="860"/>
      <c r="D104" s="860"/>
      <c r="E104" s="861">
        <f>117500/2</f>
        <v>58750</v>
      </c>
      <c r="F104" s="862"/>
    </row>
    <row r="105" spans="2:6" x14ac:dyDescent="0.35">
      <c r="B105" s="724" t="s">
        <v>19</v>
      </c>
      <c r="C105" s="729" t="s">
        <v>63</v>
      </c>
      <c r="D105" s="730" t="s">
        <v>63</v>
      </c>
      <c r="E105" s="731">
        <v>-50000</v>
      </c>
      <c r="F105" s="774" t="s">
        <v>63</v>
      </c>
    </row>
    <row r="106" spans="2:6" x14ac:dyDescent="0.35">
      <c r="B106" s="739" t="s">
        <v>472</v>
      </c>
      <c r="C106" s="729"/>
      <c r="D106" s="730"/>
      <c r="E106" s="731">
        <v>-10000</v>
      </c>
    </row>
    <row r="107" spans="2:6" s="755" customFormat="1" ht="23.5" x14ac:dyDescent="0.55000000000000004">
      <c r="B107" s="751"/>
      <c r="C107" s="752" t="s">
        <v>11</v>
      </c>
      <c r="D107" s="753"/>
      <c r="E107" s="754">
        <f>+E103+E104+E105+E106</f>
        <v>102737.5</v>
      </c>
      <c r="F107" s="770" t="s">
        <v>63</v>
      </c>
    </row>
    <row r="108" spans="2:6" x14ac:dyDescent="0.35">
      <c r="E108" s="203" t="s">
        <v>63</v>
      </c>
      <c r="F108" s="771" t="s">
        <v>63</v>
      </c>
    </row>
    <row r="111" spans="2:6" ht="21" customHeight="1" x14ac:dyDescent="0.35">
      <c r="B111" s="1442" t="s">
        <v>354</v>
      </c>
      <c r="C111" s="1443"/>
      <c r="D111" s="1443"/>
      <c r="E111" s="1444"/>
    </row>
    <row r="112" spans="2:6" ht="21" customHeight="1" x14ac:dyDescent="0.35">
      <c r="B112" s="2" t="s">
        <v>7</v>
      </c>
      <c r="C112" s="270" t="s">
        <v>8</v>
      </c>
      <c r="D112" s="217" t="s">
        <v>4</v>
      </c>
      <c r="E112" s="597" t="s">
        <v>9</v>
      </c>
    </row>
    <row r="113" spans="2:7" ht="14.5" customHeight="1" x14ac:dyDescent="0.35">
      <c r="B113" s="772" t="s">
        <v>3</v>
      </c>
      <c r="C113" s="258">
        <v>171</v>
      </c>
      <c r="D113" s="227">
        <v>460</v>
      </c>
      <c r="E113" s="598">
        <f>+C113*D113</f>
        <v>78660</v>
      </c>
      <c r="F113" s="771" t="s">
        <v>63</v>
      </c>
    </row>
    <row r="114" spans="2:7" ht="13.5" customHeight="1" x14ac:dyDescent="0.35">
      <c r="B114" s="772" t="s">
        <v>465</v>
      </c>
      <c r="C114" s="258">
        <v>20</v>
      </c>
      <c r="D114" s="227">
        <v>460</v>
      </c>
      <c r="E114" s="598">
        <f>+C114*D114</f>
        <v>9200</v>
      </c>
    </row>
    <row r="115" spans="2:7" x14ac:dyDescent="0.35">
      <c r="B115" s="772" t="s">
        <v>266</v>
      </c>
      <c r="C115" s="258"/>
      <c r="D115" s="227"/>
      <c r="E115" s="598">
        <v>10000</v>
      </c>
    </row>
    <row r="116" spans="2:7" x14ac:dyDescent="0.35">
      <c r="B116" s="772" t="s">
        <v>6</v>
      </c>
      <c r="C116" s="258"/>
      <c r="D116" s="227"/>
      <c r="E116" s="598">
        <v>20000</v>
      </c>
    </row>
    <row r="117" spans="2:7" x14ac:dyDescent="0.35">
      <c r="B117" s="772" t="s">
        <v>195</v>
      </c>
      <c r="C117" s="258">
        <v>16</v>
      </c>
      <c r="D117" s="194">
        <f>+D113*1.5</f>
        <v>690</v>
      </c>
      <c r="E117" s="598">
        <f>+C117*D117</f>
        <v>11040</v>
      </c>
    </row>
    <row r="118" spans="2:7" x14ac:dyDescent="0.35">
      <c r="B118" s="772" t="s">
        <v>449</v>
      </c>
      <c r="C118" s="258">
        <v>11.5</v>
      </c>
      <c r="D118" s="194">
        <f>+D113*2</f>
        <v>920</v>
      </c>
      <c r="E118" s="598">
        <f>+C118*D118</f>
        <v>10580</v>
      </c>
    </row>
    <row r="119" spans="2:7" x14ac:dyDescent="0.35">
      <c r="B119" s="772" t="s">
        <v>303</v>
      </c>
      <c r="C119" s="258" t="s">
        <v>63</v>
      </c>
      <c r="D119" s="194" t="s">
        <v>63</v>
      </c>
      <c r="E119" s="598">
        <v>20000</v>
      </c>
    </row>
    <row r="120" spans="2:7" x14ac:dyDescent="0.35">
      <c r="B120" s="1439" t="s">
        <v>99</v>
      </c>
      <c r="C120" s="1440"/>
      <c r="D120" s="1441"/>
      <c r="E120" s="599">
        <f>+E113+E114+E115+E116+E117+E118+E119</f>
        <v>159480</v>
      </c>
      <c r="F120" s="774" t="s">
        <v>63</v>
      </c>
      <c r="G120" s="774" t="s">
        <v>63</v>
      </c>
    </row>
    <row r="121" spans="2:7" s="859" customFormat="1" x14ac:dyDescent="0.35">
      <c r="B121" s="878" t="s">
        <v>478</v>
      </c>
      <c r="C121" s="876"/>
      <c r="D121" s="877"/>
      <c r="E121" s="861">
        <f>+E120/2</f>
        <v>79740</v>
      </c>
      <c r="F121" s="862"/>
      <c r="G121" s="862"/>
    </row>
    <row r="122" spans="2:7" x14ac:dyDescent="0.35">
      <c r="B122" s="723" t="s">
        <v>19</v>
      </c>
      <c r="C122" s="720" t="s">
        <v>63</v>
      </c>
      <c r="D122" s="720"/>
      <c r="E122" s="722">
        <v>-50000</v>
      </c>
      <c r="F122" s="774" t="s">
        <v>63</v>
      </c>
    </row>
    <row r="123" spans="2:7" s="760" customFormat="1" ht="21" x14ac:dyDescent="0.5">
      <c r="B123" s="756"/>
      <c r="C123" s="757" t="s">
        <v>11</v>
      </c>
      <c r="D123" s="758"/>
      <c r="E123" s="759">
        <f>+E120+E121+E122</f>
        <v>189220</v>
      </c>
      <c r="F123" s="797" t="s">
        <v>63</v>
      </c>
    </row>
    <row r="126" spans="2:7" ht="23.5" x14ac:dyDescent="0.35">
      <c r="B126" s="1442" t="s">
        <v>260</v>
      </c>
      <c r="C126" s="1443"/>
      <c r="D126" s="1443"/>
      <c r="E126" s="1444"/>
    </row>
    <row r="127" spans="2:7" x14ac:dyDescent="0.35">
      <c r="B127" s="2" t="s">
        <v>7</v>
      </c>
      <c r="C127" s="270" t="s">
        <v>8</v>
      </c>
      <c r="D127" s="217" t="s">
        <v>4</v>
      </c>
      <c r="E127" s="597" t="s">
        <v>9</v>
      </c>
    </row>
    <row r="128" spans="2:7" x14ac:dyDescent="0.35">
      <c r="B128" s="772" t="s">
        <v>3</v>
      </c>
      <c r="C128" s="258">
        <v>151.5</v>
      </c>
      <c r="D128" s="194">
        <v>700</v>
      </c>
      <c r="E128" s="598">
        <f>+C128*D128</f>
        <v>106050</v>
      </c>
      <c r="F128" s="774" t="s">
        <v>63</v>
      </c>
    </row>
    <row r="129" spans="2:6" x14ac:dyDescent="0.35">
      <c r="B129" s="772" t="s">
        <v>379</v>
      </c>
      <c r="C129" s="258">
        <v>14</v>
      </c>
      <c r="D129" s="194">
        <v>700</v>
      </c>
      <c r="E129" s="609">
        <f>+C129*D129</f>
        <v>9800</v>
      </c>
    </row>
    <row r="130" spans="2:6" x14ac:dyDescent="0.35">
      <c r="B130" s="772" t="s">
        <v>6</v>
      </c>
      <c r="C130" s="258"/>
      <c r="D130" s="194"/>
      <c r="E130" s="609">
        <v>15000</v>
      </c>
    </row>
    <row r="131" spans="2:6" x14ac:dyDescent="0.35">
      <c r="B131" s="614" t="s">
        <v>200</v>
      </c>
      <c r="C131" s="617"/>
      <c r="D131" s="227"/>
      <c r="E131" s="609">
        <v>10000</v>
      </c>
      <c r="F131" s="774" t="s">
        <v>63</v>
      </c>
    </row>
    <row r="132" spans="2:6" s="764" customFormat="1" x14ac:dyDescent="0.35">
      <c r="B132" s="882" t="s">
        <v>99</v>
      </c>
      <c r="C132" s="883"/>
      <c r="D132" s="883"/>
      <c r="E132" s="884">
        <f>+E128+E129+E130+E131</f>
        <v>140850</v>
      </c>
      <c r="F132" s="769" t="s">
        <v>63</v>
      </c>
    </row>
    <row r="133" spans="2:6" s="859" customFormat="1" x14ac:dyDescent="0.35">
      <c r="B133" s="879" t="s">
        <v>478</v>
      </c>
      <c r="C133" s="880"/>
      <c r="D133" s="880"/>
      <c r="E133" s="881">
        <f>143300/2</f>
        <v>71650</v>
      </c>
      <c r="F133" s="862"/>
    </row>
    <row r="134" spans="2:6" x14ac:dyDescent="0.35">
      <c r="B134" s="615" t="s">
        <v>374</v>
      </c>
      <c r="C134" s="619"/>
      <c r="D134" s="619"/>
      <c r="E134" s="710">
        <v>-55900</v>
      </c>
    </row>
    <row r="135" spans="2:6" x14ac:dyDescent="0.35">
      <c r="B135" s="615" t="s">
        <v>487</v>
      </c>
      <c r="C135" s="709"/>
      <c r="D135" s="619"/>
      <c r="E135" s="710">
        <v>-33220</v>
      </c>
      <c r="F135" s="774" t="s">
        <v>63</v>
      </c>
    </row>
    <row r="136" spans="2:6" ht="15.5" x14ac:dyDescent="0.35">
      <c r="B136" s="705" t="s">
        <v>11</v>
      </c>
      <c r="C136" s="708"/>
      <c r="D136" s="706"/>
      <c r="E136" s="603">
        <f>+E132+E133+E134+E135</f>
        <v>123380</v>
      </c>
      <c r="F136" s="774" t="s">
        <v>63</v>
      </c>
    </row>
    <row r="137" spans="2:6" x14ac:dyDescent="0.35">
      <c r="F137" s="774" t="s">
        <v>63</v>
      </c>
    </row>
    <row r="139" spans="2:6" ht="23.5" x14ac:dyDescent="0.35">
      <c r="B139" s="1442" t="s">
        <v>264</v>
      </c>
      <c r="C139" s="1443"/>
      <c r="D139" s="1443"/>
      <c r="E139" s="1444"/>
    </row>
    <row r="140" spans="2:6" x14ac:dyDescent="0.35">
      <c r="B140" s="2" t="s">
        <v>7</v>
      </c>
      <c r="C140" s="270" t="s">
        <v>8</v>
      </c>
      <c r="D140" s="217" t="s">
        <v>4</v>
      </c>
      <c r="E140" s="597" t="s">
        <v>9</v>
      </c>
    </row>
    <row r="141" spans="2:6" x14ac:dyDescent="0.35">
      <c r="B141" s="772" t="s">
        <v>3</v>
      </c>
      <c r="C141" s="258">
        <v>171</v>
      </c>
      <c r="D141" s="227">
        <v>450</v>
      </c>
      <c r="E141" s="598">
        <f>+D141*C141</f>
        <v>76950</v>
      </c>
      <c r="F141" s="771" t="s">
        <v>63</v>
      </c>
    </row>
    <row r="142" spans="2:6" x14ac:dyDescent="0.35">
      <c r="B142" s="772" t="s">
        <v>470</v>
      </c>
      <c r="C142" s="258">
        <v>20</v>
      </c>
      <c r="D142" s="227">
        <v>450</v>
      </c>
      <c r="E142" s="598">
        <f>+C142*D142</f>
        <v>9000</v>
      </c>
    </row>
    <row r="143" spans="2:6" x14ac:dyDescent="0.35">
      <c r="B143" s="772" t="s">
        <v>196</v>
      </c>
      <c r="C143" s="258"/>
      <c r="D143" s="227"/>
      <c r="E143" s="598">
        <v>5000</v>
      </c>
    </row>
    <row r="144" spans="2:6" x14ac:dyDescent="0.35">
      <c r="B144" s="772" t="s">
        <v>6</v>
      </c>
      <c r="C144" s="258" t="s">
        <v>63</v>
      </c>
      <c r="D144" s="227" t="s">
        <v>63</v>
      </c>
      <c r="E144" s="598">
        <v>10000</v>
      </c>
    </row>
    <row r="145" spans="2:7" x14ac:dyDescent="0.35">
      <c r="B145" s="772" t="s">
        <v>270</v>
      </c>
      <c r="C145" s="258">
        <v>8</v>
      </c>
      <c r="D145" s="227">
        <f>+D141*1.5</f>
        <v>675</v>
      </c>
      <c r="E145" s="598">
        <f>+C145*D145</f>
        <v>5400</v>
      </c>
      <c r="F145" s="774" t="s">
        <v>63</v>
      </c>
    </row>
    <row r="146" spans="2:7" x14ac:dyDescent="0.35">
      <c r="B146" s="772" t="s">
        <v>281</v>
      </c>
      <c r="C146" s="258">
        <v>11</v>
      </c>
      <c r="D146" s="227">
        <f>+D141*2</f>
        <v>900</v>
      </c>
      <c r="E146" s="598">
        <f>+C146*D146</f>
        <v>9900</v>
      </c>
    </row>
    <row r="147" spans="2:7" x14ac:dyDescent="0.35">
      <c r="B147" s="1439" t="s">
        <v>99</v>
      </c>
      <c r="C147" s="1440"/>
      <c r="D147" s="1441"/>
      <c r="E147" s="599">
        <f>+E141+E142+E143+E144+E145+E146</f>
        <v>116250</v>
      </c>
      <c r="F147" s="774" t="s">
        <v>63</v>
      </c>
    </row>
    <row r="148" spans="2:7" s="764" customFormat="1" x14ac:dyDescent="0.35">
      <c r="B148" s="888" t="s">
        <v>478</v>
      </c>
      <c r="C148" s="885"/>
      <c r="D148" s="886"/>
      <c r="E148" s="887">
        <f>120575/2</f>
        <v>60287.5</v>
      </c>
      <c r="F148" s="769"/>
    </row>
    <row r="149" spans="2:7" x14ac:dyDescent="0.35">
      <c r="B149" s="723" t="s">
        <v>50</v>
      </c>
      <c r="C149" s="721"/>
      <c r="D149" s="721"/>
      <c r="E149" s="722">
        <v>-30000</v>
      </c>
      <c r="F149" s="774" t="s">
        <v>63</v>
      </c>
      <c r="G149" s="774" t="s">
        <v>63</v>
      </c>
    </row>
    <row r="150" spans="2:7" x14ac:dyDescent="0.35">
      <c r="B150" s="854" t="s">
        <v>473</v>
      </c>
      <c r="C150" s="849" t="s">
        <v>474</v>
      </c>
      <c r="D150" s="850"/>
      <c r="E150" s="600">
        <v>-15000</v>
      </c>
    </row>
    <row r="151" spans="2:7" ht="15.5" x14ac:dyDescent="0.35">
      <c r="B151" s="1446" t="s">
        <v>11</v>
      </c>
      <c r="C151" s="1447"/>
      <c r="D151" s="1448"/>
      <c r="E151" s="603">
        <f>+E147+E148+E149+E150</f>
        <v>131537.5</v>
      </c>
      <c r="F151" s="774" t="s">
        <v>63</v>
      </c>
    </row>
    <row r="154" spans="2:7" ht="23.5" x14ac:dyDescent="0.35">
      <c r="B154" s="1431" t="s">
        <v>386</v>
      </c>
      <c r="C154" s="1431"/>
      <c r="D154" s="1431"/>
      <c r="E154" s="1431"/>
    </row>
    <row r="155" spans="2:7" x14ac:dyDescent="0.35">
      <c r="B155" s="801" t="s">
        <v>7</v>
      </c>
      <c r="C155" s="802" t="s">
        <v>388</v>
      </c>
      <c r="D155" s="803" t="s">
        <v>272</v>
      </c>
      <c r="E155" s="804" t="s">
        <v>9</v>
      </c>
    </row>
    <row r="156" spans="2:7" x14ac:dyDescent="0.35">
      <c r="B156" s="805" t="s">
        <v>3</v>
      </c>
      <c r="C156" s="806">
        <v>171</v>
      </c>
      <c r="D156" s="807">
        <v>530</v>
      </c>
      <c r="E156" s="808">
        <f>+C156*D156</f>
        <v>90630</v>
      </c>
      <c r="F156" s="771" t="s">
        <v>63</v>
      </c>
    </row>
    <row r="157" spans="2:7" x14ac:dyDescent="0.35">
      <c r="B157" s="805" t="s">
        <v>465</v>
      </c>
      <c r="C157" s="806">
        <v>20</v>
      </c>
      <c r="D157" s="807">
        <v>530</v>
      </c>
      <c r="E157" s="828">
        <f>+C157*D157</f>
        <v>10600</v>
      </c>
    </row>
    <row r="158" spans="2:7" x14ac:dyDescent="0.35">
      <c r="B158" s="805" t="s">
        <v>200</v>
      </c>
      <c r="C158" s="806" t="s">
        <v>63</v>
      </c>
      <c r="D158" s="807" t="s">
        <v>63</v>
      </c>
      <c r="E158" s="828">
        <v>10000</v>
      </c>
    </row>
    <row r="159" spans="2:7" x14ac:dyDescent="0.35">
      <c r="B159" s="614" t="s">
        <v>270</v>
      </c>
      <c r="C159" s="617">
        <v>24</v>
      </c>
      <c r="D159" s="227">
        <f>+D156*1.5</f>
        <v>795</v>
      </c>
      <c r="E159" s="598">
        <f>+C159*D159</f>
        <v>19080</v>
      </c>
    </row>
    <row r="160" spans="2:7" x14ac:dyDescent="0.35">
      <c r="B160" s="614" t="s">
        <v>281</v>
      </c>
      <c r="C160" s="617">
        <v>8</v>
      </c>
      <c r="D160" s="227">
        <f>+D156*2</f>
        <v>1060</v>
      </c>
      <c r="E160" s="811">
        <f>+C160*D160</f>
        <v>8480</v>
      </c>
    </row>
    <row r="161" spans="2:9" x14ac:dyDescent="0.35">
      <c r="B161" s="614" t="s">
        <v>426</v>
      </c>
      <c r="C161" s="617"/>
      <c r="D161" s="227"/>
      <c r="E161" s="811">
        <v>10000</v>
      </c>
    </row>
    <row r="162" spans="2:9" ht="15.5" x14ac:dyDescent="0.35">
      <c r="B162" s="1433" t="s">
        <v>389</v>
      </c>
      <c r="C162" s="1433"/>
      <c r="D162" s="1433"/>
      <c r="E162" s="603">
        <f>+E156+E157+E158+E159+E160+E161</f>
        <v>148790</v>
      </c>
      <c r="F162" s="774" t="s">
        <v>63</v>
      </c>
      <c r="G162" s="771" t="s">
        <v>63</v>
      </c>
      <c r="H162" s="771" t="s">
        <v>63</v>
      </c>
      <c r="I162" s="771" t="s">
        <v>63</v>
      </c>
    </row>
    <row r="163" spans="2:9" s="764" customFormat="1" ht="15.5" x14ac:dyDescent="0.35">
      <c r="B163" s="831" t="s">
        <v>478</v>
      </c>
      <c r="C163" s="829"/>
      <c r="D163" s="829"/>
      <c r="E163" s="830">
        <v>49600</v>
      </c>
      <c r="F163" s="769"/>
    </row>
    <row r="164" spans="2:9" ht="15.5" x14ac:dyDescent="0.35">
      <c r="B164" s="831" t="s">
        <v>19</v>
      </c>
      <c r="C164" s="829"/>
      <c r="D164" s="829"/>
      <c r="E164" s="832">
        <v>-40000</v>
      </c>
      <c r="F164" s="774" t="s">
        <v>63</v>
      </c>
    </row>
    <row r="165" spans="2:9" ht="15.5" x14ac:dyDescent="0.35">
      <c r="B165" s="611" t="s">
        <v>11</v>
      </c>
      <c r="C165" s="853"/>
      <c r="D165" s="853"/>
      <c r="E165" s="603">
        <f>+E162+E163+E164</f>
        <v>158390</v>
      </c>
      <c r="F165" s="774" t="s">
        <v>63</v>
      </c>
    </row>
    <row r="166" spans="2:9" x14ac:dyDescent="0.35">
      <c r="E166" s="203" t="s">
        <v>63</v>
      </c>
    </row>
    <row r="168" spans="2:9" ht="23.5" x14ac:dyDescent="0.35">
      <c r="B168" s="1442" t="s">
        <v>408</v>
      </c>
      <c r="C168" s="1443"/>
      <c r="D168" s="1443"/>
      <c r="E168" s="1444"/>
    </row>
    <row r="169" spans="2:9" x14ac:dyDescent="0.35">
      <c r="B169" s="801" t="s">
        <v>7</v>
      </c>
      <c r="C169" s="802" t="s">
        <v>425</v>
      </c>
      <c r="D169" s="803" t="s">
        <v>272</v>
      </c>
      <c r="E169" s="804" t="s">
        <v>9</v>
      </c>
    </row>
    <row r="170" spans="2:9" x14ac:dyDescent="0.35">
      <c r="B170" s="772" t="s">
        <v>409</v>
      </c>
      <c r="C170" s="258">
        <v>171</v>
      </c>
      <c r="D170" s="227">
        <v>450</v>
      </c>
      <c r="E170" s="598">
        <f>+C170*D170</f>
        <v>76950</v>
      </c>
      <c r="F170" s="771" t="s">
        <v>63</v>
      </c>
    </row>
    <row r="171" spans="2:9" x14ac:dyDescent="0.35">
      <c r="B171" s="772" t="s">
        <v>465</v>
      </c>
      <c r="C171" s="258">
        <v>20</v>
      </c>
      <c r="D171" s="227">
        <v>450</v>
      </c>
      <c r="E171" s="598">
        <f>+C171*D171</f>
        <v>9000</v>
      </c>
    </row>
    <row r="172" spans="2:9" x14ac:dyDescent="0.35">
      <c r="B172" s="772" t="s">
        <v>200</v>
      </c>
      <c r="C172" s="258" t="s">
        <v>63</v>
      </c>
      <c r="D172" s="227" t="s">
        <v>63</v>
      </c>
      <c r="E172" s="598">
        <v>10000</v>
      </c>
    </row>
    <row r="173" spans="2:9" x14ac:dyDescent="0.35">
      <c r="B173" s="772" t="s">
        <v>6</v>
      </c>
      <c r="C173" s="258"/>
      <c r="D173" s="227"/>
      <c r="E173" s="598">
        <v>10000</v>
      </c>
    </row>
    <row r="174" spans="2:9" x14ac:dyDescent="0.35">
      <c r="B174" s="772" t="s">
        <v>270</v>
      </c>
      <c r="C174" s="258">
        <v>12</v>
      </c>
      <c r="D174" s="227">
        <f>+D170*1.5</f>
        <v>675</v>
      </c>
      <c r="E174" s="598">
        <f>+C174*D174</f>
        <v>8100</v>
      </c>
    </row>
    <row r="175" spans="2:9" x14ac:dyDescent="0.35">
      <c r="B175" s="772" t="s">
        <v>449</v>
      </c>
      <c r="C175" s="258">
        <v>11.5</v>
      </c>
      <c r="D175" s="227">
        <f>+D170*2</f>
        <v>900</v>
      </c>
      <c r="E175" s="598">
        <f>+C175*D175</f>
        <v>10350</v>
      </c>
    </row>
    <row r="176" spans="2:9" x14ac:dyDescent="0.35">
      <c r="B176" s="889" t="s">
        <v>459</v>
      </c>
      <c r="C176" s="890"/>
      <c r="D176" s="814"/>
      <c r="E176" s="598">
        <v>8000</v>
      </c>
    </row>
    <row r="177" spans="2:8" x14ac:dyDescent="0.35">
      <c r="B177" s="1439" t="s">
        <v>389</v>
      </c>
      <c r="C177" s="1440"/>
      <c r="D177" s="1441"/>
      <c r="E177" s="599">
        <f>+E170+E171+E172+E173+E174+E175+E176</f>
        <v>132400</v>
      </c>
      <c r="F177" s="774" t="s">
        <v>63</v>
      </c>
    </row>
    <row r="178" spans="2:8" s="764" customFormat="1" x14ac:dyDescent="0.35">
      <c r="B178" s="891" t="s">
        <v>478</v>
      </c>
      <c r="C178" s="720"/>
      <c r="D178" s="720"/>
      <c r="E178" s="887">
        <v>44166</v>
      </c>
      <c r="F178" s="764" t="s">
        <v>63</v>
      </c>
      <c r="G178" s="764" t="s">
        <v>63</v>
      </c>
      <c r="H178" s="764" t="s">
        <v>63</v>
      </c>
    </row>
    <row r="179" spans="2:8" x14ac:dyDescent="0.35">
      <c r="B179" s="831" t="s">
        <v>459</v>
      </c>
      <c r="C179" s="829"/>
      <c r="D179" s="829"/>
      <c r="E179" s="844">
        <v>-5000</v>
      </c>
      <c r="F179" s="774" t="s">
        <v>63</v>
      </c>
    </row>
    <row r="180" spans="2:8" ht="15.5" x14ac:dyDescent="0.35">
      <c r="B180" s="1446" t="s">
        <v>11</v>
      </c>
      <c r="C180" s="1447"/>
      <c r="D180" s="1448"/>
      <c r="E180" s="603">
        <f>+E177+E178+E179</f>
        <v>171566</v>
      </c>
      <c r="F180" s="774" t="s">
        <v>63</v>
      </c>
    </row>
    <row r="181" spans="2:8" x14ac:dyDescent="0.35">
      <c r="E181" s="203" t="s">
        <v>63</v>
      </c>
    </row>
    <row r="183" spans="2:8" ht="14.5" customHeight="1" x14ac:dyDescent="0.35">
      <c r="B183" s="1442" t="s">
        <v>440</v>
      </c>
      <c r="C183" s="1443"/>
      <c r="D183" s="1443"/>
      <c r="E183" s="1444"/>
    </row>
    <row r="184" spans="2:8" ht="14.5" customHeight="1" x14ac:dyDescent="0.35">
      <c r="B184" s="801" t="s">
        <v>7</v>
      </c>
      <c r="C184" s="802" t="s">
        <v>388</v>
      </c>
      <c r="D184" s="803" t="s">
        <v>272</v>
      </c>
      <c r="E184" s="804" t="s">
        <v>9</v>
      </c>
    </row>
    <row r="185" spans="2:8" ht="14.5" customHeight="1" x14ac:dyDescent="0.35">
      <c r="B185" s="805" t="s">
        <v>3</v>
      </c>
      <c r="C185" s="806">
        <v>171</v>
      </c>
      <c r="D185" s="807">
        <v>450</v>
      </c>
      <c r="E185" s="833">
        <f>+C185*D185</f>
        <v>76950</v>
      </c>
    </row>
    <row r="186" spans="2:8" ht="15.5" customHeight="1" x14ac:dyDescent="0.35">
      <c r="B186" s="805" t="s">
        <v>465</v>
      </c>
      <c r="C186" s="806">
        <v>20</v>
      </c>
      <c r="D186" s="807">
        <v>450</v>
      </c>
      <c r="E186" s="834">
        <f>+C186*D186</f>
        <v>9000</v>
      </c>
    </row>
    <row r="187" spans="2:8" x14ac:dyDescent="0.35">
      <c r="B187" s="805" t="s">
        <v>200</v>
      </c>
      <c r="C187" s="806" t="s">
        <v>63</v>
      </c>
      <c r="D187" s="807" t="s">
        <v>63</v>
      </c>
      <c r="E187" s="834">
        <v>10000</v>
      </c>
    </row>
    <row r="188" spans="2:8" x14ac:dyDescent="0.35">
      <c r="B188" s="614" t="s">
        <v>270</v>
      </c>
      <c r="C188" s="617">
        <v>8</v>
      </c>
      <c r="D188" s="227">
        <f>+D185*1.5</f>
        <v>675</v>
      </c>
      <c r="E188" s="598">
        <f>+C188*D188</f>
        <v>5400</v>
      </c>
    </row>
    <row r="189" spans="2:8" x14ac:dyDescent="0.35">
      <c r="B189" s="614" t="s">
        <v>281</v>
      </c>
      <c r="C189" s="617">
        <v>4</v>
      </c>
      <c r="D189" s="227">
        <f>+D185*2</f>
        <v>900</v>
      </c>
      <c r="E189" s="598">
        <f>+C189*D189</f>
        <v>3600</v>
      </c>
    </row>
    <row r="190" spans="2:8" x14ac:dyDescent="0.35">
      <c r="B190" s="614" t="s">
        <v>459</v>
      </c>
      <c r="C190" s="617"/>
      <c r="D190" s="227"/>
      <c r="E190" s="598">
        <v>8000</v>
      </c>
      <c r="F190" s="774" t="s">
        <v>63</v>
      </c>
    </row>
    <row r="191" spans="2:8" ht="15.5" x14ac:dyDescent="0.35">
      <c r="B191" s="1446" t="s">
        <v>389</v>
      </c>
      <c r="C191" s="1447"/>
      <c r="D191" s="1448"/>
      <c r="E191" s="603">
        <f>+E185+E186+E187+E188+E189+E190</f>
        <v>112950</v>
      </c>
      <c r="F191" s="774" t="s">
        <v>63</v>
      </c>
      <c r="G191" s="771" t="s">
        <v>63</v>
      </c>
      <c r="H191" s="771" t="s">
        <v>63</v>
      </c>
    </row>
    <row r="192" spans="2:8" s="764" customFormat="1" ht="15.5" x14ac:dyDescent="0.35">
      <c r="B192" s="831" t="s">
        <v>478</v>
      </c>
      <c r="C192" s="829"/>
      <c r="D192" s="829"/>
      <c r="E192" s="830">
        <v>18825</v>
      </c>
      <c r="F192" s="769" t="s">
        <v>63</v>
      </c>
    </row>
    <row r="193" spans="2:8" ht="15.5" x14ac:dyDescent="0.35">
      <c r="B193" s="831" t="s">
        <v>19</v>
      </c>
      <c r="C193" s="829"/>
      <c r="D193" s="829"/>
      <c r="E193" s="832">
        <v>-40000</v>
      </c>
    </row>
    <row r="194" spans="2:8" ht="15.5" x14ac:dyDescent="0.35">
      <c r="B194" s="611" t="s">
        <v>11</v>
      </c>
      <c r="C194" s="853"/>
      <c r="D194" s="853"/>
      <c r="E194" s="603">
        <f>+E191+E192+E193</f>
        <v>91775</v>
      </c>
    </row>
    <row r="195" spans="2:8" x14ac:dyDescent="0.35">
      <c r="E195" s="203" t="s">
        <v>63</v>
      </c>
    </row>
    <row r="197" spans="2:8" ht="23.5" x14ac:dyDescent="0.35">
      <c r="B197" s="1442" t="s">
        <v>456</v>
      </c>
      <c r="C197" s="1443"/>
      <c r="D197" s="1443"/>
      <c r="E197" s="1444"/>
    </row>
    <row r="198" spans="2:8" x14ac:dyDescent="0.35">
      <c r="B198" s="801" t="s">
        <v>7</v>
      </c>
      <c r="C198" s="802" t="s">
        <v>388</v>
      </c>
      <c r="D198" s="803" t="s">
        <v>272</v>
      </c>
      <c r="E198" s="804" t="s">
        <v>9</v>
      </c>
    </row>
    <row r="199" spans="2:8" x14ac:dyDescent="0.35">
      <c r="B199" s="805" t="s">
        <v>3</v>
      </c>
      <c r="C199" s="806">
        <v>171</v>
      </c>
      <c r="D199" s="807">
        <v>500</v>
      </c>
      <c r="E199" s="833">
        <f>+C199*D199</f>
        <v>85500</v>
      </c>
    </row>
    <row r="200" spans="2:8" x14ac:dyDescent="0.35">
      <c r="B200" s="805" t="s">
        <v>465</v>
      </c>
      <c r="C200" s="806">
        <v>20</v>
      </c>
      <c r="D200" s="807">
        <v>500</v>
      </c>
      <c r="E200" s="834">
        <f>+C200*D200</f>
        <v>10000</v>
      </c>
    </row>
    <row r="201" spans="2:8" x14ac:dyDescent="0.35">
      <c r="B201" s="805" t="s">
        <v>6</v>
      </c>
      <c r="C201" s="806" t="s">
        <v>63</v>
      </c>
      <c r="D201" s="807" t="s">
        <v>63</v>
      </c>
      <c r="E201" s="834">
        <v>10000</v>
      </c>
    </row>
    <row r="202" spans="2:8" x14ac:dyDescent="0.35">
      <c r="B202" s="614" t="s">
        <v>200</v>
      </c>
      <c r="C202" s="617"/>
      <c r="D202" s="227"/>
      <c r="E202" s="598">
        <v>10000</v>
      </c>
    </row>
    <row r="203" spans="2:8" x14ac:dyDescent="0.35">
      <c r="B203" s="614" t="s">
        <v>475</v>
      </c>
      <c r="C203" s="617">
        <v>9</v>
      </c>
      <c r="D203" s="227">
        <f>+D199*1.5</f>
        <v>750</v>
      </c>
      <c r="E203" s="598">
        <f>+C203*D203</f>
        <v>6750</v>
      </c>
    </row>
    <row r="204" spans="2:8" x14ac:dyDescent="0.35">
      <c r="B204" s="614" t="s">
        <v>476</v>
      </c>
      <c r="C204" s="617">
        <v>7</v>
      </c>
      <c r="D204" s="227">
        <f>+D199*2</f>
        <v>1000</v>
      </c>
      <c r="E204" s="598">
        <f>+C204*D204</f>
        <v>7000</v>
      </c>
    </row>
    <row r="205" spans="2:8" ht="15.5" x14ac:dyDescent="0.35">
      <c r="B205" s="1446" t="s">
        <v>389</v>
      </c>
      <c r="C205" s="1447"/>
      <c r="D205" s="1448"/>
      <c r="E205" s="603">
        <f>+E199+E200+E201+E202+E203+E204</f>
        <v>129250</v>
      </c>
    </row>
    <row r="206" spans="2:8" ht="15.5" x14ac:dyDescent="0.35">
      <c r="B206" s="831" t="s">
        <v>478</v>
      </c>
      <c r="C206" s="829"/>
      <c r="D206" s="829"/>
      <c r="E206" s="830">
        <v>21600</v>
      </c>
      <c r="F206" s="771" t="s">
        <v>63</v>
      </c>
      <c r="G206" s="771" t="s">
        <v>63</v>
      </c>
      <c r="H206" s="771" t="s">
        <v>63</v>
      </c>
    </row>
    <row r="207" spans="2:8" ht="15.5" x14ac:dyDescent="0.35">
      <c r="B207" s="611" t="s">
        <v>11</v>
      </c>
      <c r="C207" s="853"/>
      <c r="D207" s="853"/>
      <c r="E207" s="603">
        <f>+E205+E206</f>
        <v>150850</v>
      </c>
    </row>
    <row r="208" spans="2:8" x14ac:dyDescent="0.35">
      <c r="E208" s="203" t="s">
        <v>63</v>
      </c>
    </row>
  </sheetData>
  <mergeCells count="31">
    <mergeCell ref="B71:D71"/>
    <mergeCell ref="B1:E1"/>
    <mergeCell ref="B10:D10"/>
    <mergeCell ref="B15:D15"/>
    <mergeCell ref="B17:E17"/>
    <mergeCell ref="B26:D26"/>
    <mergeCell ref="B29:D29"/>
    <mergeCell ref="B31:E31"/>
    <mergeCell ref="B40:D40"/>
    <mergeCell ref="B46:E46"/>
    <mergeCell ref="B55:D55"/>
    <mergeCell ref="B63:E63"/>
    <mergeCell ref="B162:D162"/>
    <mergeCell ref="B78:E78"/>
    <mergeCell ref="B87:D87"/>
    <mergeCell ref="B94:E94"/>
    <mergeCell ref="B103:D103"/>
    <mergeCell ref="B111:E111"/>
    <mergeCell ref="B120:D120"/>
    <mergeCell ref="B126:E126"/>
    <mergeCell ref="B139:E139"/>
    <mergeCell ref="B147:D147"/>
    <mergeCell ref="B151:D151"/>
    <mergeCell ref="B154:E154"/>
    <mergeCell ref="B205:D205"/>
    <mergeCell ref="B168:E168"/>
    <mergeCell ref="B177:D177"/>
    <mergeCell ref="B180:D180"/>
    <mergeCell ref="B183:E183"/>
    <mergeCell ref="B191:D191"/>
    <mergeCell ref="B197:E197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E46"/>
  <sheetViews>
    <sheetView topLeftCell="A18" workbookViewId="0">
      <selection activeCell="C28" sqref="C28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15.7265625" style="771" customWidth="1"/>
    <col min="5" max="5" width="14.08984375" style="771" customWidth="1"/>
    <col min="6" max="16384" width="10.90625" style="771"/>
  </cols>
  <sheetData>
    <row r="1" spans="2:4" s="658" customFormat="1" ht="28.5" x14ac:dyDescent="0.65">
      <c r="B1" s="718" t="s">
        <v>512</v>
      </c>
      <c r="C1" s="657"/>
    </row>
    <row r="3" spans="2:4" x14ac:dyDescent="0.35">
      <c r="B3" s="772" t="s">
        <v>10</v>
      </c>
      <c r="C3" s="773">
        <v>110800</v>
      </c>
    </row>
    <row r="4" spans="2:4" x14ac:dyDescent="0.35">
      <c r="B4" s="772" t="s">
        <v>15</v>
      </c>
      <c r="C4" s="773">
        <v>174100</v>
      </c>
    </row>
    <row r="5" spans="2:4" x14ac:dyDescent="0.35">
      <c r="B5" s="772" t="s">
        <v>16</v>
      </c>
      <c r="C5" s="773">
        <v>108050</v>
      </c>
    </row>
    <row r="6" spans="2:4" x14ac:dyDescent="0.35">
      <c r="B6" s="772" t="s">
        <v>0</v>
      </c>
      <c r="C6" s="773">
        <v>133700</v>
      </c>
    </row>
    <row r="7" spans="2:4" x14ac:dyDescent="0.35">
      <c r="B7" s="772" t="s">
        <v>28</v>
      </c>
      <c r="C7" s="773">
        <v>58000</v>
      </c>
    </row>
    <row r="8" spans="2:4" x14ac:dyDescent="0.35">
      <c r="B8" s="772" t="s">
        <v>245</v>
      </c>
      <c r="C8" s="773">
        <v>116700</v>
      </c>
    </row>
    <row r="9" spans="2:4" x14ac:dyDescent="0.35">
      <c r="B9" s="772" t="s">
        <v>267</v>
      </c>
      <c r="C9" s="773">
        <v>140700</v>
      </c>
    </row>
    <row r="10" spans="2:4" x14ac:dyDescent="0.35">
      <c r="B10" s="772" t="s">
        <v>260</v>
      </c>
      <c r="C10" s="773">
        <v>107000</v>
      </c>
    </row>
    <row r="11" spans="2:4" x14ac:dyDescent="0.35">
      <c r="B11" s="772" t="s">
        <v>277</v>
      </c>
      <c r="C11" s="773">
        <v>50600</v>
      </c>
      <c r="D11" s="771" t="s">
        <v>63</v>
      </c>
    </row>
    <row r="12" spans="2:4" x14ac:dyDescent="0.35">
      <c r="B12" s="772" t="s">
        <v>355</v>
      </c>
      <c r="C12" s="773">
        <v>110400</v>
      </c>
    </row>
    <row r="13" spans="2:4" x14ac:dyDescent="0.35">
      <c r="B13" s="772" t="s">
        <v>443</v>
      </c>
      <c r="C13" s="773">
        <v>50200</v>
      </c>
    </row>
    <row r="14" spans="2:4" x14ac:dyDescent="0.35">
      <c r="B14" s="772" t="s">
        <v>412</v>
      </c>
      <c r="C14" s="773">
        <v>125000</v>
      </c>
    </row>
    <row r="15" spans="2:4" x14ac:dyDescent="0.35">
      <c r="B15" s="772" t="s">
        <v>411</v>
      </c>
      <c r="C15" s="773">
        <v>122400</v>
      </c>
    </row>
    <row r="16" spans="2:4" x14ac:dyDescent="0.35">
      <c r="B16" s="772" t="s">
        <v>463</v>
      </c>
      <c r="C16" s="773">
        <v>142500</v>
      </c>
      <c r="D16" s="49" t="s">
        <v>63</v>
      </c>
    </row>
    <row r="17" spans="2:5" x14ac:dyDescent="0.35">
      <c r="B17" s="772" t="s">
        <v>63</v>
      </c>
      <c r="C17" s="773" t="s">
        <v>63</v>
      </c>
    </row>
    <row r="18" spans="2:5" s="658" customFormat="1" ht="28.5" x14ac:dyDescent="0.65">
      <c r="B18" s="902" t="s">
        <v>513</v>
      </c>
      <c r="C18" s="903">
        <f>+C3+C4+C5+C6+C7+C8+C9+C10+C11+C12+C13+C14+C15+C16</f>
        <v>1550150</v>
      </c>
    </row>
    <row r="19" spans="2:5" x14ac:dyDescent="0.35">
      <c r="C19" s="49" t="s">
        <v>63</v>
      </c>
    </row>
    <row r="20" spans="2:5" x14ac:dyDescent="0.35">
      <c r="C20" s="49" t="s">
        <v>63</v>
      </c>
    </row>
    <row r="21" spans="2:5" s="648" customFormat="1" ht="46" x14ac:dyDescent="1">
      <c r="B21" s="719" t="s">
        <v>512</v>
      </c>
      <c r="C21" s="653"/>
    </row>
    <row r="22" spans="2:5" ht="18.5" x14ac:dyDescent="0.45">
      <c r="B22" s="643" t="s">
        <v>306</v>
      </c>
      <c r="C22" s="654" t="s">
        <v>272</v>
      </c>
      <c r="D22" s="643" t="s">
        <v>200</v>
      </c>
    </row>
    <row r="23" spans="2:5" ht="18.5" x14ac:dyDescent="0.45">
      <c r="B23" s="644" t="s">
        <v>10</v>
      </c>
      <c r="C23" s="655">
        <v>726</v>
      </c>
      <c r="D23" s="644">
        <v>10000</v>
      </c>
    </row>
    <row r="24" spans="2:5" ht="18.5" x14ac:dyDescent="0.45">
      <c r="B24" s="644" t="s">
        <v>15</v>
      </c>
      <c r="C24" s="655">
        <v>1315</v>
      </c>
      <c r="D24" s="644">
        <v>10000</v>
      </c>
    </row>
    <row r="25" spans="2:5" ht="18.5" x14ac:dyDescent="0.45">
      <c r="B25" s="644" t="s">
        <v>16</v>
      </c>
      <c r="C25" s="655">
        <v>621</v>
      </c>
      <c r="D25" s="644">
        <v>10000</v>
      </c>
    </row>
    <row r="26" spans="2:5" ht="18.5" x14ac:dyDescent="0.45">
      <c r="B26" s="644" t="s">
        <v>0</v>
      </c>
      <c r="C26" s="655">
        <v>862.5</v>
      </c>
      <c r="D26" s="644">
        <v>10000</v>
      </c>
    </row>
    <row r="27" spans="2:5" ht="18.5" x14ac:dyDescent="0.45">
      <c r="B27" s="644" t="s">
        <v>28</v>
      </c>
      <c r="C27" s="655">
        <v>728.75</v>
      </c>
      <c r="D27" s="644">
        <v>10000</v>
      </c>
    </row>
    <row r="28" spans="2:5" ht="18.5" x14ac:dyDescent="0.45">
      <c r="B28" s="644" t="s">
        <v>245</v>
      </c>
      <c r="C28" s="655">
        <v>540</v>
      </c>
      <c r="D28" s="644">
        <v>10000</v>
      </c>
    </row>
    <row r="29" spans="2:5" ht="18.5" x14ac:dyDescent="0.45">
      <c r="B29" s="644" t="s">
        <v>267</v>
      </c>
      <c r="C29" s="655">
        <v>598</v>
      </c>
      <c r="D29" s="644">
        <v>10000</v>
      </c>
    </row>
    <row r="30" spans="2:5" ht="18.5" x14ac:dyDescent="0.45">
      <c r="B30" s="644" t="s">
        <v>260</v>
      </c>
      <c r="C30" s="655">
        <v>805</v>
      </c>
      <c r="D30" s="644">
        <v>10000</v>
      </c>
    </row>
    <row r="31" spans="2:5" ht="18.5" x14ac:dyDescent="0.45">
      <c r="B31" s="645" t="s">
        <v>277</v>
      </c>
      <c r="C31" s="655">
        <v>540</v>
      </c>
      <c r="D31" s="644">
        <v>10000</v>
      </c>
    </row>
    <row r="32" spans="2:5" ht="18.5" x14ac:dyDescent="0.45">
      <c r="B32" s="645" t="s">
        <v>355</v>
      </c>
      <c r="C32" s="655">
        <v>552</v>
      </c>
      <c r="D32" s="645">
        <v>10000</v>
      </c>
      <c r="E32" s="771" t="s">
        <v>63</v>
      </c>
    </row>
    <row r="33" spans="1:4" ht="18.5" x14ac:dyDescent="0.45">
      <c r="B33" s="645" t="s">
        <v>443</v>
      </c>
      <c r="C33" s="655">
        <v>517.5</v>
      </c>
      <c r="D33" s="645">
        <v>10000</v>
      </c>
    </row>
    <row r="34" spans="1:4" ht="18.5" x14ac:dyDescent="0.45">
      <c r="B34" s="645" t="s">
        <v>412</v>
      </c>
      <c r="C34" s="655">
        <v>540</v>
      </c>
      <c r="D34" s="645">
        <v>10000</v>
      </c>
    </row>
    <row r="35" spans="1:4" ht="18.5" x14ac:dyDescent="0.45">
      <c r="B35" s="645" t="s">
        <v>411</v>
      </c>
      <c r="C35" s="655">
        <v>609.5</v>
      </c>
      <c r="D35" s="645">
        <v>10000</v>
      </c>
    </row>
    <row r="36" spans="1:4" ht="18.5" x14ac:dyDescent="0.45">
      <c r="B36" s="645" t="s">
        <v>463</v>
      </c>
      <c r="C36" s="655">
        <v>600</v>
      </c>
      <c r="D36" s="645">
        <v>10000</v>
      </c>
    </row>
    <row r="37" spans="1:4" ht="18.5" x14ac:dyDescent="0.45">
      <c r="B37" s="645" t="s">
        <v>63</v>
      </c>
      <c r="C37" s="655" t="s">
        <v>63</v>
      </c>
      <c r="D37" s="645" t="s">
        <v>63</v>
      </c>
    </row>
    <row r="38" spans="1:4" ht="18.5" x14ac:dyDescent="0.45">
      <c r="B38" s="798"/>
      <c r="C38" s="799"/>
      <c r="D38" s="798"/>
    </row>
    <row r="40" spans="1:4" x14ac:dyDescent="0.35">
      <c r="A40" s="701" t="s">
        <v>106</v>
      </c>
      <c r="B40" s="702" t="s">
        <v>107</v>
      </c>
      <c r="C40" s="702" t="s">
        <v>262</v>
      </c>
      <c r="D40" s="704"/>
    </row>
    <row r="41" spans="1:4" x14ac:dyDescent="0.35">
      <c r="A41" s="703">
        <v>17</v>
      </c>
      <c r="B41" s="703">
        <v>9</v>
      </c>
      <c r="C41" s="568">
        <f>+A41*B41</f>
        <v>153</v>
      </c>
      <c r="D41" s="592" t="s">
        <v>116</v>
      </c>
    </row>
    <row r="42" spans="1:4" x14ac:dyDescent="0.35">
      <c r="A42" s="703">
        <v>4</v>
      </c>
      <c r="B42" s="703">
        <v>8</v>
      </c>
      <c r="C42" s="568">
        <f>+A42*B42</f>
        <v>32</v>
      </c>
      <c r="D42" s="593" t="s">
        <v>491</v>
      </c>
    </row>
    <row r="43" spans="1:4" x14ac:dyDescent="0.35">
      <c r="A43" s="703">
        <v>0</v>
      </c>
      <c r="B43" s="703">
        <v>8</v>
      </c>
      <c r="C43" s="568">
        <f>+A43*B43</f>
        <v>0</v>
      </c>
      <c r="D43" s="593" t="s">
        <v>111</v>
      </c>
    </row>
    <row r="44" spans="1:4" x14ac:dyDescent="0.35">
      <c r="A44" s="568" t="s">
        <v>63</v>
      </c>
      <c r="B44" s="773"/>
      <c r="C44" s="568">
        <f>+C41+C42+C43</f>
        <v>185</v>
      </c>
      <c r="D44" s="592" t="s">
        <v>309</v>
      </c>
    </row>
    <row r="45" spans="1:4" x14ac:dyDescent="0.35">
      <c r="A45" s="901" t="s">
        <v>63</v>
      </c>
      <c r="B45" s="49"/>
      <c r="C45" s="771"/>
    </row>
    <row r="46" spans="1:4" x14ac:dyDescent="0.35">
      <c r="A46" s="345" t="s">
        <v>63</v>
      </c>
    </row>
  </sheetData>
  <pageMargins left="0.7" right="0.7" top="0.75" bottom="0.75" header="0.3" footer="0.3"/>
  <pageSetup paperSize="9" scale="92" fitToWidth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1:V230"/>
  <sheetViews>
    <sheetView topLeftCell="A49" zoomScale="90" zoomScaleNormal="90" workbookViewId="0">
      <selection activeCell="G67" sqref="G67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25.5" customHeight="1" x14ac:dyDescent="0.35">
      <c r="B1" s="1431" t="s">
        <v>10</v>
      </c>
      <c r="C1" s="1431"/>
      <c r="D1" s="1431"/>
      <c r="E1" s="1431"/>
    </row>
    <row r="2" spans="2:21" s="892" customFormat="1" ht="18" customHeight="1" x14ac:dyDescent="0.35">
      <c r="B2" s="2" t="s">
        <v>7</v>
      </c>
      <c r="C2" s="270" t="s">
        <v>8</v>
      </c>
      <c r="D2" s="217" t="s">
        <v>4</v>
      </c>
      <c r="E2" s="597" t="s">
        <v>9</v>
      </c>
      <c r="F2" s="771"/>
      <c r="T2" s="771"/>
      <c r="U2" s="771"/>
    </row>
    <row r="3" spans="2:21" ht="18" customHeight="1" x14ac:dyDescent="0.35">
      <c r="B3" s="772" t="s">
        <v>480</v>
      </c>
      <c r="C3" s="258">
        <v>185</v>
      </c>
      <c r="D3" s="227">
        <f>660*1.1</f>
        <v>726.00000000000011</v>
      </c>
      <c r="E3" s="598">
        <f>+C3*D3</f>
        <v>134310.00000000003</v>
      </c>
      <c r="F3" s="553" t="s">
        <v>362</v>
      </c>
      <c r="T3" s="892"/>
    </row>
    <row r="4" spans="2:21" ht="18" customHeight="1" x14ac:dyDescent="0.35">
      <c r="B4" s="772" t="s">
        <v>492</v>
      </c>
      <c r="C4" s="258" t="s">
        <v>63</v>
      </c>
      <c r="D4" s="227" t="s">
        <v>63</v>
      </c>
      <c r="E4" s="598" t="s">
        <v>63</v>
      </c>
      <c r="F4" s="774" t="s">
        <v>63</v>
      </c>
      <c r="T4" s="774"/>
    </row>
    <row r="5" spans="2:21" ht="18" customHeight="1" x14ac:dyDescent="0.35">
      <c r="B5" s="772" t="s">
        <v>488</v>
      </c>
      <c r="C5" s="258"/>
      <c r="D5" s="227"/>
      <c r="E5" s="598">
        <v>10000</v>
      </c>
      <c r="F5" s="774" t="s">
        <v>63</v>
      </c>
      <c r="G5" s="771" t="s">
        <v>63</v>
      </c>
    </row>
    <row r="6" spans="2:21" ht="18" customHeight="1" x14ac:dyDescent="0.35">
      <c r="B6" s="772" t="s">
        <v>467</v>
      </c>
      <c r="C6" s="258">
        <v>9</v>
      </c>
      <c r="D6" s="194">
        <f>+D3*1.5</f>
        <v>1089.0000000000002</v>
      </c>
      <c r="E6" s="598">
        <f>+C6*D6</f>
        <v>9801.0000000000018</v>
      </c>
      <c r="F6" s="774" t="s">
        <v>63</v>
      </c>
      <c r="G6" s="774"/>
    </row>
    <row r="7" spans="2:21" ht="18" customHeight="1" x14ac:dyDescent="0.35">
      <c r="B7" s="772" t="s">
        <v>466</v>
      </c>
      <c r="C7" s="258" t="s">
        <v>63</v>
      </c>
      <c r="D7" s="194" t="s">
        <v>63</v>
      </c>
      <c r="E7" s="598" t="s">
        <v>63</v>
      </c>
      <c r="G7" s="774"/>
    </row>
    <row r="8" spans="2:21" ht="18" customHeight="1" x14ac:dyDescent="0.35">
      <c r="B8" s="772" t="s">
        <v>489</v>
      </c>
      <c r="C8" s="258" t="s">
        <v>63</v>
      </c>
      <c r="D8" s="194"/>
      <c r="E8" s="598">
        <v>35000</v>
      </c>
      <c r="F8" s="553" t="s">
        <v>63</v>
      </c>
      <c r="G8" s="774" t="s">
        <v>63</v>
      </c>
      <c r="U8" s="892"/>
    </row>
    <row r="9" spans="2:21" ht="18" customHeight="1" x14ac:dyDescent="0.35">
      <c r="B9" s="772" t="s">
        <v>493</v>
      </c>
      <c r="C9" s="258">
        <v>2</v>
      </c>
      <c r="D9" s="194">
        <v>3000</v>
      </c>
      <c r="E9" s="598">
        <f>+C9*D9</f>
        <v>6000</v>
      </c>
      <c r="F9" s="774" t="s">
        <v>63</v>
      </c>
      <c r="U9" s="892"/>
    </row>
    <row r="10" spans="2:21" ht="18" customHeight="1" x14ac:dyDescent="0.35">
      <c r="B10" s="1432" t="s">
        <v>99</v>
      </c>
      <c r="C10" s="1432"/>
      <c r="D10" s="1432"/>
      <c r="E10" s="599">
        <f>+E3+E5+E6+E8+E9</f>
        <v>195111.00000000003</v>
      </c>
      <c r="F10" s="774" t="s">
        <v>63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892"/>
    </row>
    <row r="11" spans="2:21" ht="18" customHeight="1" x14ac:dyDescent="0.35">
      <c r="B11" s="900" t="s">
        <v>384</v>
      </c>
      <c r="C11" s="897"/>
      <c r="D11" s="897"/>
      <c r="E11" s="221">
        <v>-66424.539999999994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892"/>
    </row>
    <row r="12" spans="2:21" ht="18" customHeight="1" x14ac:dyDescent="0.35">
      <c r="B12" s="800" t="s">
        <v>494</v>
      </c>
      <c r="C12" s="721" t="s">
        <v>477</v>
      </c>
      <c r="D12" s="905">
        <f>+E3+E5+E8</f>
        <v>179310.00000000003</v>
      </c>
      <c r="E12" s="722">
        <v>-17931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892"/>
    </row>
    <row r="13" spans="2:21" ht="18" customHeight="1" x14ac:dyDescent="0.35">
      <c r="B13" s="1433" t="s">
        <v>11</v>
      </c>
      <c r="C13" s="1433"/>
      <c r="D13" s="1433"/>
      <c r="E13" s="603">
        <f>+E10+E11+E12</f>
        <v>110755.46000000004</v>
      </c>
      <c r="F13" s="774" t="s">
        <v>63</v>
      </c>
      <c r="H13" s="321"/>
      <c r="I13" s="321"/>
      <c r="J13" s="321"/>
      <c r="K13" s="473"/>
      <c r="L13" s="321"/>
      <c r="M13" s="321"/>
      <c r="T13" s="892"/>
    </row>
    <row r="14" spans="2:21" ht="18" customHeight="1" x14ac:dyDescent="0.35">
      <c r="E14" s="203" t="s">
        <v>63</v>
      </c>
      <c r="F14" s="106"/>
      <c r="G14" s="4"/>
      <c r="N14" s="4"/>
      <c r="T14" s="892"/>
    </row>
    <row r="15" spans="2:21" ht="18" customHeight="1" x14ac:dyDescent="0.35">
      <c r="B15" s="1431" t="s">
        <v>15</v>
      </c>
      <c r="C15" s="1431"/>
      <c r="D15" s="1431"/>
      <c r="E15" s="1431"/>
      <c r="F15" s="406"/>
      <c r="K15" s="465"/>
      <c r="L15" s="465"/>
      <c r="M15" s="465"/>
    </row>
    <row r="16" spans="2:21" ht="18" customHeight="1" x14ac:dyDescent="0.35">
      <c r="B16" s="2" t="s">
        <v>7</v>
      </c>
      <c r="C16" s="270" t="s">
        <v>8</v>
      </c>
      <c r="D16" s="217" t="s">
        <v>4</v>
      </c>
      <c r="E16" s="597" t="s">
        <v>9</v>
      </c>
      <c r="F16" s="892"/>
      <c r="K16" s="101"/>
      <c r="L16" s="101"/>
      <c r="M16" s="101"/>
    </row>
    <row r="17" spans="2:22" ht="18" customHeight="1" x14ac:dyDescent="0.35">
      <c r="B17" s="772" t="s">
        <v>3</v>
      </c>
      <c r="C17" s="315">
        <v>185</v>
      </c>
      <c r="D17" s="194">
        <v>1315</v>
      </c>
      <c r="E17" s="598">
        <f>+C17*D17</f>
        <v>243275</v>
      </c>
      <c r="F17" s="774" t="s">
        <v>362</v>
      </c>
      <c r="K17" s="101"/>
      <c r="L17" s="101"/>
      <c r="M17" s="101"/>
    </row>
    <row r="18" spans="2:22" ht="18" customHeight="1" x14ac:dyDescent="0.35">
      <c r="B18" s="772" t="s">
        <v>496</v>
      </c>
      <c r="C18" s="258" t="s">
        <v>63</v>
      </c>
      <c r="D18" s="194" t="s">
        <v>63</v>
      </c>
      <c r="E18" s="598" t="s">
        <v>63</v>
      </c>
      <c r="F18" s="774"/>
      <c r="K18" s="101"/>
      <c r="L18" s="101"/>
      <c r="M18" s="101"/>
    </row>
    <row r="19" spans="2:22" ht="18" customHeight="1" x14ac:dyDescent="0.35">
      <c r="B19" s="772" t="s">
        <v>196</v>
      </c>
      <c r="C19" s="258"/>
      <c r="D19" s="194"/>
      <c r="E19" s="598">
        <v>10000</v>
      </c>
      <c r="F19" s="892"/>
      <c r="H19" s="894"/>
      <c r="N19" s="51"/>
      <c r="O19" s="51"/>
      <c r="P19" s="66"/>
      <c r="Q19" s="49"/>
      <c r="R19" s="49"/>
    </row>
    <row r="20" spans="2:22" ht="18" customHeight="1" x14ac:dyDescent="0.35">
      <c r="B20" s="772" t="s">
        <v>6</v>
      </c>
      <c r="C20" s="258"/>
      <c r="D20" s="194"/>
      <c r="E20" s="598">
        <v>20000</v>
      </c>
      <c r="F20" s="649" t="s">
        <v>63</v>
      </c>
      <c r="H20" s="894"/>
      <c r="N20" s="51"/>
      <c r="O20" s="51"/>
      <c r="P20" s="66"/>
      <c r="Q20" s="49"/>
      <c r="R20" s="49"/>
    </row>
    <row r="21" spans="2:22" ht="18" customHeight="1" x14ac:dyDescent="0.35">
      <c r="B21" s="772" t="s">
        <v>507</v>
      </c>
      <c r="C21" s="315">
        <v>2.5</v>
      </c>
      <c r="D21" s="194">
        <f>+D17*1.5</f>
        <v>1972.5</v>
      </c>
      <c r="E21" s="598">
        <f>+C21*D21</f>
        <v>4931.25</v>
      </c>
      <c r="F21" s="774"/>
      <c r="G21" s="4"/>
      <c r="L21" s="180"/>
      <c r="M21" s="184"/>
    </row>
    <row r="22" spans="2:22" ht="18" customHeight="1" x14ac:dyDescent="0.35">
      <c r="B22" s="772" t="s">
        <v>449</v>
      </c>
      <c r="C22" s="315">
        <v>8.5</v>
      </c>
      <c r="D22" s="194">
        <f>+D17*2</f>
        <v>2630</v>
      </c>
      <c r="E22" s="598">
        <f>+C22*D22</f>
        <v>22355</v>
      </c>
      <c r="F22" s="774"/>
      <c r="G22" s="4"/>
      <c r="L22" s="180"/>
      <c r="M22" s="184"/>
    </row>
    <row r="23" spans="2:22" s="892" customFormat="1" ht="18" customHeight="1" x14ac:dyDescent="0.35">
      <c r="B23" s="772" t="s">
        <v>495</v>
      </c>
      <c r="C23" s="258">
        <v>2</v>
      </c>
      <c r="D23" s="194">
        <v>3000</v>
      </c>
      <c r="E23" s="598">
        <f>+C23*D23</f>
        <v>6000</v>
      </c>
      <c r="F23" s="774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892" customFormat="1" ht="18" customHeight="1" x14ac:dyDescent="0.35">
      <c r="B24" s="1432" t="s">
        <v>99</v>
      </c>
      <c r="C24" s="1432"/>
      <c r="D24" s="1432"/>
      <c r="E24" s="599">
        <f>+E17+E19+E20+E21+E22+E23</f>
        <v>306561.25</v>
      </c>
      <c r="F24" s="774" t="s">
        <v>63</v>
      </c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864" customFormat="1" ht="18" customHeight="1" x14ac:dyDescent="0.35">
      <c r="B25" s="870" t="s">
        <v>514</v>
      </c>
      <c r="C25" s="860"/>
      <c r="D25" s="860"/>
      <c r="E25" s="861">
        <v>20000</v>
      </c>
      <c r="F25" s="862"/>
      <c r="G25" s="859"/>
      <c r="L25" s="867"/>
      <c r="M25" s="868"/>
      <c r="N25" s="869"/>
      <c r="O25" s="869"/>
      <c r="P25" s="867"/>
      <c r="Q25" s="867"/>
      <c r="R25" s="867"/>
      <c r="S25" s="859"/>
      <c r="V25" s="859"/>
    </row>
    <row r="26" spans="2:22" s="908" customFormat="1" ht="18" customHeight="1" x14ac:dyDescent="0.35">
      <c r="B26" s="909" t="s">
        <v>515</v>
      </c>
      <c r="C26" s="720"/>
      <c r="D26" s="720"/>
      <c r="E26" s="887">
        <v>-150000</v>
      </c>
      <c r="F26" s="769" t="s">
        <v>63</v>
      </c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s="892" customFormat="1" ht="18" customHeight="1" x14ac:dyDescent="0.35">
      <c r="B27" s="772" t="s">
        <v>79</v>
      </c>
      <c r="C27" s="258"/>
      <c r="D27" s="194"/>
      <c r="E27" s="731">
        <v>-2480</v>
      </c>
      <c r="F27" s="774" t="s">
        <v>63</v>
      </c>
      <c r="G27" s="771"/>
      <c r="L27" s="181"/>
      <c r="M27" s="184"/>
      <c r="N27" s="180"/>
      <c r="O27" s="180"/>
      <c r="P27" s="181"/>
      <c r="Q27" s="181"/>
      <c r="R27" s="181"/>
      <c r="S27" s="771"/>
      <c r="V27" s="771"/>
    </row>
    <row r="28" spans="2:22" ht="18" customHeight="1" x14ac:dyDescent="0.35">
      <c r="B28" s="1435" t="s">
        <v>11</v>
      </c>
      <c r="C28" s="1435"/>
      <c r="D28" s="1435"/>
      <c r="E28" s="602">
        <f>+E24+E25+E26+E27</f>
        <v>174081.25</v>
      </c>
      <c r="F28" s="796" t="s">
        <v>63</v>
      </c>
      <c r="G28" s="115"/>
      <c r="M28" s="189"/>
      <c r="N28" s="180"/>
      <c r="O28" s="180"/>
      <c r="P28" s="181"/>
      <c r="Q28" s="181"/>
      <c r="R28" s="181"/>
    </row>
    <row r="29" spans="2:22" ht="18" customHeight="1" x14ac:dyDescent="0.35">
      <c r="B29" s="455"/>
      <c r="C29" s="455"/>
      <c r="D29" s="455"/>
      <c r="E29" s="456"/>
      <c r="F29" s="409"/>
      <c r="G29" s="115"/>
      <c r="M29" s="189"/>
      <c r="N29" s="180"/>
      <c r="O29" s="180"/>
      <c r="P29" s="181"/>
      <c r="Q29" s="181"/>
      <c r="R29" s="181"/>
    </row>
    <row r="30" spans="2:22" ht="18" customHeight="1" x14ac:dyDescent="0.45">
      <c r="B30" s="1450" t="s">
        <v>359</v>
      </c>
      <c r="C30" s="1451"/>
      <c r="D30" s="1451"/>
      <c r="E30" s="1452"/>
      <c r="F30" s="409"/>
      <c r="G30" s="115"/>
      <c r="M30" s="185"/>
      <c r="N30" s="181"/>
      <c r="O30" s="181"/>
      <c r="P30" s="181"/>
      <c r="Q30" s="181"/>
    </row>
    <row r="31" spans="2:22" ht="18" customHeight="1" x14ac:dyDescent="0.35">
      <c r="B31" s="604" t="s">
        <v>7</v>
      </c>
      <c r="C31" s="605" t="s">
        <v>8</v>
      </c>
      <c r="D31" s="606" t="s">
        <v>4</v>
      </c>
      <c r="E31" s="606" t="s">
        <v>9</v>
      </c>
      <c r="M31" s="185"/>
      <c r="N31" s="181"/>
      <c r="O31" s="181"/>
      <c r="P31" s="184"/>
    </row>
    <row r="32" spans="2:22" ht="18" customHeight="1" x14ac:dyDescent="0.35">
      <c r="B32" s="607" t="s">
        <v>3</v>
      </c>
      <c r="C32" s="267">
        <v>141</v>
      </c>
      <c r="D32" s="211">
        <f>540*1.15</f>
        <v>621</v>
      </c>
      <c r="E32" s="211">
        <f>+C32*D32</f>
        <v>87561</v>
      </c>
      <c r="F32" s="771" t="s">
        <v>365</v>
      </c>
      <c r="G32" s="774" t="s">
        <v>63</v>
      </c>
      <c r="M32" s="182"/>
    </row>
    <row r="33" spans="2:15" ht="18" customHeight="1" x14ac:dyDescent="0.35">
      <c r="B33" s="607" t="s">
        <v>347</v>
      </c>
      <c r="C33" s="267">
        <v>56</v>
      </c>
      <c r="D33" s="211">
        <v>621</v>
      </c>
      <c r="E33" s="211">
        <f>+C33*D33</f>
        <v>34776</v>
      </c>
      <c r="F33" s="774" t="s">
        <v>63</v>
      </c>
      <c r="M33" s="182"/>
    </row>
    <row r="34" spans="2:15" ht="18" customHeight="1" x14ac:dyDescent="0.35">
      <c r="B34" s="772" t="s">
        <v>496</v>
      </c>
      <c r="C34" s="267" t="s">
        <v>63</v>
      </c>
      <c r="D34" s="211" t="s">
        <v>63</v>
      </c>
      <c r="E34" s="211" t="s">
        <v>63</v>
      </c>
      <c r="F34" s="774"/>
      <c r="I34" s="892"/>
      <c r="J34" s="892"/>
      <c r="K34" s="892"/>
    </row>
    <row r="35" spans="2:15" ht="18" customHeight="1" x14ac:dyDescent="0.35">
      <c r="B35" s="772" t="s">
        <v>196</v>
      </c>
      <c r="C35" s="267"/>
      <c r="D35" s="211"/>
      <c r="E35" s="211">
        <v>10000</v>
      </c>
      <c r="F35" s="774"/>
      <c r="L35" s="892"/>
    </row>
    <row r="36" spans="2:15" ht="18" customHeight="1" x14ac:dyDescent="0.35">
      <c r="B36" s="772" t="s">
        <v>6</v>
      </c>
      <c r="C36" s="267"/>
      <c r="D36" s="211"/>
      <c r="E36" s="211">
        <v>20000</v>
      </c>
      <c r="F36" s="774"/>
      <c r="L36" s="892"/>
    </row>
    <row r="37" spans="2:15" ht="18" customHeight="1" x14ac:dyDescent="0.35">
      <c r="B37" s="772" t="s">
        <v>468</v>
      </c>
      <c r="C37" s="267">
        <v>1</v>
      </c>
      <c r="D37" s="211">
        <f>+D32*1.5</f>
        <v>931.5</v>
      </c>
      <c r="E37" s="211">
        <f>C37*D37</f>
        <v>931.5</v>
      </c>
      <c r="F37" s="649" t="s">
        <v>63</v>
      </c>
      <c r="G37" s="180"/>
      <c r="H37" s="180"/>
      <c r="I37" s="181"/>
      <c r="J37" s="187"/>
      <c r="K37" s="188"/>
      <c r="L37" s="892"/>
      <c r="O37" s="892"/>
    </row>
    <row r="38" spans="2:15" ht="18" customHeight="1" x14ac:dyDescent="0.35">
      <c r="B38" s="772" t="s">
        <v>466</v>
      </c>
      <c r="C38" s="267" t="s">
        <v>63</v>
      </c>
      <c r="D38" s="211" t="s">
        <v>63</v>
      </c>
      <c r="E38" s="211" t="s">
        <v>63</v>
      </c>
      <c r="F38" s="774" t="s">
        <v>63</v>
      </c>
      <c r="G38" s="180"/>
      <c r="H38" s="180"/>
      <c r="I38" s="181"/>
      <c r="J38" s="181"/>
      <c r="K38" s="184"/>
      <c r="O38" s="892"/>
    </row>
    <row r="39" spans="2:15" ht="18" customHeight="1" x14ac:dyDescent="0.35">
      <c r="B39" s="772" t="s">
        <v>508</v>
      </c>
      <c r="C39" s="267"/>
      <c r="D39" s="211">
        <v>5000</v>
      </c>
      <c r="E39" s="211">
        <v>5000</v>
      </c>
      <c r="F39" s="774" t="s">
        <v>63</v>
      </c>
      <c r="G39" s="180"/>
      <c r="H39" s="180"/>
      <c r="I39" s="181"/>
      <c r="J39" s="181"/>
      <c r="K39" s="184"/>
      <c r="O39" s="892"/>
    </row>
    <row r="40" spans="2:15" s="892" customFormat="1" ht="18" customHeight="1" x14ac:dyDescent="0.35">
      <c r="B40" s="1459" t="s">
        <v>99</v>
      </c>
      <c r="C40" s="1459"/>
      <c r="D40" s="1459"/>
      <c r="E40" s="599">
        <f>+E32+E33+E35+E36+E37+E39</f>
        <v>158268.5</v>
      </c>
      <c r="F40" s="774" t="s">
        <v>63</v>
      </c>
      <c r="G40" s="180"/>
      <c r="H40" s="180"/>
      <c r="I40" s="181"/>
      <c r="J40" s="181"/>
      <c r="K40" s="184"/>
      <c r="L40" s="771"/>
      <c r="N40" s="771"/>
      <c r="O40" s="771"/>
    </row>
    <row r="41" spans="2:15" s="892" customFormat="1" ht="18" customHeight="1" x14ac:dyDescent="0.35">
      <c r="B41" s="825" t="s">
        <v>19</v>
      </c>
      <c r="C41" s="826" t="s">
        <v>63</v>
      </c>
      <c r="D41" s="823" t="s">
        <v>63</v>
      </c>
      <c r="E41" s="824">
        <v>-50240</v>
      </c>
      <c r="F41" s="774" t="s">
        <v>63</v>
      </c>
      <c r="G41" s="180"/>
      <c r="H41" s="180"/>
      <c r="I41" s="181"/>
      <c r="J41" s="181"/>
      <c r="K41" s="184"/>
      <c r="L41" s="771"/>
      <c r="N41" s="771"/>
      <c r="O41" s="771"/>
    </row>
    <row r="42" spans="2:15" ht="18" customHeight="1" x14ac:dyDescent="0.35">
      <c r="B42" s="786" t="s">
        <v>11</v>
      </c>
      <c r="C42" s="783"/>
      <c r="D42" s="783"/>
      <c r="E42" s="784">
        <f>+E40+E41</f>
        <v>108028.5</v>
      </c>
      <c r="F42" s="774" t="s">
        <v>63</v>
      </c>
      <c r="G42" s="180"/>
      <c r="H42" s="180"/>
      <c r="I42" s="181"/>
      <c r="J42" s="181"/>
      <c r="K42" s="184"/>
    </row>
    <row r="43" spans="2:15" ht="18" customHeight="1" x14ac:dyDescent="0.35">
      <c r="B43" s="594"/>
      <c r="C43" s="594"/>
      <c r="D43" s="594"/>
      <c r="E43" s="595"/>
      <c r="G43" s="180"/>
      <c r="H43" s="180"/>
      <c r="I43" s="181"/>
      <c r="J43" s="181"/>
      <c r="K43" s="184"/>
    </row>
    <row r="44" spans="2:15" ht="18" customHeight="1" x14ac:dyDescent="0.35">
      <c r="B44" s="594"/>
      <c r="C44" s="594"/>
      <c r="D44" s="594"/>
      <c r="E44" s="595"/>
      <c r="G44" s="180"/>
      <c r="H44" s="180"/>
      <c r="I44" s="181"/>
      <c r="J44" s="181"/>
      <c r="K44" s="184"/>
    </row>
    <row r="45" spans="2:15" ht="18" customHeight="1" x14ac:dyDescent="0.35">
      <c r="B45" s="1431" t="s">
        <v>0</v>
      </c>
      <c r="C45" s="1431"/>
      <c r="D45" s="1431"/>
      <c r="E45" s="1431"/>
      <c r="G45" s="180"/>
      <c r="H45" s="180"/>
      <c r="I45" s="181"/>
      <c r="J45" s="181"/>
      <c r="K45" s="184"/>
    </row>
    <row r="46" spans="2:15" ht="18" customHeight="1" x14ac:dyDescent="0.35">
      <c r="B46" s="2" t="s">
        <v>7</v>
      </c>
      <c r="C46" s="270" t="s">
        <v>8</v>
      </c>
      <c r="D46" s="217" t="s">
        <v>4</v>
      </c>
      <c r="E46" s="597" t="s">
        <v>9</v>
      </c>
      <c r="G46" s="180"/>
      <c r="H46" s="180"/>
      <c r="I46" s="181"/>
      <c r="J46" s="181"/>
      <c r="K46" s="184"/>
    </row>
    <row r="47" spans="2:15" ht="18" customHeight="1" x14ac:dyDescent="0.35">
      <c r="B47" s="772" t="s">
        <v>253</v>
      </c>
      <c r="C47" s="258">
        <v>185</v>
      </c>
      <c r="D47" s="194">
        <f>750*1.15</f>
        <v>862.49999999999989</v>
      </c>
      <c r="E47" s="598">
        <f>+C47*D47</f>
        <v>159562.49999999997</v>
      </c>
      <c r="F47" s="771" t="s">
        <v>365</v>
      </c>
      <c r="G47" s="906" t="s">
        <v>63</v>
      </c>
      <c r="H47" s="180"/>
      <c r="I47" s="181"/>
      <c r="J47" s="181"/>
      <c r="K47" s="184"/>
    </row>
    <row r="48" spans="2:15" ht="18" customHeight="1" x14ac:dyDescent="0.35">
      <c r="B48" s="772" t="s">
        <v>497</v>
      </c>
      <c r="C48" s="258" t="s">
        <v>63</v>
      </c>
      <c r="D48" s="194" t="s">
        <v>63</v>
      </c>
      <c r="E48" s="598" t="s">
        <v>63</v>
      </c>
      <c r="F48" s="774" t="s">
        <v>63</v>
      </c>
      <c r="G48" s="180"/>
      <c r="H48" s="180"/>
      <c r="I48" s="181"/>
      <c r="J48" s="181"/>
      <c r="K48" s="184"/>
    </row>
    <row r="49" spans="2:22" ht="15" customHeight="1" x14ac:dyDescent="0.35">
      <c r="B49" s="772" t="s">
        <v>196</v>
      </c>
      <c r="C49" s="258"/>
      <c r="D49" s="194"/>
      <c r="E49" s="598">
        <v>10000</v>
      </c>
      <c r="G49" s="180"/>
      <c r="H49" s="180"/>
      <c r="I49" s="181"/>
      <c r="J49" s="181"/>
      <c r="K49" s="184"/>
      <c r="L49" s="892"/>
    </row>
    <row r="50" spans="2:22" ht="15" customHeight="1" x14ac:dyDescent="0.35">
      <c r="B50" s="772" t="s">
        <v>6</v>
      </c>
      <c r="C50" s="258"/>
      <c r="D50" s="194"/>
      <c r="E50" s="598">
        <v>20000</v>
      </c>
      <c r="G50" s="180"/>
      <c r="H50" s="180"/>
      <c r="I50" s="181"/>
      <c r="J50" s="181"/>
      <c r="K50" s="184"/>
      <c r="L50" s="892"/>
    </row>
    <row r="51" spans="2:22" ht="15" customHeight="1" x14ac:dyDescent="0.35">
      <c r="B51" s="772" t="s">
        <v>195</v>
      </c>
      <c r="C51" s="315">
        <v>4.5</v>
      </c>
      <c r="D51" s="194">
        <f>+D47*1.5</f>
        <v>1293.7499999999998</v>
      </c>
      <c r="E51" s="598">
        <f>+C51*D51</f>
        <v>5821.8749999999991</v>
      </c>
      <c r="G51" s="180"/>
      <c r="H51" s="180"/>
      <c r="I51" s="181"/>
      <c r="J51" s="181"/>
      <c r="K51" s="184"/>
      <c r="L51" s="892"/>
    </row>
    <row r="52" spans="2:22" ht="15" customHeight="1" x14ac:dyDescent="0.35">
      <c r="B52" s="772" t="s">
        <v>449</v>
      </c>
      <c r="C52" s="315" t="s">
        <v>63</v>
      </c>
      <c r="D52" s="194" t="s">
        <v>63</v>
      </c>
      <c r="E52" s="598" t="s">
        <v>63</v>
      </c>
      <c r="G52" s="180"/>
      <c r="H52" s="180"/>
      <c r="I52" s="181"/>
      <c r="J52" s="181"/>
      <c r="K52" s="184"/>
      <c r="L52" s="892"/>
    </row>
    <row r="53" spans="2:22" ht="15" customHeight="1" x14ac:dyDescent="0.35">
      <c r="B53" s="772" t="s">
        <v>498</v>
      </c>
      <c r="C53" s="258">
        <v>2</v>
      </c>
      <c r="D53" s="194">
        <v>3000</v>
      </c>
      <c r="E53" s="598">
        <f>+C53*D53</f>
        <v>6000</v>
      </c>
      <c r="M53" s="176"/>
      <c r="N53" s="180"/>
      <c r="O53" s="180"/>
      <c r="P53" s="181"/>
      <c r="Q53" s="181"/>
      <c r="R53" s="184"/>
    </row>
    <row r="54" spans="2:22" ht="15" customHeight="1" x14ac:dyDescent="0.35">
      <c r="B54" s="1432" t="s">
        <v>99</v>
      </c>
      <c r="C54" s="1432"/>
      <c r="D54" s="1432"/>
      <c r="E54" s="599">
        <f>+E47+E49+E50+E51+E53</f>
        <v>201384.37499999997</v>
      </c>
      <c r="F54" s="774" t="s">
        <v>63</v>
      </c>
      <c r="G54" s="774" t="s">
        <v>63</v>
      </c>
      <c r="M54" s="176"/>
      <c r="N54" s="176"/>
      <c r="O54" s="176"/>
      <c r="P54" s="181"/>
      <c r="Q54" s="181"/>
      <c r="R54" s="184"/>
      <c r="T54" s="892"/>
    </row>
    <row r="55" spans="2:22" s="892" customFormat="1" ht="15" customHeight="1" x14ac:dyDescent="0.35">
      <c r="B55" s="723" t="s">
        <v>333</v>
      </c>
      <c r="C55" s="727" t="s">
        <v>63</v>
      </c>
      <c r="D55" s="727" t="s">
        <v>63</v>
      </c>
      <c r="E55" s="722">
        <v>-67691.67</v>
      </c>
      <c r="F55" s="649" t="s">
        <v>63</v>
      </c>
      <c r="G55" s="771"/>
      <c r="H55" s="771"/>
      <c r="I55" s="771"/>
      <c r="J55" s="771"/>
      <c r="K55" s="771"/>
      <c r="L55" s="771"/>
      <c r="M55" s="176"/>
      <c r="N55" s="176"/>
      <c r="O55" s="176"/>
      <c r="P55" s="176"/>
      <c r="Q55" s="176"/>
      <c r="R55" s="176"/>
      <c r="S55" s="771"/>
      <c r="T55" s="771"/>
      <c r="U55" s="771"/>
      <c r="V55" s="771"/>
    </row>
    <row r="56" spans="2:22" s="892" customFormat="1" ht="15" customHeight="1" x14ac:dyDescent="0.35">
      <c r="B56" s="672"/>
      <c r="C56" s="673" t="s">
        <v>11</v>
      </c>
      <c r="D56" s="674"/>
      <c r="E56" s="675">
        <f>+E54+E55</f>
        <v>133692.70499999996</v>
      </c>
      <c r="F56" s="649" t="s">
        <v>63</v>
      </c>
      <c r="G56" s="771"/>
      <c r="H56" s="771"/>
      <c r="I56" s="771"/>
      <c r="J56" s="771"/>
      <c r="K56" s="771"/>
      <c r="L56" s="771"/>
      <c r="M56" s="176"/>
      <c r="N56" s="176"/>
      <c r="O56" s="176"/>
      <c r="P56" s="176"/>
      <c r="Q56" s="176"/>
      <c r="R56" s="176"/>
      <c r="S56" s="771"/>
      <c r="T56" s="771"/>
      <c r="U56" s="771"/>
      <c r="V56" s="771"/>
    </row>
    <row r="57" spans="2:22" ht="15" customHeight="1" x14ac:dyDescent="0.35">
      <c r="C57" s="771"/>
      <c r="D57" s="771"/>
      <c r="E57" s="771"/>
      <c r="N57" s="183"/>
      <c r="O57" s="183"/>
      <c r="P57" s="176"/>
      <c r="Q57" s="176"/>
      <c r="R57" s="176"/>
      <c r="T57" s="892"/>
    </row>
    <row r="58" spans="2:22" s="90" customFormat="1" ht="15" customHeight="1" x14ac:dyDescent="0.35">
      <c r="N58" s="455"/>
      <c r="O58" s="455"/>
      <c r="P58" s="728"/>
      <c r="Q58" s="728"/>
      <c r="R58" s="728"/>
      <c r="T58" s="894"/>
    </row>
    <row r="59" spans="2:22" s="690" customFormat="1" ht="15" customHeight="1" x14ac:dyDescent="0.35">
      <c r="G59" s="671"/>
      <c r="H59" s="671"/>
      <c r="I59" s="671"/>
      <c r="J59" s="671"/>
      <c r="K59" s="671"/>
      <c r="L59" s="671"/>
      <c r="M59" s="691"/>
      <c r="N59" s="691"/>
      <c r="O59" s="691"/>
      <c r="P59" s="691"/>
      <c r="Q59" s="691"/>
      <c r="R59" s="691"/>
      <c r="S59" s="671"/>
      <c r="T59" s="671"/>
      <c r="U59" s="671"/>
      <c r="V59" s="671"/>
    </row>
    <row r="60" spans="2:22" s="892" customFormat="1" ht="15" customHeight="1" x14ac:dyDescent="0.35">
      <c r="B60" s="1431" t="s">
        <v>28</v>
      </c>
      <c r="C60" s="1431"/>
      <c r="D60" s="1431"/>
      <c r="E60" s="1431"/>
      <c r="F60" s="771"/>
      <c r="G60" s="771"/>
      <c r="H60" s="771"/>
      <c r="I60" s="771"/>
      <c r="J60" s="771"/>
      <c r="K60" s="771"/>
      <c r="L60" s="771"/>
      <c r="M60" s="771"/>
      <c r="N60" s="176"/>
      <c r="O60" s="176"/>
      <c r="P60" s="176"/>
      <c r="Q60" s="176"/>
      <c r="R60" s="176"/>
      <c r="S60" s="771"/>
      <c r="U60" s="771"/>
    </row>
    <row r="61" spans="2:22" s="892" customFormat="1" ht="15" customHeight="1" x14ac:dyDescent="0.35">
      <c r="B61" s="2" t="s">
        <v>7</v>
      </c>
      <c r="C61" s="270" t="s">
        <v>8</v>
      </c>
      <c r="D61" s="217" t="s">
        <v>4</v>
      </c>
      <c r="E61" s="597" t="s">
        <v>9</v>
      </c>
      <c r="F61" s="771"/>
      <c r="G61" s="771"/>
      <c r="H61" s="771"/>
      <c r="I61" s="771"/>
      <c r="J61" s="771"/>
      <c r="K61" s="771"/>
      <c r="L61" s="771"/>
      <c r="M61" s="771"/>
      <c r="N61" s="176"/>
      <c r="O61" s="176"/>
      <c r="P61" s="176"/>
      <c r="Q61" s="176"/>
      <c r="R61" s="176"/>
      <c r="S61" s="771"/>
      <c r="U61" s="771"/>
    </row>
    <row r="62" spans="2:22" ht="15" customHeight="1" x14ac:dyDescent="0.35">
      <c r="B62" s="772" t="s">
        <v>3</v>
      </c>
      <c r="C62" s="315">
        <v>184</v>
      </c>
      <c r="D62" s="194">
        <f>662.5*1.1</f>
        <v>728.75000000000011</v>
      </c>
      <c r="E62" s="598">
        <f>+C62*D62</f>
        <v>134090.00000000003</v>
      </c>
      <c r="F62" s="771" t="s">
        <v>362</v>
      </c>
      <c r="N62" s="176"/>
      <c r="O62" s="176"/>
      <c r="P62" s="176"/>
      <c r="Q62" s="176"/>
      <c r="R62" s="176"/>
    </row>
    <row r="63" spans="2:22" ht="15" customHeight="1" x14ac:dyDescent="0.35">
      <c r="B63" s="772" t="s">
        <v>499</v>
      </c>
      <c r="C63" s="315" t="s">
        <v>63</v>
      </c>
      <c r="D63" s="194" t="s">
        <v>63</v>
      </c>
      <c r="E63" s="598" t="s">
        <v>63</v>
      </c>
      <c r="N63" s="176"/>
      <c r="O63" s="176"/>
      <c r="P63" s="176"/>
      <c r="Q63" s="176"/>
      <c r="R63" s="176"/>
    </row>
    <row r="64" spans="2:22" ht="15" customHeight="1" x14ac:dyDescent="0.35">
      <c r="B64" s="772" t="s">
        <v>200</v>
      </c>
      <c r="C64" s="315" t="s">
        <v>63</v>
      </c>
      <c r="D64" s="194"/>
      <c r="E64" s="598" t="s">
        <v>63</v>
      </c>
      <c r="N64" s="176"/>
      <c r="O64" s="176"/>
      <c r="P64" s="176"/>
      <c r="Q64" s="176"/>
      <c r="R64" s="176"/>
    </row>
    <row r="65" spans="2:22" ht="15" customHeight="1" x14ac:dyDescent="0.35">
      <c r="B65" s="772" t="s">
        <v>195</v>
      </c>
      <c r="C65" s="315" t="s">
        <v>63</v>
      </c>
      <c r="D65" s="194" t="s">
        <v>63</v>
      </c>
      <c r="E65" s="598" t="s">
        <v>63</v>
      </c>
      <c r="F65" s="774" t="s">
        <v>63</v>
      </c>
      <c r="N65" s="176"/>
      <c r="O65" s="176"/>
      <c r="P65" s="176"/>
      <c r="Q65" s="176"/>
      <c r="R65" s="176"/>
    </row>
    <row r="66" spans="2:22" ht="15" customHeight="1" x14ac:dyDescent="0.35">
      <c r="B66" s="772" t="s">
        <v>6</v>
      </c>
      <c r="C66" s="315" t="s">
        <v>63</v>
      </c>
      <c r="D66" s="194"/>
      <c r="E66" s="598" t="s">
        <v>63</v>
      </c>
      <c r="N66" s="176"/>
      <c r="O66" s="176"/>
      <c r="P66" s="176"/>
      <c r="Q66" s="176"/>
      <c r="R66" s="176"/>
    </row>
    <row r="67" spans="2:22" ht="15" customHeight="1" x14ac:dyDescent="0.35">
      <c r="B67" s="1432" t="s">
        <v>99</v>
      </c>
      <c r="C67" s="1432"/>
      <c r="D67" s="1432"/>
      <c r="E67" s="599">
        <f>+E62</f>
        <v>134090.00000000003</v>
      </c>
      <c r="F67" s="774" t="s">
        <v>63</v>
      </c>
      <c r="N67" s="176"/>
      <c r="O67" s="176"/>
      <c r="P67" s="176"/>
      <c r="Q67" s="176"/>
      <c r="R67" s="176"/>
    </row>
    <row r="68" spans="2:22" ht="15" customHeight="1" x14ac:dyDescent="0.35">
      <c r="B68" s="893" t="s">
        <v>375</v>
      </c>
      <c r="C68" s="893"/>
      <c r="D68" s="893" t="s">
        <v>63</v>
      </c>
      <c r="E68" s="600">
        <v>-63990.27</v>
      </c>
      <c r="F68" s="774" t="s">
        <v>63</v>
      </c>
      <c r="N68" s="176"/>
      <c r="O68" s="176"/>
      <c r="P68" s="176"/>
      <c r="Q68" s="176"/>
      <c r="R68" s="176"/>
    </row>
    <row r="69" spans="2:22" ht="15" customHeight="1" x14ac:dyDescent="0.35">
      <c r="B69" s="893" t="s">
        <v>63</v>
      </c>
      <c r="C69" s="893"/>
      <c r="D69" s="893"/>
      <c r="E69" s="600" t="s">
        <v>63</v>
      </c>
      <c r="N69" s="176"/>
      <c r="O69" s="176"/>
      <c r="P69" s="176"/>
      <c r="Q69" s="176"/>
      <c r="R69" s="176"/>
    </row>
    <row r="70" spans="2:22" ht="15" customHeight="1" x14ac:dyDescent="0.35">
      <c r="B70" s="857"/>
      <c r="C70" s="858" t="s">
        <v>11</v>
      </c>
      <c r="D70" s="857"/>
      <c r="E70" s="675">
        <f>+E67+E68</f>
        <v>70099.73000000004</v>
      </c>
      <c r="F70" s="774" t="s">
        <v>63</v>
      </c>
    </row>
    <row r="71" spans="2:22" ht="15" customHeight="1" x14ac:dyDescent="0.35">
      <c r="C71" s="771"/>
      <c r="D71" s="771"/>
      <c r="E71" s="774" t="s">
        <v>63</v>
      </c>
    </row>
    <row r="72" spans="2:22" ht="15" customHeight="1" x14ac:dyDescent="0.35">
      <c r="C72" s="771"/>
      <c r="D72" s="771"/>
      <c r="E72" s="774" t="s">
        <v>63</v>
      </c>
    </row>
    <row r="73" spans="2:22" ht="15" customHeight="1" x14ac:dyDescent="0.35">
      <c r="B73" s="1442" t="s">
        <v>263</v>
      </c>
      <c r="C73" s="1443"/>
      <c r="D73" s="1443"/>
      <c r="E73" s="1444"/>
      <c r="V73" s="892"/>
    </row>
    <row r="74" spans="2:22" x14ac:dyDescent="0.35">
      <c r="B74" s="2" t="s">
        <v>7</v>
      </c>
      <c r="C74" s="270" t="s">
        <v>8</v>
      </c>
      <c r="D74" s="217" t="s">
        <v>4</v>
      </c>
      <c r="E74" s="597" t="s">
        <v>9</v>
      </c>
    </row>
    <row r="75" spans="2:22" x14ac:dyDescent="0.35">
      <c r="B75" s="772" t="s">
        <v>501</v>
      </c>
      <c r="C75" s="258">
        <v>141</v>
      </c>
      <c r="D75" s="227">
        <f>520*1.15</f>
        <v>598</v>
      </c>
      <c r="E75" s="598">
        <f>+C75*D75</f>
        <v>84318</v>
      </c>
      <c r="F75" s="774" t="s">
        <v>365</v>
      </c>
    </row>
    <row r="76" spans="2:22" x14ac:dyDescent="0.35">
      <c r="B76" s="772" t="s">
        <v>516</v>
      </c>
      <c r="C76" s="258">
        <v>56</v>
      </c>
      <c r="D76" s="227">
        <f>+D75</f>
        <v>598</v>
      </c>
      <c r="E76" s="598">
        <f>+C76*D76</f>
        <v>33488</v>
      </c>
      <c r="F76" s="774"/>
    </row>
    <row r="77" spans="2:22" x14ac:dyDescent="0.35">
      <c r="B77" s="772" t="s">
        <v>500</v>
      </c>
      <c r="C77" s="258" t="s">
        <v>63</v>
      </c>
      <c r="D77" s="227" t="s">
        <v>63</v>
      </c>
      <c r="E77" s="598" t="s">
        <v>63</v>
      </c>
    </row>
    <row r="78" spans="2:22" x14ac:dyDescent="0.35">
      <c r="B78" s="772" t="s">
        <v>490</v>
      </c>
      <c r="C78" s="258"/>
      <c r="D78" s="227"/>
      <c r="E78" s="598">
        <v>10000</v>
      </c>
    </row>
    <row r="79" spans="2:22" x14ac:dyDescent="0.35">
      <c r="B79" s="772" t="s">
        <v>489</v>
      </c>
      <c r="C79" s="258"/>
      <c r="D79" s="227"/>
      <c r="E79" s="598">
        <v>20000</v>
      </c>
    </row>
    <row r="80" spans="2:22" x14ac:dyDescent="0.35">
      <c r="B80" s="772" t="s">
        <v>195</v>
      </c>
      <c r="C80" s="258">
        <v>8.5</v>
      </c>
      <c r="D80" s="194">
        <f>+D75*1.5</f>
        <v>897</v>
      </c>
      <c r="E80" s="598">
        <f>+C80*D80</f>
        <v>7624.5</v>
      </c>
      <c r="F80" s="774" t="s">
        <v>63</v>
      </c>
      <c r="G80" s="774" t="s">
        <v>63</v>
      </c>
    </row>
    <row r="81" spans="2:7" x14ac:dyDescent="0.35">
      <c r="B81" s="772" t="s">
        <v>449</v>
      </c>
      <c r="C81" s="258" t="s">
        <v>63</v>
      </c>
      <c r="D81" s="194" t="s">
        <v>63</v>
      </c>
      <c r="E81" s="598" t="s">
        <v>63</v>
      </c>
      <c r="G81" s="774"/>
    </row>
    <row r="82" spans="2:7" x14ac:dyDescent="0.35">
      <c r="B82" s="772" t="s">
        <v>63</v>
      </c>
      <c r="C82" s="258" t="s">
        <v>63</v>
      </c>
      <c r="D82" s="194" t="s">
        <v>63</v>
      </c>
      <c r="E82" s="598" t="s">
        <v>63</v>
      </c>
    </row>
    <row r="83" spans="2:7" x14ac:dyDescent="0.35">
      <c r="B83" s="1439" t="s">
        <v>99</v>
      </c>
      <c r="C83" s="1440"/>
      <c r="D83" s="1441"/>
      <c r="E83" s="599">
        <f>+E75+E76+E78+E79+E80</f>
        <v>155430.5</v>
      </c>
      <c r="F83" s="774" t="s">
        <v>63</v>
      </c>
    </row>
    <row r="84" spans="2:7" x14ac:dyDescent="0.35">
      <c r="B84" s="904" t="s">
        <v>502</v>
      </c>
      <c r="C84" s="907">
        <f>+E75+E76+E78+E79</f>
        <v>147806</v>
      </c>
      <c r="D84" s="720"/>
      <c r="E84" s="722">
        <v>-14780</v>
      </c>
      <c r="F84" s="774" t="s">
        <v>63</v>
      </c>
    </row>
    <row r="85" spans="2:7" x14ac:dyDescent="0.35">
      <c r="B85" s="672"/>
      <c r="C85" s="673" t="s">
        <v>11</v>
      </c>
      <c r="D85" s="674"/>
      <c r="E85" s="675">
        <f>+E83+E84</f>
        <v>140650.5</v>
      </c>
      <c r="F85" s="774" t="s">
        <v>63</v>
      </c>
    </row>
    <row r="86" spans="2:7" x14ac:dyDescent="0.35">
      <c r="C86" s="771"/>
      <c r="D86" s="771"/>
      <c r="E86" s="771"/>
    </row>
    <row r="89" spans="2:7" ht="23.5" x14ac:dyDescent="0.35">
      <c r="B89" s="1442" t="s">
        <v>301</v>
      </c>
      <c r="C89" s="1443"/>
      <c r="D89" s="1443"/>
      <c r="E89" s="1444"/>
    </row>
    <row r="90" spans="2:7" x14ac:dyDescent="0.35">
      <c r="B90" s="2" t="s">
        <v>7</v>
      </c>
      <c r="C90" s="270" t="s">
        <v>8</v>
      </c>
      <c r="D90" s="217" t="s">
        <v>4</v>
      </c>
      <c r="E90" s="597" t="s">
        <v>9</v>
      </c>
    </row>
    <row r="91" spans="2:7" x14ac:dyDescent="0.35">
      <c r="B91" s="772" t="s">
        <v>3</v>
      </c>
      <c r="C91" s="258">
        <v>177</v>
      </c>
      <c r="D91" s="227">
        <f>450*1.2</f>
        <v>540</v>
      </c>
      <c r="E91" s="598">
        <f>+C91*D91</f>
        <v>95580</v>
      </c>
      <c r="F91" s="771" t="s">
        <v>509</v>
      </c>
    </row>
    <row r="92" spans="2:7" x14ac:dyDescent="0.35">
      <c r="B92" s="772" t="s">
        <v>496</v>
      </c>
      <c r="C92" s="258" t="s">
        <v>63</v>
      </c>
      <c r="D92" s="227" t="s">
        <v>63</v>
      </c>
      <c r="E92" s="598" t="s">
        <v>63</v>
      </c>
    </row>
    <row r="93" spans="2:7" x14ac:dyDescent="0.35">
      <c r="B93" s="772" t="s">
        <v>200</v>
      </c>
      <c r="C93" s="258"/>
      <c r="D93" s="227"/>
      <c r="E93" s="598">
        <v>0</v>
      </c>
    </row>
    <row r="94" spans="2:7" x14ac:dyDescent="0.35">
      <c r="B94" s="772" t="s">
        <v>6</v>
      </c>
      <c r="C94" s="258" t="s">
        <v>63</v>
      </c>
      <c r="D94" s="194" t="s">
        <v>63</v>
      </c>
      <c r="E94" s="598">
        <v>15000</v>
      </c>
    </row>
    <row r="95" spans="2:7" x14ac:dyDescent="0.35">
      <c r="B95" s="772" t="s">
        <v>270</v>
      </c>
      <c r="C95" s="258" t="s">
        <v>63</v>
      </c>
      <c r="D95" s="194" t="s">
        <v>63</v>
      </c>
      <c r="E95" s="598" t="s">
        <v>63</v>
      </c>
      <c r="F95" s="771" t="s">
        <v>63</v>
      </c>
    </row>
    <row r="96" spans="2:7" x14ac:dyDescent="0.35">
      <c r="B96" s="772" t="s">
        <v>63</v>
      </c>
      <c r="C96" s="258" t="s">
        <v>63</v>
      </c>
      <c r="D96" s="194" t="s">
        <v>63</v>
      </c>
      <c r="E96" s="598" t="s">
        <v>63</v>
      </c>
    </row>
    <row r="97" spans="2:6" x14ac:dyDescent="0.35">
      <c r="B97" s="1439" t="s">
        <v>99</v>
      </c>
      <c r="C97" s="1440"/>
      <c r="D97" s="1441"/>
      <c r="E97" s="599">
        <f>+E91+E93+E94</f>
        <v>110580</v>
      </c>
      <c r="F97" s="774" t="s">
        <v>63</v>
      </c>
    </row>
    <row r="98" spans="2:6" x14ac:dyDescent="0.35">
      <c r="B98" s="724" t="s">
        <v>19</v>
      </c>
      <c r="C98" s="729" t="s">
        <v>63</v>
      </c>
      <c r="D98" s="730" t="s">
        <v>63</v>
      </c>
      <c r="E98" s="731">
        <v>-50000</v>
      </c>
      <c r="F98" s="774" t="s">
        <v>63</v>
      </c>
    </row>
    <row r="99" spans="2:6" x14ac:dyDescent="0.35">
      <c r="B99" s="739" t="s">
        <v>503</v>
      </c>
      <c r="C99" s="729"/>
      <c r="D99" s="730"/>
      <c r="E99" s="731">
        <v>-10000</v>
      </c>
    </row>
    <row r="100" spans="2:6" s="755" customFormat="1" ht="23.5" x14ac:dyDescent="0.55000000000000004">
      <c r="B100" s="751"/>
      <c r="C100" s="752" t="s">
        <v>11</v>
      </c>
      <c r="D100" s="753"/>
      <c r="E100" s="754">
        <f>+E97+E98+E99</f>
        <v>50580</v>
      </c>
      <c r="F100" s="770" t="s">
        <v>63</v>
      </c>
    </row>
    <row r="101" spans="2:6" x14ac:dyDescent="0.35">
      <c r="E101" s="203" t="s">
        <v>63</v>
      </c>
      <c r="F101" s="771" t="s">
        <v>63</v>
      </c>
    </row>
    <row r="104" spans="2:6" ht="21" customHeight="1" x14ac:dyDescent="0.35">
      <c r="B104" s="1442" t="s">
        <v>354</v>
      </c>
      <c r="C104" s="1443"/>
      <c r="D104" s="1443"/>
      <c r="E104" s="1444"/>
    </row>
    <row r="105" spans="2:6" ht="21" customHeight="1" x14ac:dyDescent="0.35">
      <c r="B105" s="2" t="s">
        <v>7</v>
      </c>
      <c r="C105" s="270" t="s">
        <v>8</v>
      </c>
      <c r="D105" s="217" t="s">
        <v>4</v>
      </c>
      <c r="E105" s="597" t="s">
        <v>9</v>
      </c>
    </row>
    <row r="106" spans="2:6" ht="14.5" customHeight="1" x14ac:dyDescent="0.35">
      <c r="B106" s="772" t="s">
        <v>3</v>
      </c>
      <c r="C106" s="258">
        <v>185</v>
      </c>
      <c r="D106" s="227">
        <f>460*1.2</f>
        <v>552</v>
      </c>
      <c r="E106" s="598">
        <f>+C106*D106</f>
        <v>102120</v>
      </c>
      <c r="F106" s="771" t="s">
        <v>509</v>
      </c>
    </row>
    <row r="107" spans="2:6" ht="13.5" customHeight="1" x14ac:dyDescent="0.35">
      <c r="B107" s="772" t="s">
        <v>496</v>
      </c>
      <c r="C107" s="258" t="s">
        <v>63</v>
      </c>
      <c r="D107" s="227" t="s">
        <v>63</v>
      </c>
      <c r="E107" s="598" t="s">
        <v>63</v>
      </c>
    </row>
    <row r="108" spans="2:6" x14ac:dyDescent="0.35">
      <c r="B108" s="772" t="s">
        <v>266</v>
      </c>
      <c r="C108" s="258"/>
      <c r="D108" s="227"/>
      <c r="E108" s="598">
        <v>10000</v>
      </c>
    </row>
    <row r="109" spans="2:6" x14ac:dyDescent="0.35">
      <c r="B109" s="772" t="s">
        <v>6</v>
      </c>
      <c r="C109" s="258"/>
      <c r="D109" s="227"/>
      <c r="E109" s="598">
        <v>20000</v>
      </c>
    </row>
    <row r="110" spans="2:6" x14ac:dyDescent="0.35">
      <c r="B110" s="772" t="s">
        <v>195</v>
      </c>
      <c r="C110" s="258">
        <v>10</v>
      </c>
      <c r="D110" s="194">
        <f>+D106*1.5</f>
        <v>828</v>
      </c>
      <c r="E110" s="598">
        <f>+C110*D110</f>
        <v>8280</v>
      </c>
      <c r="F110" s="774" t="s">
        <v>63</v>
      </c>
    </row>
    <row r="111" spans="2:6" x14ac:dyDescent="0.35">
      <c r="B111" s="772" t="s">
        <v>449</v>
      </c>
      <c r="C111" s="258" t="s">
        <v>63</v>
      </c>
      <c r="D111" s="194" t="s">
        <v>63</v>
      </c>
      <c r="E111" s="598" t="s">
        <v>63</v>
      </c>
    </row>
    <row r="112" spans="2:6" x14ac:dyDescent="0.35">
      <c r="B112" s="772" t="s">
        <v>303</v>
      </c>
      <c r="C112" s="258" t="s">
        <v>63</v>
      </c>
      <c r="D112" s="194" t="s">
        <v>63</v>
      </c>
      <c r="E112" s="598">
        <v>20000</v>
      </c>
    </row>
    <row r="113" spans="2:7" x14ac:dyDescent="0.35">
      <c r="B113" s="1439" t="s">
        <v>99</v>
      </c>
      <c r="C113" s="1440"/>
      <c r="D113" s="1441"/>
      <c r="E113" s="599">
        <f>+E106+E108+E109+E110+E112</f>
        <v>160400</v>
      </c>
      <c r="F113" s="774" t="s">
        <v>63</v>
      </c>
      <c r="G113" s="774" t="s">
        <v>63</v>
      </c>
    </row>
    <row r="114" spans="2:7" x14ac:dyDescent="0.35">
      <c r="B114" s="723" t="s">
        <v>19</v>
      </c>
      <c r="C114" s="720" t="s">
        <v>63</v>
      </c>
      <c r="D114" s="720"/>
      <c r="E114" s="722">
        <v>-50000</v>
      </c>
      <c r="F114" s="774" t="s">
        <v>63</v>
      </c>
    </row>
    <row r="115" spans="2:7" s="760" customFormat="1" ht="21" x14ac:dyDescent="0.5">
      <c r="B115" s="756"/>
      <c r="C115" s="757" t="s">
        <v>11</v>
      </c>
      <c r="D115" s="758"/>
      <c r="E115" s="759">
        <f>+E113+E114</f>
        <v>110400</v>
      </c>
      <c r="F115" s="797" t="s">
        <v>63</v>
      </c>
    </row>
    <row r="118" spans="2:7" ht="23.5" x14ac:dyDescent="0.35">
      <c r="B118" s="1442" t="s">
        <v>260</v>
      </c>
      <c r="C118" s="1443"/>
      <c r="D118" s="1443"/>
      <c r="E118" s="1444"/>
    </row>
    <row r="119" spans="2:7" x14ac:dyDescent="0.35">
      <c r="B119" s="2" t="s">
        <v>7</v>
      </c>
      <c r="C119" s="270" t="s">
        <v>8</v>
      </c>
      <c r="D119" s="217" t="s">
        <v>4</v>
      </c>
      <c r="E119" s="597" t="s">
        <v>9</v>
      </c>
    </row>
    <row r="120" spans="2:7" x14ac:dyDescent="0.35">
      <c r="B120" s="772" t="s">
        <v>3</v>
      </c>
      <c r="C120" s="258">
        <v>160</v>
      </c>
      <c r="D120" s="194">
        <f>700*1.15</f>
        <v>804.99999999999989</v>
      </c>
      <c r="E120" s="598">
        <f>+C120*D120</f>
        <v>128799.99999999999</v>
      </c>
      <c r="F120" s="774" t="s">
        <v>365</v>
      </c>
    </row>
    <row r="121" spans="2:7" x14ac:dyDescent="0.35">
      <c r="B121" s="772" t="s">
        <v>504</v>
      </c>
      <c r="C121" s="258" t="s">
        <v>63</v>
      </c>
      <c r="D121" s="194" t="s">
        <v>63</v>
      </c>
      <c r="E121" s="609" t="s">
        <v>63</v>
      </c>
    </row>
    <row r="122" spans="2:7" x14ac:dyDescent="0.35">
      <c r="B122" s="772" t="s">
        <v>6</v>
      </c>
      <c r="C122" s="258"/>
      <c r="D122" s="194"/>
      <c r="E122" s="609">
        <v>15000</v>
      </c>
    </row>
    <row r="123" spans="2:7" x14ac:dyDescent="0.35">
      <c r="B123" s="614" t="s">
        <v>200</v>
      </c>
      <c r="C123" s="617"/>
      <c r="D123" s="227"/>
      <c r="E123" s="609">
        <v>10000</v>
      </c>
      <c r="F123" s="774" t="s">
        <v>63</v>
      </c>
    </row>
    <row r="124" spans="2:7" s="764" customFormat="1" x14ac:dyDescent="0.35">
      <c r="B124" s="882" t="s">
        <v>99</v>
      </c>
      <c r="C124" s="883"/>
      <c r="D124" s="883"/>
      <c r="E124" s="884">
        <f>+E120+E122+E123</f>
        <v>153800</v>
      </c>
      <c r="F124" s="769" t="s">
        <v>63</v>
      </c>
    </row>
    <row r="125" spans="2:7" x14ac:dyDescent="0.35">
      <c r="B125" s="615" t="s">
        <v>374</v>
      </c>
      <c r="C125" s="619"/>
      <c r="D125" s="619"/>
      <c r="E125" s="710">
        <v>-21850</v>
      </c>
    </row>
    <row r="126" spans="2:7" x14ac:dyDescent="0.35">
      <c r="B126" s="615" t="s">
        <v>374</v>
      </c>
      <c r="C126" s="709"/>
      <c r="D126" s="619"/>
      <c r="E126" s="710">
        <v>-25000</v>
      </c>
      <c r="F126" s="774" t="s">
        <v>63</v>
      </c>
    </row>
    <row r="127" spans="2:7" ht="15.5" x14ac:dyDescent="0.35">
      <c r="B127" s="705" t="s">
        <v>11</v>
      </c>
      <c r="C127" s="708"/>
      <c r="D127" s="706"/>
      <c r="E127" s="603">
        <f>+E124+E125+E126</f>
        <v>106950</v>
      </c>
      <c r="F127" s="774" t="s">
        <v>63</v>
      </c>
    </row>
    <row r="128" spans="2:7" x14ac:dyDescent="0.35">
      <c r="F128" s="774" t="s">
        <v>63</v>
      </c>
    </row>
    <row r="130" spans="2:7" ht="23.5" x14ac:dyDescent="0.35">
      <c r="B130" s="1442" t="s">
        <v>264</v>
      </c>
      <c r="C130" s="1443"/>
      <c r="D130" s="1443"/>
      <c r="E130" s="1444"/>
    </row>
    <row r="131" spans="2:7" x14ac:dyDescent="0.35">
      <c r="B131" s="2" t="s">
        <v>7</v>
      </c>
      <c r="C131" s="270" t="s">
        <v>8</v>
      </c>
      <c r="D131" s="217" t="s">
        <v>4</v>
      </c>
      <c r="E131" s="597" t="s">
        <v>9</v>
      </c>
    </row>
    <row r="132" spans="2:7" x14ac:dyDescent="0.35">
      <c r="B132" s="772" t="s">
        <v>3</v>
      </c>
      <c r="C132" s="258">
        <v>185</v>
      </c>
      <c r="D132" s="227">
        <f>450*1.2</f>
        <v>540</v>
      </c>
      <c r="E132" s="598">
        <f>+C132*D132</f>
        <v>99900</v>
      </c>
      <c r="F132" s="771" t="s">
        <v>509</v>
      </c>
    </row>
    <row r="133" spans="2:7" x14ac:dyDescent="0.35">
      <c r="B133" s="772" t="s">
        <v>196</v>
      </c>
      <c r="C133" s="258"/>
      <c r="D133" s="227"/>
      <c r="E133" s="598">
        <v>10000</v>
      </c>
    </row>
    <row r="134" spans="2:7" x14ac:dyDescent="0.35">
      <c r="B134" s="772" t="s">
        <v>6</v>
      </c>
      <c r="C134" s="258" t="s">
        <v>63</v>
      </c>
      <c r="D134" s="227" t="s">
        <v>63</v>
      </c>
      <c r="E134" s="598">
        <v>10000</v>
      </c>
    </row>
    <row r="135" spans="2:7" x14ac:dyDescent="0.35">
      <c r="B135" s="772" t="s">
        <v>270</v>
      </c>
      <c r="C135" s="258">
        <v>5</v>
      </c>
      <c r="D135" s="227">
        <f>+D132*1.5</f>
        <v>810</v>
      </c>
      <c r="E135" s="598">
        <f>+C135*D135</f>
        <v>4050</v>
      </c>
      <c r="F135" s="774" t="s">
        <v>63</v>
      </c>
    </row>
    <row r="136" spans="2:7" x14ac:dyDescent="0.35">
      <c r="B136" s="772" t="s">
        <v>281</v>
      </c>
      <c r="C136" s="258">
        <v>2.5</v>
      </c>
      <c r="D136" s="227">
        <f>+D132*2</f>
        <v>1080</v>
      </c>
      <c r="E136" s="598">
        <f>+C136*D136</f>
        <v>2700</v>
      </c>
    </row>
    <row r="137" spans="2:7" x14ac:dyDescent="0.35">
      <c r="B137" s="1439" t="s">
        <v>99</v>
      </c>
      <c r="C137" s="1440"/>
      <c r="D137" s="1441"/>
      <c r="E137" s="599">
        <f>+E132+E133+E134+E135+E136</f>
        <v>126650</v>
      </c>
      <c r="F137" s="774" t="s">
        <v>63</v>
      </c>
    </row>
    <row r="138" spans="2:7" x14ac:dyDescent="0.35">
      <c r="B138" s="723" t="s">
        <v>50</v>
      </c>
      <c r="C138" s="721"/>
      <c r="D138" s="721"/>
      <c r="E138" s="722">
        <v>-10000</v>
      </c>
      <c r="F138" s="774" t="s">
        <v>63</v>
      </c>
      <c r="G138" s="774" t="s">
        <v>63</v>
      </c>
    </row>
    <row r="139" spans="2:7" x14ac:dyDescent="0.35">
      <c r="B139" s="899" t="s">
        <v>63</v>
      </c>
      <c r="C139" s="895" t="s">
        <v>63</v>
      </c>
      <c r="D139" s="896"/>
      <c r="E139" s="600" t="s">
        <v>63</v>
      </c>
    </row>
    <row r="140" spans="2:7" ht="15.5" x14ac:dyDescent="0.35">
      <c r="B140" s="1446" t="s">
        <v>11</v>
      </c>
      <c r="C140" s="1447"/>
      <c r="D140" s="1448"/>
      <c r="E140" s="603">
        <f>+E137+E138</f>
        <v>116650</v>
      </c>
      <c r="F140" s="774" t="s">
        <v>63</v>
      </c>
    </row>
    <row r="143" spans="2:7" ht="23.5" x14ac:dyDescent="0.35">
      <c r="B143" s="1431" t="s">
        <v>386</v>
      </c>
      <c r="C143" s="1431"/>
      <c r="D143" s="1431"/>
      <c r="E143" s="1431"/>
    </row>
    <row r="144" spans="2:7" x14ac:dyDescent="0.35">
      <c r="B144" s="801" t="s">
        <v>7</v>
      </c>
      <c r="C144" s="802" t="s">
        <v>388</v>
      </c>
      <c r="D144" s="803" t="s">
        <v>272</v>
      </c>
      <c r="E144" s="804" t="s">
        <v>9</v>
      </c>
    </row>
    <row r="145" spans="2:9" x14ac:dyDescent="0.35">
      <c r="B145" s="805" t="s">
        <v>3</v>
      </c>
      <c r="C145" s="806">
        <v>185</v>
      </c>
      <c r="D145" s="807">
        <f>530*1.15</f>
        <v>609.5</v>
      </c>
      <c r="E145" s="808">
        <f>+C145*D145</f>
        <v>112757.5</v>
      </c>
      <c r="F145" s="771" t="s">
        <v>365</v>
      </c>
    </row>
    <row r="146" spans="2:9" x14ac:dyDescent="0.35">
      <c r="B146" s="805" t="s">
        <v>497</v>
      </c>
      <c r="C146" s="806" t="s">
        <v>63</v>
      </c>
      <c r="D146" s="807" t="s">
        <v>63</v>
      </c>
      <c r="E146" s="834" t="s">
        <v>63</v>
      </c>
    </row>
    <row r="147" spans="2:9" x14ac:dyDescent="0.35">
      <c r="B147" s="805" t="s">
        <v>200</v>
      </c>
      <c r="C147" s="806" t="s">
        <v>63</v>
      </c>
      <c r="D147" s="807" t="s">
        <v>63</v>
      </c>
      <c r="E147" s="828">
        <v>10000</v>
      </c>
    </row>
    <row r="148" spans="2:9" x14ac:dyDescent="0.35">
      <c r="B148" s="614" t="s">
        <v>270</v>
      </c>
      <c r="C148" s="617">
        <v>15.5</v>
      </c>
      <c r="D148" s="227">
        <f>+D145*1.5</f>
        <v>914.25</v>
      </c>
      <c r="E148" s="598">
        <f>+C148*D148</f>
        <v>14170.875</v>
      </c>
    </row>
    <row r="149" spans="2:9" x14ac:dyDescent="0.35">
      <c r="B149" s="614" t="s">
        <v>281</v>
      </c>
      <c r="C149" s="617">
        <v>4.5</v>
      </c>
      <c r="D149" s="227">
        <f>+D145*2</f>
        <v>1219</v>
      </c>
      <c r="E149" s="811">
        <f>+C149*D149</f>
        <v>5485.5</v>
      </c>
    </row>
    <row r="150" spans="2:9" x14ac:dyDescent="0.35">
      <c r="B150" s="614" t="s">
        <v>426</v>
      </c>
      <c r="C150" s="617"/>
      <c r="D150" s="227"/>
      <c r="E150" s="811">
        <v>20000</v>
      </c>
    </row>
    <row r="151" spans="2:9" ht="15.5" x14ac:dyDescent="0.35">
      <c r="B151" s="1433" t="s">
        <v>389</v>
      </c>
      <c r="C151" s="1433"/>
      <c r="D151" s="1433"/>
      <c r="E151" s="603">
        <f>+E145+E147+E148+E149+E150</f>
        <v>162413.875</v>
      </c>
      <c r="F151" s="774" t="s">
        <v>63</v>
      </c>
      <c r="G151" s="771" t="s">
        <v>63</v>
      </c>
      <c r="H151" s="771" t="s">
        <v>63</v>
      </c>
      <c r="I151" s="771" t="s">
        <v>63</v>
      </c>
    </row>
    <row r="152" spans="2:9" s="764" customFormat="1" ht="15.5" x14ac:dyDescent="0.35">
      <c r="B152" s="831" t="s">
        <v>505</v>
      </c>
      <c r="C152" s="829"/>
      <c r="D152" s="829"/>
      <c r="E152" s="832">
        <v>-12030</v>
      </c>
      <c r="F152" s="769"/>
    </row>
    <row r="153" spans="2:9" ht="15.5" x14ac:dyDescent="0.35">
      <c r="B153" s="831" t="s">
        <v>19</v>
      </c>
      <c r="C153" s="829"/>
      <c r="D153" s="829"/>
      <c r="E153" s="832">
        <v>-28000</v>
      </c>
      <c r="F153" s="774" t="s">
        <v>63</v>
      </c>
    </row>
    <row r="154" spans="2:9" ht="15.5" x14ac:dyDescent="0.35">
      <c r="B154" s="611" t="s">
        <v>11</v>
      </c>
      <c r="C154" s="898"/>
      <c r="D154" s="898"/>
      <c r="E154" s="603">
        <f>+E151+E152+E153</f>
        <v>122383.875</v>
      </c>
      <c r="F154" s="774" t="s">
        <v>63</v>
      </c>
    </row>
    <row r="155" spans="2:9" x14ac:dyDescent="0.35">
      <c r="E155" s="203" t="s">
        <v>63</v>
      </c>
      <c r="F155" s="774" t="s">
        <v>63</v>
      </c>
    </row>
    <row r="157" spans="2:9" ht="23.5" x14ac:dyDescent="0.35">
      <c r="B157" s="1442" t="s">
        <v>408</v>
      </c>
      <c r="C157" s="1443"/>
      <c r="D157" s="1443"/>
      <c r="E157" s="1444"/>
    </row>
    <row r="158" spans="2:9" x14ac:dyDescent="0.35">
      <c r="B158" s="801" t="s">
        <v>7</v>
      </c>
      <c r="C158" s="802" t="s">
        <v>425</v>
      </c>
      <c r="D158" s="803" t="s">
        <v>272</v>
      </c>
      <c r="E158" s="804" t="s">
        <v>9</v>
      </c>
    </row>
    <row r="159" spans="2:9" x14ac:dyDescent="0.35">
      <c r="B159" s="772" t="s">
        <v>3</v>
      </c>
      <c r="C159" s="258">
        <v>185</v>
      </c>
      <c r="D159" s="227">
        <f>450*1.2</f>
        <v>540</v>
      </c>
      <c r="E159" s="598">
        <f>+C159*D159</f>
        <v>99900</v>
      </c>
      <c r="F159" s="771" t="s">
        <v>509</v>
      </c>
    </row>
    <row r="160" spans="2:9" x14ac:dyDescent="0.35">
      <c r="B160" s="772" t="s">
        <v>496</v>
      </c>
      <c r="C160" s="258" t="s">
        <v>63</v>
      </c>
      <c r="D160" s="227" t="s">
        <v>63</v>
      </c>
      <c r="E160" s="598" t="s">
        <v>63</v>
      </c>
    </row>
    <row r="161" spans="2:6" x14ac:dyDescent="0.35">
      <c r="B161" s="772" t="s">
        <v>200</v>
      </c>
      <c r="C161" s="258" t="s">
        <v>63</v>
      </c>
      <c r="D161" s="227" t="s">
        <v>63</v>
      </c>
      <c r="E161" s="598">
        <v>10000</v>
      </c>
    </row>
    <row r="162" spans="2:6" x14ac:dyDescent="0.35">
      <c r="B162" s="772" t="s">
        <v>6</v>
      </c>
      <c r="C162" s="258"/>
      <c r="D162" s="227"/>
      <c r="E162" s="598">
        <v>10000</v>
      </c>
    </row>
    <row r="163" spans="2:6" x14ac:dyDescent="0.35">
      <c r="B163" s="772" t="s">
        <v>270</v>
      </c>
      <c r="C163" s="258">
        <v>10</v>
      </c>
      <c r="D163" s="227">
        <f>+D159*1.5</f>
        <v>810</v>
      </c>
      <c r="E163" s="598">
        <f>+C163*D163</f>
        <v>8100</v>
      </c>
    </row>
    <row r="164" spans="2:6" x14ac:dyDescent="0.35">
      <c r="B164" s="772" t="s">
        <v>449</v>
      </c>
      <c r="C164" s="258" t="s">
        <v>63</v>
      </c>
      <c r="D164" s="227">
        <f>+D159*2</f>
        <v>1080</v>
      </c>
      <c r="E164" s="598" t="s">
        <v>63</v>
      </c>
    </row>
    <row r="165" spans="2:6" x14ac:dyDescent="0.35">
      <c r="B165" s="889" t="s">
        <v>510</v>
      </c>
      <c r="C165" s="890"/>
      <c r="D165" s="814"/>
      <c r="E165" s="598">
        <v>2000</v>
      </c>
    </row>
    <row r="166" spans="2:6" x14ac:dyDescent="0.35">
      <c r="B166" s="1439" t="s">
        <v>389</v>
      </c>
      <c r="C166" s="1440"/>
      <c r="D166" s="1441"/>
      <c r="E166" s="599">
        <f>+E159+E161+E162+E163+E165</f>
        <v>130000</v>
      </c>
      <c r="F166" s="774" t="s">
        <v>63</v>
      </c>
    </row>
    <row r="167" spans="2:6" x14ac:dyDescent="0.35">
      <c r="B167" s="831" t="s">
        <v>19</v>
      </c>
      <c r="C167" s="829"/>
      <c r="D167" s="829"/>
      <c r="E167" s="844">
        <v>-5000</v>
      </c>
      <c r="F167" s="774" t="s">
        <v>63</v>
      </c>
    </row>
    <row r="168" spans="2:6" ht="15.5" x14ac:dyDescent="0.35">
      <c r="B168" s="1446" t="s">
        <v>11</v>
      </c>
      <c r="C168" s="1447"/>
      <c r="D168" s="1448"/>
      <c r="E168" s="603">
        <f>+E166+E167</f>
        <v>125000</v>
      </c>
      <c r="F168" s="774" t="s">
        <v>63</v>
      </c>
    </row>
    <row r="169" spans="2:6" x14ac:dyDescent="0.35">
      <c r="E169" s="203" t="s">
        <v>63</v>
      </c>
    </row>
    <row r="171" spans="2:6" ht="14.5" customHeight="1" x14ac:dyDescent="0.35">
      <c r="B171" s="1442" t="s">
        <v>440</v>
      </c>
      <c r="C171" s="1443"/>
      <c r="D171" s="1443"/>
      <c r="E171" s="1444"/>
    </row>
    <row r="172" spans="2:6" ht="14.5" customHeight="1" x14ac:dyDescent="0.35">
      <c r="B172" s="801" t="s">
        <v>7</v>
      </c>
      <c r="C172" s="802" t="s">
        <v>388</v>
      </c>
      <c r="D172" s="803" t="s">
        <v>272</v>
      </c>
      <c r="E172" s="804" t="s">
        <v>9</v>
      </c>
    </row>
    <row r="173" spans="2:6" ht="14.5" customHeight="1" x14ac:dyDescent="0.35">
      <c r="B173" s="805" t="s">
        <v>3</v>
      </c>
      <c r="C173" s="806">
        <v>185</v>
      </c>
      <c r="D173" s="807">
        <f>450*1.15</f>
        <v>517.5</v>
      </c>
      <c r="E173" s="833">
        <f>+C173*D173</f>
        <v>95737.5</v>
      </c>
      <c r="F173" s="771" t="s">
        <v>365</v>
      </c>
    </row>
    <row r="174" spans="2:6" ht="15.5" customHeight="1" x14ac:dyDescent="0.35">
      <c r="B174" s="805" t="s">
        <v>497</v>
      </c>
      <c r="C174" s="806" t="s">
        <v>63</v>
      </c>
      <c r="D174" s="807" t="s">
        <v>63</v>
      </c>
      <c r="E174" s="834" t="s">
        <v>63</v>
      </c>
    </row>
    <row r="175" spans="2:6" x14ac:dyDescent="0.35">
      <c r="B175" s="805" t="s">
        <v>200</v>
      </c>
      <c r="C175" s="806" t="s">
        <v>63</v>
      </c>
      <c r="D175" s="807" t="s">
        <v>63</v>
      </c>
      <c r="E175" s="834">
        <v>10000</v>
      </c>
    </row>
    <row r="176" spans="2:6" x14ac:dyDescent="0.35">
      <c r="B176" s="614" t="s">
        <v>270</v>
      </c>
      <c r="C176" s="617" t="s">
        <v>63</v>
      </c>
      <c r="D176" s="227" t="s">
        <v>63</v>
      </c>
      <c r="E176" s="598" t="s">
        <v>63</v>
      </c>
    </row>
    <row r="177" spans="2:8" x14ac:dyDescent="0.35">
      <c r="B177" s="614" t="s">
        <v>281</v>
      </c>
      <c r="C177" s="617" t="s">
        <v>63</v>
      </c>
      <c r="D177" s="227" t="s">
        <v>63</v>
      </c>
      <c r="E177" s="598" t="s">
        <v>63</v>
      </c>
    </row>
    <row r="178" spans="2:8" x14ac:dyDescent="0.35">
      <c r="B178" s="614" t="s">
        <v>459</v>
      </c>
      <c r="C178" s="617"/>
      <c r="D178" s="227"/>
      <c r="E178" s="598">
        <v>2000</v>
      </c>
      <c r="F178" s="774" t="s">
        <v>63</v>
      </c>
    </row>
    <row r="179" spans="2:8" ht="15.5" x14ac:dyDescent="0.35">
      <c r="B179" s="1446" t="s">
        <v>389</v>
      </c>
      <c r="C179" s="1447"/>
      <c r="D179" s="1448"/>
      <c r="E179" s="603">
        <f>+E173+E175+E178</f>
        <v>107737.5</v>
      </c>
      <c r="F179" s="774" t="s">
        <v>63</v>
      </c>
      <c r="G179" s="771" t="s">
        <v>63</v>
      </c>
      <c r="H179" s="771" t="s">
        <v>63</v>
      </c>
    </row>
    <row r="180" spans="2:8" s="764" customFormat="1" ht="15.5" x14ac:dyDescent="0.35">
      <c r="B180" s="831" t="s">
        <v>506</v>
      </c>
      <c r="C180" s="829"/>
      <c r="D180" s="829"/>
      <c r="E180" s="832">
        <v>-37537.5</v>
      </c>
      <c r="F180" s="769" t="s">
        <v>63</v>
      </c>
    </row>
    <row r="181" spans="2:8" ht="15.5" x14ac:dyDescent="0.35">
      <c r="B181" s="831" t="s">
        <v>19</v>
      </c>
      <c r="C181" s="829"/>
      <c r="D181" s="829"/>
      <c r="E181" s="832">
        <v>-20000</v>
      </c>
    </row>
    <row r="182" spans="2:8" ht="15.5" x14ac:dyDescent="0.35">
      <c r="B182" s="611" t="s">
        <v>11</v>
      </c>
      <c r="C182" s="898"/>
      <c r="D182" s="898"/>
      <c r="E182" s="603">
        <f>+E179+E180+E181</f>
        <v>50200</v>
      </c>
    </row>
    <row r="183" spans="2:8" x14ac:dyDescent="0.35">
      <c r="E183" s="203" t="s">
        <v>63</v>
      </c>
    </row>
    <row r="185" spans="2:8" ht="23.5" x14ac:dyDescent="0.35">
      <c r="B185" s="1442" t="s">
        <v>456</v>
      </c>
      <c r="C185" s="1443"/>
      <c r="D185" s="1443"/>
      <c r="E185" s="1444"/>
    </row>
    <row r="186" spans="2:8" x14ac:dyDescent="0.35">
      <c r="B186" s="801" t="s">
        <v>7</v>
      </c>
      <c r="C186" s="802" t="s">
        <v>388</v>
      </c>
      <c r="D186" s="803" t="s">
        <v>272</v>
      </c>
      <c r="E186" s="804" t="s">
        <v>9</v>
      </c>
    </row>
    <row r="187" spans="2:8" x14ac:dyDescent="0.35">
      <c r="B187" s="805" t="s">
        <v>3</v>
      </c>
      <c r="C187" s="806">
        <v>185</v>
      </c>
      <c r="D187" s="807">
        <f>500*1.2</f>
        <v>600</v>
      </c>
      <c r="E187" s="833">
        <f>+C187*D187</f>
        <v>111000</v>
      </c>
      <c r="F187" s="771" t="s">
        <v>509</v>
      </c>
    </row>
    <row r="188" spans="2:8" x14ac:dyDescent="0.35">
      <c r="B188" s="805" t="s">
        <v>511</v>
      </c>
      <c r="C188" s="806">
        <v>2.5</v>
      </c>
      <c r="D188" s="807">
        <v>600</v>
      </c>
      <c r="E188" s="834">
        <f>-C188*D188</f>
        <v>-1500</v>
      </c>
    </row>
    <row r="189" spans="2:8" x14ac:dyDescent="0.35">
      <c r="B189" s="805" t="s">
        <v>6</v>
      </c>
      <c r="C189" s="806" t="s">
        <v>63</v>
      </c>
      <c r="D189" s="807" t="s">
        <v>63</v>
      </c>
      <c r="E189" s="834">
        <v>10000</v>
      </c>
    </row>
    <row r="190" spans="2:8" x14ac:dyDescent="0.35">
      <c r="B190" s="614" t="s">
        <v>200</v>
      </c>
      <c r="C190" s="617"/>
      <c r="D190" s="227"/>
      <c r="E190" s="598">
        <v>10000</v>
      </c>
    </row>
    <row r="191" spans="2:8" x14ac:dyDescent="0.35">
      <c r="B191" s="614" t="s">
        <v>475</v>
      </c>
      <c r="C191" s="617" t="s">
        <v>63</v>
      </c>
      <c r="D191" s="227" t="s">
        <v>63</v>
      </c>
      <c r="E191" s="598" t="s">
        <v>63</v>
      </c>
    </row>
    <row r="192" spans="2:8" x14ac:dyDescent="0.35">
      <c r="B192" s="614" t="s">
        <v>476</v>
      </c>
      <c r="C192" s="617">
        <v>2.5</v>
      </c>
      <c r="D192" s="227">
        <f>+D187*2</f>
        <v>1200</v>
      </c>
      <c r="E192" s="598">
        <f>+C192*D192</f>
        <v>3000</v>
      </c>
    </row>
    <row r="193" spans="2:8" x14ac:dyDescent="0.35">
      <c r="B193" s="614" t="s">
        <v>517</v>
      </c>
      <c r="C193" s="617"/>
      <c r="D193" s="227"/>
      <c r="E193" s="598">
        <v>10000</v>
      </c>
    </row>
    <row r="194" spans="2:8" ht="15.5" x14ac:dyDescent="0.35">
      <c r="B194" s="1446" t="s">
        <v>389</v>
      </c>
      <c r="C194" s="1447"/>
      <c r="D194" s="1448"/>
      <c r="E194" s="603">
        <f>+E187+E188+E189+E190+E192+E193</f>
        <v>142500</v>
      </c>
      <c r="F194" s="774" t="s">
        <v>63</v>
      </c>
    </row>
    <row r="195" spans="2:8" ht="15.5" x14ac:dyDescent="0.35">
      <c r="B195" s="831" t="s">
        <v>63</v>
      </c>
      <c r="C195" s="829"/>
      <c r="D195" s="829"/>
      <c r="E195" s="830" t="s">
        <v>63</v>
      </c>
      <c r="F195" s="771" t="s">
        <v>63</v>
      </c>
      <c r="G195" s="771" t="s">
        <v>63</v>
      </c>
      <c r="H195" s="771" t="s">
        <v>63</v>
      </c>
    </row>
    <row r="196" spans="2:8" ht="15.5" x14ac:dyDescent="0.35">
      <c r="B196" s="611" t="s">
        <v>11</v>
      </c>
      <c r="C196" s="898"/>
      <c r="D196" s="898"/>
      <c r="E196" s="603">
        <f>+E187+E188+E189+E190+E192+E193</f>
        <v>142500</v>
      </c>
    </row>
    <row r="197" spans="2:8" x14ac:dyDescent="0.35">
      <c r="E197" s="203" t="s">
        <v>63</v>
      </c>
    </row>
    <row r="205" spans="2:8" ht="23.5" x14ac:dyDescent="0.35">
      <c r="B205" s="1442" t="s">
        <v>518</v>
      </c>
      <c r="C205" s="1443"/>
      <c r="D205" s="1443"/>
      <c r="E205" s="1444"/>
    </row>
    <row r="206" spans="2:8" x14ac:dyDescent="0.35">
      <c r="B206" s="801"/>
      <c r="C206" s="802"/>
      <c r="D206" s="803"/>
      <c r="E206" s="804"/>
    </row>
    <row r="207" spans="2:8" x14ac:dyDescent="0.35">
      <c r="B207" s="772" t="s">
        <v>3</v>
      </c>
      <c r="C207" s="258">
        <v>123</v>
      </c>
      <c r="D207" s="227">
        <v>540</v>
      </c>
      <c r="E207" s="598">
        <f>+C207*D207</f>
        <v>66420</v>
      </c>
    </row>
    <row r="208" spans="2:8" x14ac:dyDescent="0.35">
      <c r="B208" s="772" t="s">
        <v>200</v>
      </c>
      <c r="C208" s="258"/>
      <c r="D208" s="227"/>
      <c r="E208" s="598">
        <v>5000</v>
      </c>
    </row>
    <row r="209" spans="2:5" x14ac:dyDescent="0.35">
      <c r="B209" s="772" t="s">
        <v>6</v>
      </c>
      <c r="C209" s="258"/>
      <c r="D209" s="227"/>
      <c r="E209" s="598">
        <v>5000</v>
      </c>
    </row>
    <row r="210" spans="2:5" x14ac:dyDescent="0.35">
      <c r="B210" s="772"/>
      <c r="C210" s="258"/>
      <c r="D210" s="227"/>
      <c r="E210" s="598"/>
    </row>
    <row r="211" spans="2:5" x14ac:dyDescent="0.35">
      <c r="B211" s="772"/>
      <c r="C211" s="258"/>
      <c r="D211" s="227"/>
      <c r="E211" s="598"/>
    </row>
    <row r="212" spans="2:5" x14ac:dyDescent="0.35">
      <c r="B212" s="772"/>
      <c r="C212" s="258"/>
      <c r="D212" s="227"/>
      <c r="E212" s="598"/>
    </row>
    <row r="213" spans="2:5" x14ac:dyDescent="0.35">
      <c r="B213" s="889"/>
      <c r="C213" s="890"/>
      <c r="D213" s="814"/>
      <c r="E213" s="598"/>
    </row>
    <row r="214" spans="2:5" x14ac:dyDescent="0.35">
      <c r="B214" s="1439" t="s">
        <v>389</v>
      </c>
      <c r="C214" s="1440"/>
      <c r="D214" s="1441"/>
      <c r="E214" s="599">
        <f>+E207+E208+E209</f>
        <v>76420</v>
      </c>
    </row>
    <row r="215" spans="2:5" x14ac:dyDescent="0.35">
      <c r="B215" s="831"/>
      <c r="C215" s="829"/>
      <c r="D215" s="829"/>
      <c r="E215" s="844"/>
    </row>
    <row r="216" spans="2:5" ht="15.5" x14ac:dyDescent="0.35">
      <c r="B216" s="1446" t="s">
        <v>11</v>
      </c>
      <c r="C216" s="1447"/>
      <c r="D216" s="1448"/>
      <c r="E216" s="603">
        <f>+E207+E208+E209</f>
        <v>76420</v>
      </c>
    </row>
    <row r="219" spans="2:5" ht="23.5" x14ac:dyDescent="0.35">
      <c r="B219" s="1442" t="s">
        <v>301</v>
      </c>
      <c r="C219" s="1443"/>
      <c r="D219" s="1443"/>
      <c r="E219" s="1444"/>
    </row>
    <row r="220" spans="2:5" x14ac:dyDescent="0.35">
      <c r="B220" s="2" t="s">
        <v>7</v>
      </c>
      <c r="C220" s="270" t="s">
        <v>8</v>
      </c>
      <c r="D220" s="217" t="s">
        <v>4</v>
      </c>
      <c r="E220" s="597" t="s">
        <v>9</v>
      </c>
    </row>
    <row r="221" spans="2:5" x14ac:dyDescent="0.35">
      <c r="B221" s="772" t="s">
        <v>3</v>
      </c>
      <c r="C221" s="258">
        <v>123</v>
      </c>
      <c r="D221" s="227">
        <f>450*1.2</f>
        <v>540</v>
      </c>
      <c r="E221" s="598">
        <f>+C221*D221</f>
        <v>66420</v>
      </c>
    </row>
    <row r="222" spans="2:5" x14ac:dyDescent="0.35">
      <c r="B222" s="772" t="s">
        <v>519</v>
      </c>
      <c r="C222" s="258">
        <v>8</v>
      </c>
      <c r="D222" s="227">
        <v>540</v>
      </c>
      <c r="E222" s="598">
        <f>+C222*D222</f>
        <v>4320</v>
      </c>
    </row>
    <row r="223" spans="2:5" x14ac:dyDescent="0.35">
      <c r="B223" s="772" t="s">
        <v>200</v>
      </c>
      <c r="C223" s="258"/>
      <c r="D223" s="227"/>
      <c r="E223" s="598">
        <v>0</v>
      </c>
    </row>
    <row r="224" spans="2:5" x14ac:dyDescent="0.35">
      <c r="B224" s="772" t="s">
        <v>6</v>
      </c>
      <c r="C224" s="258" t="s">
        <v>63</v>
      </c>
      <c r="D224" s="194" t="s">
        <v>63</v>
      </c>
      <c r="E224" s="598">
        <v>15000</v>
      </c>
    </row>
    <row r="225" spans="2:6" x14ac:dyDescent="0.35">
      <c r="B225" s="772" t="s">
        <v>270</v>
      </c>
      <c r="C225" s="258">
        <v>2.5</v>
      </c>
      <c r="D225" s="194">
        <f>+D221*1.5</f>
        <v>810</v>
      </c>
      <c r="E225" s="598">
        <f>+C225*D225</f>
        <v>2025</v>
      </c>
      <c r="F225" s="771" t="s">
        <v>63</v>
      </c>
    </row>
    <row r="226" spans="2:6" x14ac:dyDescent="0.35">
      <c r="B226" s="772" t="s">
        <v>63</v>
      </c>
      <c r="C226" s="258" t="s">
        <v>63</v>
      </c>
      <c r="D226" s="194" t="s">
        <v>63</v>
      </c>
      <c r="E226" s="598" t="s">
        <v>63</v>
      </c>
    </row>
    <row r="227" spans="2:6" x14ac:dyDescent="0.35">
      <c r="B227" s="1439" t="s">
        <v>99</v>
      </c>
      <c r="C227" s="1440"/>
      <c r="D227" s="1441"/>
      <c r="E227" s="599">
        <f>+E221+E222+E224+E225</f>
        <v>87765</v>
      </c>
      <c r="F227" s="774" t="s">
        <v>63</v>
      </c>
    </row>
    <row r="228" spans="2:6" x14ac:dyDescent="0.35">
      <c r="B228" s="724" t="s">
        <v>19</v>
      </c>
      <c r="C228" s="729" t="s">
        <v>63</v>
      </c>
      <c r="D228" s="730" t="s">
        <v>63</v>
      </c>
      <c r="E228" s="731">
        <v>-100000</v>
      </c>
      <c r="F228" s="774" t="s">
        <v>63</v>
      </c>
    </row>
    <row r="229" spans="2:6" x14ac:dyDescent="0.35">
      <c r="B229" s="739" t="s">
        <v>63</v>
      </c>
      <c r="C229" s="729"/>
      <c r="D229" s="730"/>
      <c r="E229" s="731" t="s">
        <v>63</v>
      </c>
    </row>
    <row r="230" spans="2:6" ht="23.5" x14ac:dyDescent="0.55000000000000004">
      <c r="B230" s="751"/>
      <c r="C230" s="752" t="s">
        <v>11</v>
      </c>
      <c r="D230" s="753"/>
      <c r="E230" s="754">
        <f>+E227+E228</f>
        <v>-12235</v>
      </c>
      <c r="F230" s="770" t="s">
        <v>63</v>
      </c>
    </row>
  </sheetData>
  <mergeCells count="36">
    <mergeCell ref="B205:E205"/>
    <mergeCell ref="B214:D214"/>
    <mergeCell ref="B216:D216"/>
    <mergeCell ref="B194:D194"/>
    <mergeCell ref="B157:E157"/>
    <mergeCell ref="B166:D166"/>
    <mergeCell ref="B168:D168"/>
    <mergeCell ref="B171:E171"/>
    <mergeCell ref="B179:D179"/>
    <mergeCell ref="B185:E185"/>
    <mergeCell ref="B118:E118"/>
    <mergeCell ref="B130:E130"/>
    <mergeCell ref="B137:D137"/>
    <mergeCell ref="B140:D140"/>
    <mergeCell ref="B143:E143"/>
    <mergeCell ref="B83:D83"/>
    <mergeCell ref="B89:E89"/>
    <mergeCell ref="B97:D97"/>
    <mergeCell ref="B104:E104"/>
    <mergeCell ref="B113:D113"/>
    <mergeCell ref="B219:E219"/>
    <mergeCell ref="B227:D227"/>
    <mergeCell ref="B67:D67"/>
    <mergeCell ref="B1:E1"/>
    <mergeCell ref="B10:D10"/>
    <mergeCell ref="B13:D13"/>
    <mergeCell ref="B15:E15"/>
    <mergeCell ref="B24:D24"/>
    <mergeCell ref="B28:D28"/>
    <mergeCell ref="B30:E30"/>
    <mergeCell ref="B40:D40"/>
    <mergeCell ref="B45:E45"/>
    <mergeCell ref="B54:D54"/>
    <mergeCell ref="B60:E60"/>
    <mergeCell ref="B151:D151"/>
    <mergeCell ref="B73:E73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1:V173"/>
  <sheetViews>
    <sheetView zoomScaleNormal="100" workbookViewId="0">
      <selection activeCell="F163" sqref="F163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25.5" customHeight="1" x14ac:dyDescent="0.35">
      <c r="B1" s="1431" t="s">
        <v>10</v>
      </c>
      <c r="C1" s="1431"/>
      <c r="D1" s="1431"/>
      <c r="E1" s="1431"/>
    </row>
    <row r="2" spans="2:21" s="913" customFormat="1" ht="18" customHeight="1" x14ac:dyDescent="0.35">
      <c r="B2" s="2" t="s">
        <v>7</v>
      </c>
      <c r="C2" s="270" t="s">
        <v>8</v>
      </c>
      <c r="D2" s="217" t="s">
        <v>4</v>
      </c>
      <c r="E2" s="597" t="s">
        <v>9</v>
      </c>
      <c r="F2" s="771"/>
      <c r="T2" s="771"/>
      <c r="U2" s="771"/>
    </row>
    <row r="3" spans="2:21" ht="18" customHeight="1" x14ac:dyDescent="0.35">
      <c r="B3" s="772" t="s">
        <v>480</v>
      </c>
      <c r="C3" s="258">
        <v>194</v>
      </c>
      <c r="D3" s="227">
        <f>660*1.1</f>
        <v>726.00000000000011</v>
      </c>
      <c r="E3" s="598">
        <f>+C3*D3</f>
        <v>140844.00000000003</v>
      </c>
      <c r="F3" s="553" t="s">
        <v>63</v>
      </c>
      <c r="T3" s="913"/>
    </row>
    <row r="4" spans="2:21" ht="18" customHeight="1" x14ac:dyDescent="0.35">
      <c r="B4" s="772" t="s">
        <v>523</v>
      </c>
      <c r="C4" s="258">
        <v>8</v>
      </c>
      <c r="D4" s="227">
        <f>+D3</f>
        <v>726.00000000000011</v>
      </c>
      <c r="E4" s="598">
        <f>+C4*D4</f>
        <v>5808.0000000000009</v>
      </c>
      <c r="F4" s="774" t="s">
        <v>63</v>
      </c>
      <c r="T4" s="774"/>
    </row>
    <row r="5" spans="2:21" ht="18" customHeight="1" x14ac:dyDescent="0.35">
      <c r="B5" s="772" t="s">
        <v>488</v>
      </c>
      <c r="C5" s="258"/>
      <c r="D5" s="227"/>
      <c r="E5" s="598">
        <v>10000</v>
      </c>
      <c r="F5" s="774" t="s">
        <v>63</v>
      </c>
      <c r="G5" s="771" t="s">
        <v>63</v>
      </c>
    </row>
    <row r="6" spans="2:21" ht="18" customHeight="1" x14ac:dyDescent="0.35">
      <c r="B6" s="772" t="s">
        <v>467</v>
      </c>
      <c r="C6" s="258">
        <v>1</v>
      </c>
      <c r="D6" s="194">
        <f>+D3*1.5</f>
        <v>1089.0000000000002</v>
      </c>
      <c r="E6" s="598">
        <f>+C6*D6</f>
        <v>1089.0000000000002</v>
      </c>
      <c r="F6" s="774" t="s">
        <v>63</v>
      </c>
      <c r="G6" s="774"/>
    </row>
    <row r="7" spans="2:21" ht="18" customHeight="1" x14ac:dyDescent="0.35">
      <c r="B7" s="772" t="s">
        <v>489</v>
      </c>
      <c r="C7" s="258" t="s">
        <v>63</v>
      </c>
      <c r="D7" s="194"/>
      <c r="E7" s="598">
        <v>35000</v>
      </c>
      <c r="F7" s="553" t="s">
        <v>63</v>
      </c>
      <c r="G7" s="774" t="s">
        <v>63</v>
      </c>
      <c r="U7" s="913"/>
    </row>
    <row r="8" spans="2:21" ht="18" customHeight="1" x14ac:dyDescent="0.35">
      <c r="B8" s="772" t="s">
        <v>524</v>
      </c>
      <c r="C8" s="258"/>
      <c r="D8" s="194"/>
      <c r="E8" s="598">
        <v>30000</v>
      </c>
      <c r="F8" s="553"/>
      <c r="G8" s="774"/>
      <c r="U8" s="919"/>
    </row>
    <row r="9" spans="2:21" ht="18" customHeight="1" x14ac:dyDescent="0.35">
      <c r="B9" s="772" t="s">
        <v>531</v>
      </c>
      <c r="C9" s="258">
        <v>2</v>
      </c>
      <c r="D9" s="194">
        <v>3000</v>
      </c>
      <c r="E9" s="598">
        <f>+C9*D9</f>
        <v>6000</v>
      </c>
      <c r="F9" s="774" t="s">
        <v>63</v>
      </c>
      <c r="U9" s="913"/>
    </row>
    <row r="10" spans="2:21" ht="18" customHeight="1" x14ac:dyDescent="0.35">
      <c r="B10" s="1432" t="s">
        <v>99</v>
      </c>
      <c r="C10" s="1432"/>
      <c r="D10" s="1432"/>
      <c r="E10" s="599">
        <f>+E3+E4+E5+E6+E7+E8+E9</f>
        <v>228741.00000000003</v>
      </c>
      <c r="F10" s="774" t="s">
        <v>63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913"/>
    </row>
    <row r="11" spans="2:21" ht="18" customHeight="1" x14ac:dyDescent="0.35">
      <c r="B11" s="918" t="s">
        <v>384</v>
      </c>
      <c r="C11" s="916"/>
      <c r="D11" s="916"/>
      <c r="E11" s="221">
        <v>-110249.51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913"/>
    </row>
    <row r="12" spans="2:21" ht="18" customHeight="1" x14ac:dyDescent="0.35">
      <c r="B12" s="800" t="s">
        <v>532</v>
      </c>
      <c r="C12" s="721" t="s">
        <v>477</v>
      </c>
      <c r="D12" s="905">
        <f>+E3+E5+E7</f>
        <v>185844.00000000003</v>
      </c>
      <c r="E12" s="722">
        <v>-19165.2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913"/>
    </row>
    <row r="13" spans="2:21" ht="18" customHeight="1" x14ac:dyDescent="0.35">
      <c r="B13" s="1433" t="s">
        <v>11</v>
      </c>
      <c r="C13" s="1433"/>
      <c r="D13" s="1433"/>
      <c r="E13" s="603">
        <f>+E10+E11+E12</f>
        <v>99326.290000000037</v>
      </c>
      <c r="F13" s="774" t="s">
        <v>63</v>
      </c>
      <c r="H13" s="321"/>
      <c r="I13" s="321"/>
      <c r="J13" s="321"/>
      <c r="K13" s="473"/>
      <c r="L13" s="321"/>
      <c r="M13" s="321"/>
      <c r="T13" s="913"/>
    </row>
    <row r="14" spans="2:21" ht="18" customHeight="1" x14ac:dyDescent="0.35">
      <c r="E14" s="203" t="s">
        <v>63</v>
      </c>
      <c r="F14" s="106"/>
      <c r="G14" s="4"/>
      <c r="N14" s="4"/>
      <c r="T14" s="913"/>
    </row>
    <row r="15" spans="2:21" ht="18" customHeight="1" x14ac:dyDescent="0.35">
      <c r="B15" s="1431" t="s">
        <v>15</v>
      </c>
      <c r="C15" s="1431"/>
      <c r="D15" s="1431"/>
      <c r="E15" s="1431"/>
      <c r="F15" s="406"/>
      <c r="K15" s="465"/>
      <c r="L15" s="465"/>
      <c r="M15" s="465"/>
    </row>
    <row r="16" spans="2:21" ht="18" customHeight="1" x14ac:dyDescent="0.35">
      <c r="B16" s="2" t="s">
        <v>7</v>
      </c>
      <c r="C16" s="270" t="s">
        <v>8</v>
      </c>
      <c r="D16" s="217" t="s">
        <v>4</v>
      </c>
      <c r="E16" s="597" t="s">
        <v>9</v>
      </c>
      <c r="F16" s="913"/>
      <c r="K16" s="101"/>
      <c r="L16" s="101"/>
      <c r="M16" s="101"/>
    </row>
    <row r="17" spans="2:22" ht="18" customHeight="1" x14ac:dyDescent="0.35">
      <c r="B17" s="772" t="s">
        <v>3</v>
      </c>
      <c r="C17" s="315">
        <v>194</v>
      </c>
      <c r="D17" s="194">
        <v>1315</v>
      </c>
      <c r="E17" s="598">
        <f>+C17*D17</f>
        <v>255110</v>
      </c>
      <c r="F17" s="774" t="s">
        <v>63</v>
      </c>
      <c r="K17" s="101"/>
      <c r="L17" s="101"/>
      <c r="M17" s="101"/>
    </row>
    <row r="18" spans="2:22" ht="18" customHeight="1" x14ac:dyDescent="0.35">
      <c r="B18" s="772" t="s">
        <v>525</v>
      </c>
      <c r="C18" s="258">
        <v>8</v>
      </c>
      <c r="D18" s="194">
        <f>+D17</f>
        <v>1315</v>
      </c>
      <c r="E18" s="598">
        <f>+C18*D18</f>
        <v>10520</v>
      </c>
      <c r="F18" s="774"/>
      <c r="K18" s="101"/>
      <c r="L18" s="101"/>
      <c r="M18" s="101"/>
    </row>
    <row r="19" spans="2:22" ht="18" customHeight="1" x14ac:dyDescent="0.35">
      <c r="B19" s="772" t="s">
        <v>196</v>
      </c>
      <c r="C19" s="258"/>
      <c r="D19" s="194"/>
      <c r="E19" s="598">
        <v>10000</v>
      </c>
      <c r="F19" s="913"/>
      <c r="H19" s="915"/>
      <c r="N19" s="51"/>
      <c r="O19" s="51"/>
      <c r="P19" s="66"/>
      <c r="Q19" s="49"/>
      <c r="R19" s="49"/>
    </row>
    <row r="20" spans="2:22" ht="18" customHeight="1" x14ac:dyDescent="0.35">
      <c r="B20" s="772" t="s">
        <v>6</v>
      </c>
      <c r="C20" s="258"/>
      <c r="D20" s="194"/>
      <c r="E20" s="598">
        <v>20000</v>
      </c>
      <c r="F20" s="649" t="s">
        <v>63</v>
      </c>
      <c r="H20" s="915"/>
      <c r="N20" s="51"/>
      <c r="O20" s="51"/>
      <c r="P20" s="66"/>
      <c r="Q20" s="49"/>
      <c r="R20" s="49"/>
    </row>
    <row r="21" spans="2:22" ht="18" customHeight="1" x14ac:dyDescent="0.35">
      <c r="B21" s="772" t="s">
        <v>507</v>
      </c>
      <c r="C21" s="315">
        <v>2.5</v>
      </c>
      <c r="D21" s="194">
        <f>+D17*1.5</f>
        <v>1972.5</v>
      </c>
      <c r="E21" s="598">
        <f>+C21*D21</f>
        <v>4931.25</v>
      </c>
      <c r="F21" s="774"/>
      <c r="G21" s="4"/>
      <c r="L21" s="180"/>
      <c r="M21" s="184"/>
    </row>
    <row r="22" spans="2:22" ht="18" customHeight="1" x14ac:dyDescent="0.35">
      <c r="B22" s="772" t="s">
        <v>521</v>
      </c>
      <c r="C22" s="315"/>
      <c r="D22" s="194"/>
      <c r="E22" s="598">
        <v>30000</v>
      </c>
      <c r="F22" s="774"/>
      <c r="G22" s="4"/>
      <c r="L22" s="180"/>
      <c r="M22" s="184"/>
    </row>
    <row r="23" spans="2:22" s="913" customFormat="1" ht="18" customHeight="1" x14ac:dyDescent="0.35">
      <c r="B23" s="772" t="s">
        <v>533</v>
      </c>
      <c r="C23" s="258">
        <v>1</v>
      </c>
      <c r="D23" s="194">
        <v>3000</v>
      </c>
      <c r="E23" s="598">
        <f>+C23*D23</f>
        <v>3000</v>
      </c>
      <c r="F23" s="774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913" customFormat="1" ht="18" customHeight="1" x14ac:dyDescent="0.35">
      <c r="B24" s="1432" t="s">
        <v>99</v>
      </c>
      <c r="C24" s="1432"/>
      <c r="D24" s="1432"/>
      <c r="E24" s="599">
        <f>+E17+E18+E19+E20+E21+E22+E23</f>
        <v>333561.25</v>
      </c>
      <c r="F24" s="774" t="s">
        <v>63</v>
      </c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864" customFormat="1" ht="18" customHeight="1" x14ac:dyDescent="0.35">
      <c r="B25" s="870" t="s">
        <v>514</v>
      </c>
      <c r="C25" s="860"/>
      <c r="D25" s="860"/>
      <c r="E25" s="861">
        <v>45000</v>
      </c>
      <c r="F25" s="862"/>
      <c r="G25" s="859"/>
      <c r="L25" s="867"/>
      <c r="M25" s="868"/>
      <c r="N25" s="869"/>
      <c r="O25" s="869"/>
      <c r="P25" s="867"/>
      <c r="Q25" s="867"/>
      <c r="R25" s="867"/>
      <c r="S25" s="859"/>
      <c r="V25" s="859"/>
    </row>
    <row r="26" spans="2:22" s="908" customFormat="1" ht="18" customHeight="1" x14ac:dyDescent="0.35">
      <c r="B26" s="909" t="s">
        <v>515</v>
      </c>
      <c r="C26" s="720"/>
      <c r="D26" s="720"/>
      <c r="E26" s="920">
        <v>-150000</v>
      </c>
      <c r="F26" s="769" t="s">
        <v>63</v>
      </c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s="913" customFormat="1" ht="18" customHeight="1" x14ac:dyDescent="0.35">
      <c r="B27" s="772" t="s">
        <v>79</v>
      </c>
      <c r="C27" s="258"/>
      <c r="D27" s="194"/>
      <c r="E27" s="731">
        <v>-4264.51</v>
      </c>
      <c r="F27" s="774" t="s">
        <v>63</v>
      </c>
      <c r="G27" s="771"/>
      <c r="L27" s="181"/>
      <c r="M27" s="184"/>
      <c r="N27" s="180"/>
      <c r="O27" s="180"/>
      <c r="P27" s="181"/>
      <c r="Q27" s="181"/>
      <c r="R27" s="181"/>
      <c r="S27" s="771"/>
      <c r="V27" s="771"/>
    </row>
    <row r="28" spans="2:22" ht="18" customHeight="1" x14ac:dyDescent="0.35">
      <c r="B28" s="1435" t="s">
        <v>11</v>
      </c>
      <c r="C28" s="1435"/>
      <c r="D28" s="1435"/>
      <c r="E28" s="602">
        <f>+E24+E25+E26+E27</f>
        <v>224296.74</v>
      </c>
      <c r="F28" s="796" t="s">
        <v>63</v>
      </c>
      <c r="G28" s="115"/>
      <c r="M28" s="189"/>
      <c r="N28" s="180"/>
      <c r="O28" s="180"/>
      <c r="P28" s="181"/>
      <c r="Q28" s="181"/>
      <c r="R28" s="181"/>
    </row>
    <row r="29" spans="2:22" ht="18" customHeight="1" x14ac:dyDescent="0.35">
      <c r="B29" s="455"/>
      <c r="C29" s="455"/>
      <c r="D29" s="455"/>
      <c r="E29" s="456"/>
      <c r="F29" s="409"/>
      <c r="G29" s="115"/>
      <c r="M29" s="189"/>
      <c r="N29" s="180"/>
      <c r="O29" s="180"/>
      <c r="P29" s="181"/>
      <c r="Q29" s="181"/>
      <c r="R29" s="181"/>
    </row>
    <row r="30" spans="2:22" ht="18" customHeight="1" x14ac:dyDescent="0.45">
      <c r="B30" s="1450" t="s">
        <v>359</v>
      </c>
      <c r="C30" s="1451"/>
      <c r="D30" s="1451"/>
      <c r="E30" s="1452"/>
      <c r="F30" s="409"/>
      <c r="G30" s="115"/>
      <c r="M30" s="185"/>
      <c r="N30" s="181"/>
      <c r="O30" s="181"/>
      <c r="P30" s="181"/>
      <c r="Q30" s="181"/>
    </row>
    <row r="31" spans="2:22" ht="18" customHeight="1" x14ac:dyDescent="0.35">
      <c r="B31" s="604" t="s">
        <v>7</v>
      </c>
      <c r="C31" s="605" t="s">
        <v>8</v>
      </c>
      <c r="D31" s="606" t="s">
        <v>4</v>
      </c>
      <c r="E31" s="606" t="s">
        <v>9</v>
      </c>
      <c r="M31" s="185"/>
      <c r="N31" s="181"/>
      <c r="O31" s="181"/>
      <c r="P31" s="184"/>
    </row>
    <row r="32" spans="2:22" ht="18" customHeight="1" x14ac:dyDescent="0.35">
      <c r="B32" s="607" t="s">
        <v>3</v>
      </c>
      <c r="C32" s="267">
        <v>194</v>
      </c>
      <c r="D32" s="211">
        <f>540*1.15</f>
        <v>621</v>
      </c>
      <c r="E32" s="211">
        <f>+C32*D32</f>
        <v>120474</v>
      </c>
      <c r="F32" s="771" t="s">
        <v>63</v>
      </c>
      <c r="G32" s="774" t="s">
        <v>63</v>
      </c>
      <c r="M32" s="182"/>
    </row>
    <row r="33" spans="2:15" ht="18" customHeight="1" x14ac:dyDescent="0.35">
      <c r="B33" s="772" t="s">
        <v>519</v>
      </c>
      <c r="C33" s="267">
        <v>8</v>
      </c>
      <c r="D33" s="211">
        <f>+D32</f>
        <v>621</v>
      </c>
      <c r="E33" s="211">
        <f>+C33*D33</f>
        <v>4968</v>
      </c>
      <c r="F33" s="774"/>
      <c r="I33" s="913"/>
      <c r="J33" s="913"/>
      <c r="K33" s="913"/>
    </row>
    <row r="34" spans="2:15" ht="18" customHeight="1" x14ac:dyDescent="0.35">
      <c r="B34" s="772" t="s">
        <v>196</v>
      </c>
      <c r="C34" s="267"/>
      <c r="D34" s="211"/>
      <c r="E34" s="211">
        <v>10000</v>
      </c>
      <c r="F34" s="774"/>
      <c r="L34" s="913"/>
    </row>
    <row r="35" spans="2:15" ht="18" customHeight="1" x14ac:dyDescent="0.35">
      <c r="B35" s="772" t="s">
        <v>6</v>
      </c>
      <c r="C35" s="267"/>
      <c r="D35" s="211"/>
      <c r="E35" s="211">
        <v>20000</v>
      </c>
      <c r="F35" s="774"/>
      <c r="L35" s="913"/>
    </row>
    <row r="36" spans="2:15" ht="18" customHeight="1" x14ac:dyDescent="0.35">
      <c r="B36" s="772" t="s">
        <v>468</v>
      </c>
      <c r="C36" s="267">
        <v>5.5</v>
      </c>
      <c r="D36" s="211">
        <f>+D32*1.5</f>
        <v>931.5</v>
      </c>
      <c r="E36" s="211">
        <f>C36*D36</f>
        <v>5123.25</v>
      </c>
      <c r="F36" s="649" t="s">
        <v>63</v>
      </c>
      <c r="G36" s="180"/>
      <c r="H36" s="180"/>
      <c r="I36" s="181"/>
      <c r="J36" s="187"/>
      <c r="K36" s="188"/>
      <c r="L36" s="913"/>
      <c r="O36" s="913"/>
    </row>
    <row r="37" spans="2:15" ht="18" customHeight="1" x14ac:dyDescent="0.35">
      <c r="B37" s="772" t="s">
        <v>521</v>
      </c>
      <c r="C37" s="267"/>
      <c r="D37" s="211"/>
      <c r="E37" s="211">
        <v>30000</v>
      </c>
      <c r="F37" s="774"/>
      <c r="G37" s="180"/>
      <c r="H37" s="180"/>
      <c r="I37" s="181"/>
      <c r="J37" s="181"/>
      <c r="K37" s="184"/>
      <c r="O37" s="919"/>
    </row>
    <row r="38" spans="2:15" ht="18" customHeight="1" x14ac:dyDescent="0.35">
      <c r="B38" s="772" t="s">
        <v>508</v>
      </c>
      <c r="C38" s="267"/>
      <c r="D38" s="211" t="s">
        <v>63</v>
      </c>
      <c r="E38" s="211" t="s">
        <v>63</v>
      </c>
      <c r="F38" s="774" t="s">
        <v>63</v>
      </c>
      <c r="G38" s="180"/>
      <c r="H38" s="180"/>
      <c r="I38" s="181"/>
      <c r="J38" s="181"/>
      <c r="K38" s="184"/>
      <c r="O38" s="913"/>
    </row>
    <row r="39" spans="2:15" s="913" customFormat="1" ht="18" customHeight="1" x14ac:dyDescent="0.35">
      <c r="B39" s="1459" t="s">
        <v>99</v>
      </c>
      <c r="C39" s="1459"/>
      <c r="D39" s="1459"/>
      <c r="E39" s="599">
        <f>+E32+E33+E34+E35+E36+E37</f>
        <v>190565.25</v>
      </c>
      <c r="F39" s="774" t="s">
        <v>63</v>
      </c>
      <c r="G39" s="180"/>
      <c r="H39" s="180"/>
      <c r="I39" s="181"/>
      <c r="J39" s="181"/>
      <c r="K39" s="184"/>
      <c r="L39" s="771"/>
      <c r="N39" s="771"/>
      <c r="O39" s="771"/>
    </row>
    <row r="40" spans="2:15" s="913" customFormat="1" ht="18" customHeight="1" x14ac:dyDescent="0.35">
      <c r="B40" s="825" t="s">
        <v>19</v>
      </c>
      <c r="C40" s="826" t="s">
        <v>63</v>
      </c>
      <c r="D40" s="823" t="s">
        <v>63</v>
      </c>
      <c r="E40" s="824">
        <v>-50000</v>
      </c>
      <c r="F40" s="774" t="s">
        <v>63</v>
      </c>
      <c r="G40" s="180"/>
      <c r="H40" s="180"/>
      <c r="I40" s="181"/>
      <c r="J40" s="181"/>
      <c r="K40" s="184"/>
      <c r="L40" s="771"/>
      <c r="N40" s="771"/>
      <c r="O40" s="771"/>
    </row>
    <row r="41" spans="2:15" ht="18" customHeight="1" x14ac:dyDescent="0.35">
      <c r="B41" s="786" t="s">
        <v>11</v>
      </c>
      <c r="C41" s="783"/>
      <c r="D41" s="783"/>
      <c r="E41" s="784">
        <f>+E39+E40</f>
        <v>140565.25</v>
      </c>
      <c r="F41" s="774" t="s">
        <v>63</v>
      </c>
      <c r="G41" s="180"/>
      <c r="H41" s="180"/>
      <c r="I41" s="181"/>
      <c r="J41" s="181"/>
      <c r="K41" s="184"/>
    </row>
    <row r="42" spans="2:15" ht="18" customHeight="1" x14ac:dyDescent="0.35">
      <c r="B42" s="594"/>
      <c r="C42" s="594"/>
      <c r="D42" s="594"/>
      <c r="E42" s="595"/>
      <c r="G42" s="180"/>
      <c r="H42" s="180"/>
      <c r="I42" s="181"/>
      <c r="J42" s="181"/>
      <c r="K42" s="184"/>
    </row>
    <row r="43" spans="2:15" ht="18" customHeight="1" x14ac:dyDescent="0.35">
      <c r="B43" s="594"/>
      <c r="C43" s="594"/>
      <c r="D43" s="594"/>
      <c r="E43" s="595"/>
      <c r="G43" s="180"/>
      <c r="H43" s="180"/>
      <c r="I43" s="181"/>
      <c r="J43" s="181"/>
      <c r="K43" s="184"/>
    </row>
    <row r="44" spans="2:15" ht="18" customHeight="1" x14ac:dyDescent="0.35">
      <c r="B44" s="1431" t="s">
        <v>0</v>
      </c>
      <c r="C44" s="1431"/>
      <c r="D44" s="1431"/>
      <c r="E44" s="1431"/>
      <c r="G44" s="180"/>
      <c r="H44" s="180"/>
      <c r="I44" s="181"/>
      <c r="J44" s="181"/>
      <c r="K44" s="184"/>
    </row>
    <row r="45" spans="2:15" ht="18" customHeight="1" x14ac:dyDescent="0.35">
      <c r="B45" s="2" t="s">
        <v>7</v>
      </c>
      <c r="C45" s="270" t="s">
        <v>8</v>
      </c>
      <c r="D45" s="217" t="s">
        <v>4</v>
      </c>
      <c r="E45" s="597" t="s">
        <v>9</v>
      </c>
      <c r="G45" s="180"/>
      <c r="H45" s="180"/>
      <c r="I45" s="181"/>
      <c r="J45" s="181"/>
      <c r="K45" s="184"/>
    </row>
    <row r="46" spans="2:15" ht="18" customHeight="1" x14ac:dyDescent="0.35">
      <c r="B46" s="772" t="s">
        <v>253</v>
      </c>
      <c r="C46" s="258">
        <v>194</v>
      </c>
      <c r="D46" s="194">
        <f>750*1.15</f>
        <v>862.49999999999989</v>
      </c>
      <c r="E46" s="598">
        <f>+C46*D46</f>
        <v>167324.99999999997</v>
      </c>
      <c r="F46" s="771" t="s">
        <v>63</v>
      </c>
      <c r="G46" s="906" t="s">
        <v>63</v>
      </c>
      <c r="H46" s="180"/>
      <c r="I46" s="181"/>
      <c r="J46" s="181"/>
      <c r="K46" s="184"/>
    </row>
    <row r="47" spans="2:15" ht="18" customHeight="1" x14ac:dyDescent="0.35">
      <c r="B47" s="772" t="s">
        <v>520</v>
      </c>
      <c r="C47" s="258">
        <v>8</v>
      </c>
      <c r="D47" s="194">
        <f>+D46</f>
        <v>862.49999999999989</v>
      </c>
      <c r="E47" s="598">
        <f>+C47*D47</f>
        <v>6899.9999999999991</v>
      </c>
      <c r="F47" s="774" t="s">
        <v>63</v>
      </c>
      <c r="G47" s="180"/>
      <c r="H47" s="180"/>
      <c r="I47" s="181"/>
      <c r="J47" s="181"/>
      <c r="K47" s="184"/>
    </row>
    <row r="48" spans="2:15" ht="15" customHeight="1" x14ac:dyDescent="0.35">
      <c r="B48" s="772" t="s">
        <v>196</v>
      </c>
      <c r="C48" s="258"/>
      <c r="D48" s="194"/>
      <c r="E48" s="598">
        <v>10000</v>
      </c>
      <c r="G48" s="180"/>
      <c r="H48" s="180"/>
      <c r="I48" s="181"/>
      <c r="J48" s="181"/>
      <c r="K48" s="184"/>
      <c r="L48" s="913"/>
    </row>
    <row r="49" spans="2:22" ht="15" customHeight="1" x14ac:dyDescent="0.35">
      <c r="B49" s="772" t="s">
        <v>6</v>
      </c>
      <c r="C49" s="258"/>
      <c r="D49" s="194"/>
      <c r="E49" s="598">
        <v>20000</v>
      </c>
      <c r="G49" s="180"/>
      <c r="H49" s="180"/>
      <c r="I49" s="181"/>
      <c r="J49" s="181"/>
      <c r="K49" s="184"/>
      <c r="L49" s="913"/>
    </row>
    <row r="50" spans="2:22" ht="15" customHeight="1" x14ac:dyDescent="0.35">
      <c r="B50" s="772" t="s">
        <v>195</v>
      </c>
      <c r="C50" s="315">
        <v>0.45</v>
      </c>
      <c r="D50" s="194">
        <f>+D46*1.5</f>
        <v>1293.7499999999998</v>
      </c>
      <c r="E50" s="598">
        <f>+C50*D50</f>
        <v>582.18749999999989</v>
      </c>
      <c r="G50" s="180"/>
      <c r="H50" s="180"/>
      <c r="I50" s="181"/>
      <c r="J50" s="181"/>
      <c r="K50" s="184"/>
      <c r="L50" s="913"/>
    </row>
    <row r="51" spans="2:22" ht="15" customHeight="1" x14ac:dyDescent="0.35">
      <c r="B51" s="772" t="s">
        <v>449</v>
      </c>
      <c r="C51" s="315" t="s">
        <v>63</v>
      </c>
      <c r="D51" s="194" t="s">
        <v>63</v>
      </c>
      <c r="E51" s="598" t="s">
        <v>63</v>
      </c>
      <c r="G51" s="180"/>
      <c r="H51" s="180"/>
      <c r="I51" s="181"/>
      <c r="J51" s="181"/>
      <c r="K51" s="184"/>
      <c r="L51" s="913"/>
    </row>
    <row r="52" spans="2:22" ht="15" customHeight="1" x14ac:dyDescent="0.35">
      <c r="B52" s="772" t="s">
        <v>521</v>
      </c>
      <c r="C52" s="315"/>
      <c r="D52" s="194"/>
      <c r="E52" s="598">
        <v>30000</v>
      </c>
      <c r="G52" s="180"/>
      <c r="H52" s="180"/>
      <c r="I52" s="181"/>
      <c r="J52" s="181"/>
      <c r="K52" s="184"/>
      <c r="L52" s="919"/>
    </row>
    <row r="53" spans="2:22" ht="15" customHeight="1" x14ac:dyDescent="0.35">
      <c r="B53" s="772" t="s">
        <v>531</v>
      </c>
      <c r="C53" s="258">
        <v>2</v>
      </c>
      <c r="D53" s="194">
        <v>3000</v>
      </c>
      <c r="E53" s="598">
        <f>+C53*D53</f>
        <v>6000</v>
      </c>
      <c r="F53" s="774" t="s">
        <v>63</v>
      </c>
      <c r="M53" s="176"/>
      <c r="N53" s="180"/>
      <c r="O53" s="180"/>
      <c r="P53" s="181"/>
      <c r="Q53" s="181"/>
      <c r="R53" s="184"/>
    </row>
    <row r="54" spans="2:22" ht="15" customHeight="1" x14ac:dyDescent="0.35">
      <c r="B54" s="1432" t="s">
        <v>99</v>
      </c>
      <c r="C54" s="1432"/>
      <c r="D54" s="1432"/>
      <c r="E54" s="599">
        <f>+E46+E47+E48+E49+E50+E52+E53</f>
        <v>240807.18749999997</v>
      </c>
      <c r="F54" s="774" t="s">
        <v>63</v>
      </c>
      <c r="G54" s="774" t="s">
        <v>63</v>
      </c>
      <c r="M54" s="176"/>
      <c r="N54" s="176"/>
      <c r="O54" s="176"/>
      <c r="P54" s="181"/>
      <c r="Q54" s="181"/>
      <c r="R54" s="184"/>
      <c r="T54" s="913"/>
    </row>
    <row r="55" spans="2:22" s="913" customFormat="1" ht="15" customHeight="1" x14ac:dyDescent="0.35">
      <c r="B55" s="723" t="s">
        <v>333</v>
      </c>
      <c r="C55" s="727" t="s">
        <v>63</v>
      </c>
      <c r="D55" s="727" t="s">
        <v>63</v>
      </c>
      <c r="E55" s="722">
        <v>-112102.83</v>
      </c>
      <c r="F55" s="649" t="s">
        <v>63</v>
      </c>
      <c r="G55" s="771"/>
      <c r="H55" s="771"/>
      <c r="I55" s="771"/>
      <c r="J55" s="771"/>
      <c r="K55" s="771"/>
      <c r="L55" s="771"/>
      <c r="M55" s="176"/>
      <c r="N55" s="176"/>
      <c r="O55" s="176"/>
      <c r="P55" s="176"/>
      <c r="Q55" s="176"/>
      <c r="R55" s="176"/>
      <c r="S55" s="771"/>
      <c r="T55" s="771"/>
      <c r="U55" s="771"/>
      <c r="V55" s="771"/>
    </row>
    <row r="56" spans="2:22" s="913" customFormat="1" ht="15" customHeight="1" x14ac:dyDescent="0.35">
      <c r="B56" s="672"/>
      <c r="C56" s="673" t="s">
        <v>11</v>
      </c>
      <c r="D56" s="674"/>
      <c r="E56" s="675">
        <f>+E54+E55</f>
        <v>128704.35749999997</v>
      </c>
      <c r="F56" s="649" t="s">
        <v>63</v>
      </c>
      <c r="G56" s="771"/>
      <c r="H56" s="771"/>
      <c r="I56" s="771"/>
      <c r="J56" s="771"/>
      <c r="K56" s="771"/>
      <c r="L56" s="771"/>
      <c r="M56" s="176"/>
      <c r="N56" s="176"/>
      <c r="O56" s="176"/>
      <c r="P56" s="176"/>
      <c r="Q56" s="176"/>
      <c r="R56" s="176"/>
      <c r="S56" s="771"/>
      <c r="T56" s="771"/>
      <c r="U56" s="771"/>
      <c r="V56" s="771"/>
    </row>
    <row r="57" spans="2:22" ht="15" customHeight="1" x14ac:dyDescent="0.35">
      <c r="C57" s="771"/>
      <c r="D57" s="771"/>
      <c r="E57" s="771"/>
      <c r="N57" s="183"/>
      <c r="O57" s="183"/>
      <c r="P57" s="176"/>
      <c r="Q57" s="176"/>
      <c r="R57" s="176"/>
      <c r="T57" s="913"/>
    </row>
    <row r="58" spans="2:22" ht="15" customHeight="1" x14ac:dyDescent="0.35">
      <c r="C58" s="771"/>
      <c r="D58" s="771"/>
      <c r="E58" s="774" t="s">
        <v>63</v>
      </c>
    </row>
    <row r="59" spans="2:22" ht="15" customHeight="1" x14ac:dyDescent="0.35">
      <c r="B59" s="1442" t="s">
        <v>263</v>
      </c>
      <c r="C59" s="1443"/>
      <c r="D59" s="1443"/>
      <c r="E59" s="1444"/>
      <c r="V59" s="913"/>
    </row>
    <row r="60" spans="2:22" x14ac:dyDescent="0.35">
      <c r="B60" s="2" t="s">
        <v>7</v>
      </c>
      <c r="C60" s="270" t="s">
        <v>8</v>
      </c>
      <c r="D60" s="217" t="s">
        <v>4</v>
      </c>
      <c r="E60" s="597" t="s">
        <v>9</v>
      </c>
    </row>
    <row r="61" spans="2:22" x14ac:dyDescent="0.35">
      <c r="B61" s="772" t="s">
        <v>501</v>
      </c>
      <c r="C61" s="258">
        <v>194</v>
      </c>
      <c r="D61" s="227">
        <f>520*1.15</f>
        <v>598</v>
      </c>
      <c r="E61" s="598">
        <f>+C61*D61</f>
        <v>116012</v>
      </c>
      <c r="F61" s="774" t="s">
        <v>63</v>
      </c>
    </row>
    <row r="62" spans="2:22" x14ac:dyDescent="0.35">
      <c r="B62" s="772" t="s">
        <v>526</v>
      </c>
      <c r="C62" s="258">
        <v>8</v>
      </c>
      <c r="D62" s="227">
        <f>+D61</f>
        <v>598</v>
      </c>
      <c r="E62" s="598">
        <f>+C62*D62</f>
        <v>4784</v>
      </c>
    </row>
    <row r="63" spans="2:22" x14ac:dyDescent="0.35">
      <c r="B63" s="772" t="s">
        <v>490</v>
      </c>
      <c r="C63" s="258"/>
      <c r="D63" s="227"/>
      <c r="E63" s="598">
        <v>10000</v>
      </c>
    </row>
    <row r="64" spans="2:22" x14ac:dyDescent="0.35">
      <c r="B64" s="772" t="s">
        <v>489</v>
      </c>
      <c r="C64" s="258"/>
      <c r="D64" s="227"/>
      <c r="E64" s="598">
        <v>20000</v>
      </c>
    </row>
    <row r="65" spans="2:7" x14ac:dyDescent="0.35">
      <c r="B65" s="772" t="s">
        <v>195</v>
      </c>
      <c r="C65" s="258">
        <v>8</v>
      </c>
      <c r="D65" s="194">
        <f>+D61*1.5</f>
        <v>897</v>
      </c>
      <c r="E65" s="598">
        <f>+C65*D65</f>
        <v>7176</v>
      </c>
      <c r="F65" s="774" t="s">
        <v>63</v>
      </c>
      <c r="G65" s="774" t="s">
        <v>63</v>
      </c>
    </row>
    <row r="66" spans="2:7" x14ac:dyDescent="0.35">
      <c r="B66" s="772" t="s">
        <v>449</v>
      </c>
      <c r="C66" s="258" t="s">
        <v>63</v>
      </c>
      <c r="D66" s="194" t="s">
        <v>63</v>
      </c>
      <c r="E66" s="598" t="s">
        <v>63</v>
      </c>
      <c r="G66" s="774"/>
    </row>
    <row r="67" spans="2:7" x14ac:dyDescent="0.35">
      <c r="B67" s="772" t="s">
        <v>521</v>
      </c>
      <c r="C67" s="258" t="s">
        <v>63</v>
      </c>
      <c r="D67" s="194" t="s">
        <v>63</v>
      </c>
      <c r="E67" s="598">
        <v>30000</v>
      </c>
    </row>
    <row r="68" spans="2:7" x14ac:dyDescent="0.35">
      <c r="B68" s="1439" t="s">
        <v>99</v>
      </c>
      <c r="C68" s="1440"/>
      <c r="D68" s="1441"/>
      <c r="E68" s="599">
        <f>+E61+E62+E63+E64+E65+E67</f>
        <v>187972</v>
      </c>
      <c r="F68" s="774" t="s">
        <v>63</v>
      </c>
    </row>
    <row r="69" spans="2:7" x14ac:dyDescent="0.35">
      <c r="B69" s="921" t="s">
        <v>527</v>
      </c>
      <c r="C69" s="922">
        <f>+E61+E62+E63+E64</f>
        <v>150796</v>
      </c>
      <c r="D69" s="720"/>
      <c r="E69" s="722">
        <v>-15079.6</v>
      </c>
      <c r="F69" s="774" t="s">
        <v>63</v>
      </c>
    </row>
    <row r="70" spans="2:7" x14ac:dyDescent="0.35">
      <c r="B70" s="672"/>
      <c r="C70" s="673" t="s">
        <v>11</v>
      </c>
      <c r="D70" s="674"/>
      <c r="E70" s="675">
        <f>+E68+E69</f>
        <v>172892.4</v>
      </c>
      <c r="F70" s="774" t="s">
        <v>63</v>
      </c>
    </row>
    <row r="71" spans="2:7" x14ac:dyDescent="0.35">
      <c r="C71" s="771"/>
      <c r="D71" s="771"/>
      <c r="E71" s="771"/>
    </row>
    <row r="73" spans="2:7" ht="21" customHeight="1" x14ac:dyDescent="0.35">
      <c r="B73" s="1442" t="s">
        <v>354</v>
      </c>
      <c r="C73" s="1443"/>
      <c r="D73" s="1443"/>
      <c r="E73" s="1444"/>
    </row>
    <row r="74" spans="2:7" ht="21" customHeight="1" x14ac:dyDescent="0.35">
      <c r="B74" s="2" t="s">
        <v>7</v>
      </c>
      <c r="C74" s="270" t="s">
        <v>8</v>
      </c>
      <c r="D74" s="217" t="s">
        <v>4</v>
      </c>
      <c r="E74" s="597" t="s">
        <v>9</v>
      </c>
    </row>
    <row r="75" spans="2:7" ht="14.5" customHeight="1" x14ac:dyDescent="0.35">
      <c r="B75" s="772" t="s">
        <v>3</v>
      </c>
      <c r="C75" s="258">
        <v>194</v>
      </c>
      <c r="D75" s="227">
        <f>460*1.2</f>
        <v>552</v>
      </c>
      <c r="E75" s="598">
        <f>+C75*D75</f>
        <v>107088</v>
      </c>
      <c r="F75" s="771" t="s">
        <v>63</v>
      </c>
    </row>
    <row r="76" spans="2:7" ht="13.5" customHeight="1" x14ac:dyDescent="0.35">
      <c r="B76" s="772" t="s">
        <v>528</v>
      </c>
      <c r="C76" s="258">
        <v>8</v>
      </c>
      <c r="D76" s="227">
        <v>552</v>
      </c>
      <c r="E76" s="598">
        <f>+C76*D76</f>
        <v>4416</v>
      </c>
    </row>
    <row r="77" spans="2:7" x14ac:dyDescent="0.35">
      <c r="B77" s="772" t="s">
        <v>266</v>
      </c>
      <c r="C77" s="258"/>
      <c r="D77" s="227"/>
      <c r="E77" s="598">
        <v>10000</v>
      </c>
    </row>
    <row r="78" spans="2:7" x14ac:dyDescent="0.35">
      <c r="B78" s="772" t="s">
        <v>6</v>
      </c>
      <c r="C78" s="258"/>
      <c r="D78" s="227"/>
      <c r="E78" s="598">
        <v>20000</v>
      </c>
    </row>
    <row r="79" spans="2:7" x14ac:dyDescent="0.35">
      <c r="B79" s="772" t="s">
        <v>195</v>
      </c>
      <c r="C79" s="258">
        <v>8</v>
      </c>
      <c r="D79" s="194">
        <f>+D75*1.5</f>
        <v>828</v>
      </c>
      <c r="E79" s="598">
        <f>+C79*D79</f>
        <v>6624</v>
      </c>
      <c r="F79" s="774" t="s">
        <v>63</v>
      </c>
    </row>
    <row r="80" spans="2:7" x14ac:dyDescent="0.35">
      <c r="B80" s="772" t="s">
        <v>449</v>
      </c>
      <c r="C80" s="258" t="s">
        <v>63</v>
      </c>
      <c r="D80" s="194" t="s">
        <v>63</v>
      </c>
      <c r="E80" s="598" t="s">
        <v>63</v>
      </c>
      <c r="F80" s="774" t="s">
        <v>63</v>
      </c>
    </row>
    <row r="81" spans="2:7" x14ac:dyDescent="0.35">
      <c r="B81" s="772" t="s">
        <v>529</v>
      </c>
      <c r="C81" s="258"/>
      <c r="D81" s="194"/>
      <c r="E81" s="598">
        <v>30000</v>
      </c>
    </row>
    <row r="82" spans="2:7" x14ac:dyDescent="0.35">
      <c r="B82" s="772" t="s">
        <v>303</v>
      </c>
      <c r="C82" s="258" t="s">
        <v>63</v>
      </c>
      <c r="D82" s="194" t="s">
        <v>63</v>
      </c>
      <c r="E82" s="598">
        <v>20000</v>
      </c>
    </row>
    <row r="83" spans="2:7" x14ac:dyDescent="0.35">
      <c r="B83" s="1439" t="s">
        <v>99</v>
      </c>
      <c r="C83" s="1440"/>
      <c r="D83" s="1441"/>
      <c r="E83" s="599">
        <f>+E75+E76+E77+E78+E79+E81+E82</f>
        <v>198128</v>
      </c>
      <c r="F83" s="774" t="s">
        <v>63</v>
      </c>
      <c r="G83" s="774" t="s">
        <v>63</v>
      </c>
    </row>
    <row r="84" spans="2:7" x14ac:dyDescent="0.35">
      <c r="B84" s="723" t="s">
        <v>19</v>
      </c>
      <c r="C84" s="720" t="s">
        <v>63</v>
      </c>
      <c r="D84" s="720"/>
      <c r="E84" s="722">
        <v>-60000</v>
      </c>
      <c r="F84" s="774" t="s">
        <v>63</v>
      </c>
    </row>
    <row r="85" spans="2:7" s="760" customFormat="1" ht="21" x14ac:dyDescent="0.5">
      <c r="B85" s="756"/>
      <c r="C85" s="757" t="s">
        <v>11</v>
      </c>
      <c r="D85" s="758"/>
      <c r="E85" s="759">
        <f>+E83+E84</f>
        <v>138128</v>
      </c>
      <c r="F85" s="797" t="s">
        <v>63</v>
      </c>
    </row>
    <row r="88" spans="2:7" ht="23.5" x14ac:dyDescent="0.35">
      <c r="B88" s="1442" t="s">
        <v>260</v>
      </c>
      <c r="C88" s="1443"/>
      <c r="D88" s="1443"/>
      <c r="E88" s="1444"/>
    </row>
    <row r="89" spans="2:7" x14ac:dyDescent="0.35">
      <c r="B89" s="2" t="s">
        <v>7</v>
      </c>
      <c r="C89" s="270" t="s">
        <v>8</v>
      </c>
      <c r="D89" s="217" t="s">
        <v>4</v>
      </c>
      <c r="E89" s="597" t="s">
        <v>9</v>
      </c>
    </row>
    <row r="90" spans="2:7" x14ac:dyDescent="0.35">
      <c r="B90" s="772" t="s">
        <v>3</v>
      </c>
      <c r="C90" s="258">
        <v>160</v>
      </c>
      <c r="D90" s="194">
        <f>700*1.15</f>
        <v>804.99999999999989</v>
      </c>
      <c r="E90" s="598">
        <f>+C90*D90</f>
        <v>128799.99999999999</v>
      </c>
      <c r="F90" s="774" t="s">
        <v>63</v>
      </c>
    </row>
    <row r="91" spans="2:7" x14ac:dyDescent="0.35">
      <c r="B91" s="772" t="s">
        <v>530</v>
      </c>
      <c r="C91" s="258">
        <v>7</v>
      </c>
      <c r="D91" s="194">
        <f>+D90</f>
        <v>804.99999999999989</v>
      </c>
      <c r="E91" s="609">
        <f>+C91*D91</f>
        <v>5634.9999999999991</v>
      </c>
    </row>
    <row r="92" spans="2:7" x14ac:dyDescent="0.35">
      <c r="B92" s="772" t="s">
        <v>6</v>
      </c>
      <c r="C92" s="258"/>
      <c r="D92" s="194"/>
      <c r="E92" s="609">
        <v>15000</v>
      </c>
    </row>
    <row r="93" spans="2:7" x14ac:dyDescent="0.35">
      <c r="B93" s="614" t="s">
        <v>200</v>
      </c>
      <c r="C93" s="617"/>
      <c r="D93" s="227"/>
      <c r="E93" s="609">
        <v>10000</v>
      </c>
      <c r="F93" s="774" t="s">
        <v>63</v>
      </c>
    </row>
    <row r="94" spans="2:7" x14ac:dyDescent="0.35">
      <c r="B94" s="614" t="s">
        <v>521</v>
      </c>
      <c r="C94" s="617"/>
      <c r="D94" s="227"/>
      <c r="E94" s="609">
        <v>30000</v>
      </c>
      <c r="F94" s="774"/>
    </row>
    <row r="95" spans="2:7" s="764" customFormat="1" x14ac:dyDescent="0.35">
      <c r="B95" s="882" t="s">
        <v>99</v>
      </c>
      <c r="C95" s="883"/>
      <c r="D95" s="883"/>
      <c r="E95" s="884">
        <f>+E90+E91+E92+E93+E94</f>
        <v>189434.99999999997</v>
      </c>
      <c r="F95" s="769" t="s">
        <v>63</v>
      </c>
    </row>
    <row r="96" spans="2:7" x14ac:dyDescent="0.35">
      <c r="B96" s="615" t="s">
        <v>374</v>
      </c>
      <c r="C96" s="709"/>
      <c r="D96" s="619"/>
      <c r="E96" s="710">
        <v>-40000</v>
      </c>
      <c r="F96" s="774" t="s">
        <v>63</v>
      </c>
    </row>
    <row r="97" spans="2:7" ht="15.5" x14ac:dyDescent="0.35">
      <c r="B97" s="705" t="s">
        <v>11</v>
      </c>
      <c r="C97" s="708"/>
      <c r="D97" s="706"/>
      <c r="E97" s="603">
        <f>+E95+E96</f>
        <v>149434.99999999997</v>
      </c>
      <c r="F97" s="774" t="s">
        <v>63</v>
      </c>
    </row>
    <row r="98" spans="2:7" x14ac:dyDescent="0.35">
      <c r="F98" s="774" t="s">
        <v>63</v>
      </c>
    </row>
    <row r="100" spans="2:7" ht="23.5" x14ac:dyDescent="0.35">
      <c r="B100" s="1442" t="s">
        <v>264</v>
      </c>
      <c r="C100" s="1443"/>
      <c r="D100" s="1443"/>
      <c r="E100" s="1444"/>
    </row>
    <row r="101" spans="2:7" x14ac:dyDescent="0.35">
      <c r="B101" s="2" t="s">
        <v>7</v>
      </c>
      <c r="C101" s="270" t="s">
        <v>8</v>
      </c>
      <c r="D101" s="217" t="s">
        <v>4</v>
      </c>
      <c r="E101" s="597" t="s">
        <v>9</v>
      </c>
    </row>
    <row r="102" spans="2:7" x14ac:dyDescent="0.35">
      <c r="B102" s="772" t="s">
        <v>3</v>
      </c>
      <c r="C102" s="258">
        <v>194</v>
      </c>
      <c r="D102" s="227">
        <f>450*1.2</f>
        <v>540</v>
      </c>
      <c r="E102" s="598">
        <f>+C102*D102</f>
        <v>104760</v>
      </c>
      <c r="F102" s="771" t="s">
        <v>63</v>
      </c>
    </row>
    <row r="103" spans="2:7" x14ac:dyDescent="0.35">
      <c r="B103" s="772" t="s">
        <v>530</v>
      </c>
      <c r="C103" s="258">
        <v>8</v>
      </c>
      <c r="D103" s="227">
        <f>+D102</f>
        <v>540</v>
      </c>
      <c r="E103" s="598">
        <f>+C103*D103</f>
        <v>4320</v>
      </c>
    </row>
    <row r="104" spans="2:7" x14ac:dyDescent="0.35">
      <c r="B104" s="772" t="s">
        <v>196</v>
      </c>
      <c r="C104" s="258"/>
      <c r="D104" s="227"/>
      <c r="E104" s="598">
        <v>10000</v>
      </c>
    </row>
    <row r="105" spans="2:7" x14ac:dyDescent="0.35">
      <c r="B105" s="772" t="s">
        <v>6</v>
      </c>
      <c r="C105" s="258" t="s">
        <v>63</v>
      </c>
      <c r="D105" s="227" t="s">
        <v>63</v>
      </c>
      <c r="E105" s="598">
        <v>10000</v>
      </c>
    </row>
    <row r="106" spans="2:7" x14ac:dyDescent="0.35">
      <c r="B106" s="772" t="s">
        <v>270</v>
      </c>
      <c r="C106" s="258">
        <v>5</v>
      </c>
      <c r="D106" s="227">
        <f>+D102*1.5</f>
        <v>810</v>
      </c>
      <c r="E106" s="598">
        <f>+C106*D106</f>
        <v>4050</v>
      </c>
      <c r="F106" s="774" t="s">
        <v>63</v>
      </c>
    </row>
    <row r="107" spans="2:7" x14ac:dyDescent="0.35">
      <c r="B107" s="772" t="s">
        <v>281</v>
      </c>
      <c r="C107" s="258" t="s">
        <v>63</v>
      </c>
      <c r="D107" s="227" t="s">
        <v>63</v>
      </c>
      <c r="E107" s="598" t="s">
        <v>63</v>
      </c>
    </row>
    <row r="108" spans="2:7" x14ac:dyDescent="0.35">
      <c r="B108" s="772" t="s">
        <v>521</v>
      </c>
      <c r="C108" s="258"/>
      <c r="D108" s="227"/>
      <c r="E108" s="598">
        <v>30000</v>
      </c>
    </row>
    <row r="109" spans="2:7" x14ac:dyDescent="0.35">
      <c r="B109" s="1439" t="s">
        <v>99</v>
      </c>
      <c r="C109" s="1440"/>
      <c r="D109" s="1441"/>
      <c r="E109" s="599">
        <f>+E102+E103+E104+E105+E106+E108</f>
        <v>163130</v>
      </c>
      <c r="F109" s="774" t="s">
        <v>63</v>
      </c>
    </row>
    <row r="110" spans="2:7" x14ac:dyDescent="0.35">
      <c r="B110" s="723" t="s">
        <v>50</v>
      </c>
      <c r="C110" s="721"/>
      <c r="D110" s="721"/>
      <c r="E110" s="722">
        <v>-10000</v>
      </c>
      <c r="F110" s="774" t="s">
        <v>63</v>
      </c>
      <c r="G110" s="774" t="s">
        <v>63</v>
      </c>
    </row>
    <row r="111" spans="2:7" s="106" customFormat="1" x14ac:dyDescent="0.35">
      <c r="B111" s="738" t="s">
        <v>517</v>
      </c>
      <c r="C111" s="738" t="s">
        <v>63</v>
      </c>
      <c r="D111" s="738"/>
      <c r="E111" s="736">
        <v>3000</v>
      </c>
    </row>
    <row r="112" spans="2:7" ht="15.5" x14ac:dyDescent="0.35">
      <c r="B112" s="1446" t="s">
        <v>11</v>
      </c>
      <c r="C112" s="1447"/>
      <c r="D112" s="1448"/>
      <c r="E112" s="603">
        <f>+E109+E110+E111</f>
        <v>156130</v>
      </c>
      <c r="F112" s="774" t="s">
        <v>63</v>
      </c>
    </row>
    <row r="115" spans="2:8" ht="23.5" x14ac:dyDescent="0.35">
      <c r="B115" s="1442" t="s">
        <v>456</v>
      </c>
      <c r="C115" s="1443"/>
      <c r="D115" s="1443"/>
      <c r="E115" s="1444"/>
    </row>
    <row r="116" spans="2:8" x14ac:dyDescent="0.35">
      <c r="B116" s="801" t="s">
        <v>7</v>
      </c>
      <c r="C116" s="802" t="s">
        <v>388</v>
      </c>
      <c r="D116" s="803" t="s">
        <v>272</v>
      </c>
      <c r="E116" s="804" t="s">
        <v>9</v>
      </c>
    </row>
    <row r="117" spans="2:8" x14ac:dyDescent="0.35">
      <c r="B117" s="805" t="s">
        <v>3</v>
      </c>
      <c r="C117" s="806">
        <v>194</v>
      </c>
      <c r="D117" s="807">
        <f>500*1.2</f>
        <v>600</v>
      </c>
      <c r="E117" s="833">
        <f>+C117*D117</f>
        <v>116400</v>
      </c>
      <c r="F117" s="771" t="s">
        <v>63</v>
      </c>
    </row>
    <row r="118" spans="2:8" x14ac:dyDescent="0.35">
      <c r="B118" s="805" t="s">
        <v>316</v>
      </c>
      <c r="C118" s="806">
        <v>8</v>
      </c>
      <c r="D118" s="807">
        <v>600</v>
      </c>
      <c r="E118" s="833">
        <f>+C118*D118</f>
        <v>4800</v>
      </c>
    </row>
    <row r="119" spans="2:8" x14ac:dyDescent="0.35">
      <c r="B119" s="805" t="s">
        <v>6</v>
      </c>
      <c r="C119" s="806" t="s">
        <v>63</v>
      </c>
      <c r="D119" s="807" t="s">
        <v>63</v>
      </c>
      <c r="E119" s="834">
        <v>10000</v>
      </c>
    </row>
    <row r="120" spans="2:8" x14ac:dyDescent="0.35">
      <c r="B120" s="614" t="s">
        <v>200</v>
      </c>
      <c r="C120" s="617"/>
      <c r="D120" s="227"/>
      <c r="E120" s="598">
        <v>10000</v>
      </c>
    </row>
    <row r="121" spans="2:8" x14ac:dyDescent="0.35">
      <c r="B121" s="614" t="s">
        <v>475</v>
      </c>
      <c r="C121" s="617">
        <v>2.5</v>
      </c>
      <c r="D121" s="227">
        <f>+D117*1.5</f>
        <v>900</v>
      </c>
      <c r="E121" s="598">
        <f>+C121*D121</f>
        <v>2250</v>
      </c>
    </row>
    <row r="122" spans="2:8" x14ac:dyDescent="0.35">
      <c r="B122" s="614" t="s">
        <v>476</v>
      </c>
      <c r="C122" s="617" t="s">
        <v>63</v>
      </c>
      <c r="D122" s="227" t="s">
        <v>63</v>
      </c>
      <c r="E122" s="598" t="s">
        <v>63</v>
      </c>
    </row>
    <row r="123" spans="2:8" x14ac:dyDescent="0.35">
      <c r="B123" s="614" t="s">
        <v>517</v>
      </c>
      <c r="C123" s="617"/>
      <c r="D123" s="227"/>
      <c r="E123" s="598">
        <v>10000</v>
      </c>
    </row>
    <row r="124" spans="2:8" x14ac:dyDescent="0.35">
      <c r="B124" s="812" t="s">
        <v>521</v>
      </c>
      <c r="C124" s="813"/>
      <c r="D124" s="814"/>
      <c r="E124" s="598">
        <v>30000</v>
      </c>
    </row>
    <row r="125" spans="2:8" ht="15.5" x14ac:dyDescent="0.35">
      <c r="B125" s="1446" t="s">
        <v>389</v>
      </c>
      <c r="C125" s="1447"/>
      <c r="D125" s="1448"/>
      <c r="E125" s="603">
        <f>+E117+E118+E119+E120+E121+E123+E124</f>
        <v>183450</v>
      </c>
      <c r="F125" s="774" t="s">
        <v>63</v>
      </c>
    </row>
    <row r="126" spans="2:8" ht="15.5" x14ac:dyDescent="0.35">
      <c r="B126" s="831" t="s">
        <v>63</v>
      </c>
      <c r="C126" s="829"/>
      <c r="D126" s="829"/>
      <c r="E126" s="830" t="s">
        <v>63</v>
      </c>
      <c r="F126" s="771" t="s">
        <v>63</v>
      </c>
      <c r="G126" s="771" t="s">
        <v>63</v>
      </c>
      <c r="H126" s="771" t="s">
        <v>63</v>
      </c>
    </row>
    <row r="127" spans="2:8" ht="15.5" x14ac:dyDescent="0.35">
      <c r="B127" s="611" t="s">
        <v>11</v>
      </c>
      <c r="C127" s="917"/>
      <c r="D127" s="917"/>
      <c r="E127" s="603">
        <f>+E117+E118+E119+E120+E121+E123+E124</f>
        <v>183450</v>
      </c>
    </row>
    <row r="128" spans="2:8" x14ac:dyDescent="0.35">
      <c r="E128" s="203" t="s">
        <v>63</v>
      </c>
    </row>
    <row r="136" spans="2:5" ht="23.5" x14ac:dyDescent="0.35">
      <c r="B136" s="1442" t="s">
        <v>518</v>
      </c>
      <c r="C136" s="1443"/>
      <c r="D136" s="1443"/>
      <c r="E136" s="1444"/>
    </row>
    <row r="137" spans="2:5" x14ac:dyDescent="0.35">
      <c r="B137" s="801"/>
      <c r="C137" s="802"/>
      <c r="D137" s="803"/>
      <c r="E137" s="804"/>
    </row>
    <row r="138" spans="2:5" x14ac:dyDescent="0.35">
      <c r="B138" s="772" t="s">
        <v>3</v>
      </c>
      <c r="C138" s="258">
        <v>123</v>
      </c>
      <c r="D138" s="227">
        <v>540</v>
      </c>
      <c r="E138" s="598">
        <f>+C138*D138</f>
        <v>66420</v>
      </c>
    </row>
    <row r="139" spans="2:5" x14ac:dyDescent="0.35">
      <c r="B139" s="772" t="s">
        <v>200</v>
      </c>
      <c r="C139" s="258"/>
      <c r="D139" s="227"/>
      <c r="E139" s="598">
        <v>5000</v>
      </c>
    </row>
    <row r="140" spans="2:5" x14ac:dyDescent="0.35">
      <c r="B140" s="772" t="s">
        <v>6</v>
      </c>
      <c r="C140" s="258"/>
      <c r="D140" s="227"/>
      <c r="E140" s="598">
        <v>5000</v>
      </c>
    </row>
    <row r="141" spans="2:5" x14ac:dyDescent="0.35">
      <c r="B141" s="772"/>
      <c r="C141" s="258"/>
      <c r="D141" s="227"/>
      <c r="E141" s="598"/>
    </row>
    <row r="142" spans="2:5" x14ac:dyDescent="0.35">
      <c r="B142" s="772"/>
      <c r="C142" s="258"/>
      <c r="D142" s="227"/>
      <c r="E142" s="598"/>
    </row>
    <row r="143" spans="2:5" x14ac:dyDescent="0.35">
      <c r="B143" s="772"/>
      <c r="C143" s="258"/>
      <c r="D143" s="227"/>
      <c r="E143" s="598"/>
    </row>
    <row r="144" spans="2:5" x14ac:dyDescent="0.35">
      <c r="B144" s="889"/>
      <c r="C144" s="890"/>
      <c r="D144" s="814"/>
      <c r="E144" s="598"/>
    </row>
    <row r="145" spans="2:6" x14ac:dyDescent="0.35">
      <c r="B145" s="1439" t="s">
        <v>389</v>
      </c>
      <c r="C145" s="1440"/>
      <c r="D145" s="1441"/>
      <c r="E145" s="599">
        <f>+E138+E139+E140</f>
        <v>76420</v>
      </c>
    </row>
    <row r="146" spans="2:6" x14ac:dyDescent="0.35">
      <c r="B146" s="831"/>
      <c r="C146" s="829"/>
      <c r="D146" s="829"/>
      <c r="E146" s="844"/>
    </row>
    <row r="147" spans="2:6" ht="15.5" x14ac:dyDescent="0.35">
      <c r="B147" s="1446" t="s">
        <v>11</v>
      </c>
      <c r="C147" s="1447"/>
      <c r="D147" s="1448"/>
      <c r="E147" s="603">
        <f>+E138+E139+E140</f>
        <v>76420</v>
      </c>
    </row>
    <row r="150" spans="2:6" ht="23.5" x14ac:dyDescent="0.35">
      <c r="B150" s="1442" t="s">
        <v>301</v>
      </c>
      <c r="C150" s="1443"/>
      <c r="D150" s="1443"/>
      <c r="E150" s="1444"/>
    </row>
    <row r="151" spans="2:6" x14ac:dyDescent="0.35">
      <c r="B151" s="2" t="s">
        <v>7</v>
      </c>
      <c r="C151" s="270" t="s">
        <v>8</v>
      </c>
      <c r="D151" s="217" t="s">
        <v>4</v>
      </c>
      <c r="E151" s="597" t="s">
        <v>9</v>
      </c>
    </row>
    <row r="152" spans="2:6" x14ac:dyDescent="0.35">
      <c r="B152" s="772" t="s">
        <v>3</v>
      </c>
      <c r="C152" s="258">
        <v>123</v>
      </c>
      <c r="D152" s="227">
        <f>450*1.2</f>
        <v>540</v>
      </c>
      <c r="E152" s="598">
        <f>+C152*D152</f>
        <v>66420</v>
      </c>
    </row>
    <row r="153" spans="2:6" x14ac:dyDescent="0.35">
      <c r="B153" s="772" t="s">
        <v>519</v>
      </c>
      <c r="C153" s="258">
        <v>8</v>
      </c>
      <c r="D153" s="227">
        <v>540</v>
      </c>
      <c r="E153" s="598">
        <f>+C153*D153</f>
        <v>4320</v>
      </c>
    </row>
    <row r="154" spans="2:6" x14ac:dyDescent="0.35">
      <c r="B154" s="772" t="s">
        <v>200</v>
      </c>
      <c r="C154" s="258"/>
      <c r="D154" s="227"/>
      <c r="E154" s="598">
        <v>0</v>
      </c>
    </row>
    <row r="155" spans="2:6" x14ac:dyDescent="0.35">
      <c r="B155" s="772" t="s">
        <v>6</v>
      </c>
      <c r="C155" s="258" t="s">
        <v>63</v>
      </c>
      <c r="D155" s="194" t="s">
        <v>63</v>
      </c>
      <c r="E155" s="598">
        <v>15000</v>
      </c>
    </row>
    <row r="156" spans="2:6" x14ac:dyDescent="0.35">
      <c r="B156" s="772" t="s">
        <v>270</v>
      </c>
      <c r="C156" s="258">
        <v>2.5</v>
      </c>
      <c r="D156" s="194">
        <f>+D152*1.5</f>
        <v>810</v>
      </c>
      <c r="E156" s="598">
        <f>+C156*D156</f>
        <v>2025</v>
      </c>
      <c r="F156" s="771" t="s">
        <v>63</v>
      </c>
    </row>
    <row r="157" spans="2:6" x14ac:dyDescent="0.35">
      <c r="B157" s="772" t="s">
        <v>63</v>
      </c>
      <c r="C157" s="258" t="s">
        <v>63</v>
      </c>
      <c r="D157" s="194" t="s">
        <v>63</v>
      </c>
      <c r="E157" s="598" t="s">
        <v>63</v>
      </c>
    </row>
    <row r="158" spans="2:6" x14ac:dyDescent="0.35">
      <c r="B158" s="1439" t="s">
        <v>99</v>
      </c>
      <c r="C158" s="1440"/>
      <c r="D158" s="1441"/>
      <c r="E158" s="599">
        <f>+E152+E153+E155+E156</f>
        <v>87765</v>
      </c>
      <c r="F158" s="774" t="s">
        <v>63</v>
      </c>
    </row>
    <row r="159" spans="2:6" x14ac:dyDescent="0.35">
      <c r="B159" s="724" t="s">
        <v>19</v>
      </c>
      <c r="C159" s="729" t="s">
        <v>63</v>
      </c>
      <c r="D159" s="730" t="s">
        <v>63</v>
      </c>
      <c r="E159" s="731">
        <v>-100000</v>
      </c>
      <c r="F159" s="774" t="s">
        <v>63</v>
      </c>
    </row>
    <row r="160" spans="2:6" x14ac:dyDescent="0.35">
      <c r="B160" s="739" t="s">
        <v>63</v>
      </c>
      <c r="C160" s="729"/>
      <c r="D160" s="730"/>
      <c r="E160" s="731" t="s">
        <v>63</v>
      </c>
    </row>
    <row r="161" spans="2:6" ht="23.5" x14ac:dyDescent="0.55000000000000004">
      <c r="B161" s="751"/>
      <c r="C161" s="752" t="s">
        <v>11</v>
      </c>
      <c r="D161" s="753"/>
      <c r="E161" s="754">
        <f>+E158+E159</f>
        <v>-12235</v>
      </c>
      <c r="F161" s="770" t="s">
        <v>63</v>
      </c>
    </row>
    <row r="169" spans="2:6" x14ac:dyDescent="0.35">
      <c r="C169" s="771"/>
      <c r="D169" s="771"/>
      <c r="E169" s="771"/>
    </row>
    <row r="170" spans="2:6" x14ac:dyDescent="0.35">
      <c r="C170" s="771"/>
      <c r="D170" s="771"/>
      <c r="E170" s="771"/>
    </row>
    <row r="171" spans="2:6" x14ac:dyDescent="0.35">
      <c r="C171" s="771"/>
      <c r="D171" s="771"/>
      <c r="E171" s="771"/>
    </row>
    <row r="172" spans="2:6" x14ac:dyDescent="0.35">
      <c r="C172" s="771"/>
      <c r="D172" s="771"/>
      <c r="E172" s="771"/>
    </row>
    <row r="173" spans="2:6" x14ac:dyDescent="0.35">
      <c r="C173" s="771"/>
      <c r="D173" s="771"/>
      <c r="E173" s="771"/>
    </row>
  </sheetData>
  <mergeCells count="25">
    <mergeCell ref="B100:E100"/>
    <mergeCell ref="B109:D109"/>
    <mergeCell ref="B112:D112"/>
    <mergeCell ref="B158:D158"/>
    <mergeCell ref="B115:E115"/>
    <mergeCell ref="B125:D125"/>
    <mergeCell ref="B136:E136"/>
    <mergeCell ref="B145:D145"/>
    <mergeCell ref="B147:D147"/>
    <mergeCell ref="B150:E150"/>
    <mergeCell ref="B59:E59"/>
    <mergeCell ref="B68:D68"/>
    <mergeCell ref="B73:E73"/>
    <mergeCell ref="B83:D83"/>
    <mergeCell ref="B88:E88"/>
    <mergeCell ref="B28:D28"/>
    <mergeCell ref="B30:E30"/>
    <mergeCell ref="B39:D39"/>
    <mergeCell ref="B44:E44"/>
    <mergeCell ref="B54:D54"/>
    <mergeCell ref="B1:E1"/>
    <mergeCell ref="B10:D10"/>
    <mergeCell ref="B13:D13"/>
    <mergeCell ref="B15:E15"/>
    <mergeCell ref="B24:D24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3:E65"/>
  <sheetViews>
    <sheetView workbookViewId="0">
      <selection activeCell="H58" sqref="H58"/>
    </sheetView>
  </sheetViews>
  <sheetFormatPr baseColWidth="10" defaultRowHeight="14.5" x14ac:dyDescent="0.35"/>
  <cols>
    <col min="1" max="1" width="10.90625" style="771"/>
    <col min="2" max="2" width="23.54296875" customWidth="1"/>
    <col min="3" max="3" width="23.08984375" customWidth="1"/>
    <col min="4" max="4" width="16.08984375" customWidth="1"/>
    <col min="5" max="5" width="15.1796875" customWidth="1"/>
  </cols>
  <sheetData>
    <row r="3" spans="2:5" ht="23.5" x14ac:dyDescent="0.35">
      <c r="B3" s="1431" t="s">
        <v>28</v>
      </c>
      <c r="C3" s="1431"/>
      <c r="D3" s="1431"/>
      <c r="E3" s="1431"/>
    </row>
    <row r="4" spans="2:5" x14ac:dyDescent="0.35">
      <c r="B4" s="2" t="s">
        <v>7</v>
      </c>
      <c r="C4" s="270" t="s">
        <v>8</v>
      </c>
      <c r="D4" s="217" t="s">
        <v>4</v>
      </c>
      <c r="E4" s="597" t="s">
        <v>9</v>
      </c>
    </row>
    <row r="5" spans="2:5" x14ac:dyDescent="0.35">
      <c r="B5" s="772" t="s">
        <v>3</v>
      </c>
      <c r="C5" s="315">
        <v>194</v>
      </c>
      <c r="D5" s="194">
        <v>728.75</v>
      </c>
      <c r="E5" s="598">
        <f>+C5*D5</f>
        <v>141377.5</v>
      </c>
    </row>
    <row r="6" spans="2:5" x14ac:dyDescent="0.35">
      <c r="B6" s="772" t="s">
        <v>535</v>
      </c>
      <c r="C6" s="315">
        <v>8</v>
      </c>
      <c r="D6" s="194">
        <f>+D5</f>
        <v>728.75</v>
      </c>
      <c r="E6" s="598">
        <f>+C6*D6</f>
        <v>5830</v>
      </c>
    </row>
    <row r="7" spans="2:5" x14ac:dyDescent="0.35">
      <c r="B7" s="772" t="s">
        <v>200</v>
      </c>
      <c r="C7" s="315" t="s">
        <v>63</v>
      </c>
      <c r="D7" s="194"/>
      <c r="E7" s="598" t="s">
        <v>63</v>
      </c>
    </row>
    <row r="8" spans="2:5" x14ac:dyDescent="0.35">
      <c r="B8" s="772" t="s">
        <v>195</v>
      </c>
      <c r="C8" s="315" t="s">
        <v>63</v>
      </c>
      <c r="D8" s="194" t="s">
        <v>63</v>
      </c>
      <c r="E8" s="598" t="s">
        <v>63</v>
      </c>
    </row>
    <row r="9" spans="2:5" x14ac:dyDescent="0.35">
      <c r="B9" s="772" t="s">
        <v>6</v>
      </c>
      <c r="C9" s="315" t="s">
        <v>63</v>
      </c>
      <c r="D9" s="194"/>
      <c r="E9" s="598" t="s">
        <v>63</v>
      </c>
    </row>
    <row r="10" spans="2:5" s="771" customFormat="1" x14ac:dyDescent="0.35">
      <c r="B10" s="772" t="s">
        <v>521</v>
      </c>
      <c r="C10" s="315"/>
      <c r="D10" s="194"/>
      <c r="E10" s="598">
        <v>15000</v>
      </c>
    </row>
    <row r="11" spans="2:5" x14ac:dyDescent="0.35">
      <c r="B11" s="1432" t="s">
        <v>99</v>
      </c>
      <c r="C11" s="1432"/>
      <c r="D11" s="1432"/>
      <c r="E11" s="599">
        <f>+E5+E6+E10</f>
        <v>162207.5</v>
      </c>
    </row>
    <row r="12" spans="2:5" x14ac:dyDescent="0.35">
      <c r="B12" s="914" t="s">
        <v>375</v>
      </c>
      <c r="C12" s="914"/>
      <c r="D12" s="914" t="s">
        <v>63</v>
      </c>
      <c r="E12" s="600">
        <v>-77040.27</v>
      </c>
    </row>
    <row r="13" spans="2:5" x14ac:dyDescent="0.35">
      <c r="B13" s="914" t="s">
        <v>63</v>
      </c>
      <c r="C13" s="914"/>
      <c r="D13" s="914"/>
      <c r="E13" s="600" t="s">
        <v>63</v>
      </c>
    </row>
    <row r="14" spans="2:5" x14ac:dyDescent="0.35">
      <c r="B14" s="857"/>
      <c r="C14" s="858" t="s">
        <v>11</v>
      </c>
      <c r="D14" s="857"/>
      <c r="E14" s="675">
        <f>+E11+E12</f>
        <v>85167.23</v>
      </c>
    </row>
    <row r="15" spans="2:5" x14ac:dyDescent="0.35">
      <c r="B15" s="771"/>
      <c r="C15" s="771"/>
      <c r="D15" s="771"/>
      <c r="E15" s="774" t="s">
        <v>63</v>
      </c>
    </row>
    <row r="17" spans="2:5" ht="23.5" x14ac:dyDescent="0.35">
      <c r="B17" s="1431" t="s">
        <v>386</v>
      </c>
      <c r="C17" s="1431"/>
      <c r="D17" s="1431"/>
      <c r="E17" s="1431"/>
    </row>
    <row r="18" spans="2:5" x14ac:dyDescent="0.35">
      <c r="B18" s="801" t="s">
        <v>7</v>
      </c>
      <c r="C18" s="802" t="s">
        <v>388</v>
      </c>
      <c r="D18" s="803" t="s">
        <v>272</v>
      </c>
      <c r="E18" s="804" t="s">
        <v>9</v>
      </c>
    </row>
    <row r="19" spans="2:5" x14ac:dyDescent="0.35">
      <c r="B19" s="805" t="s">
        <v>3</v>
      </c>
      <c r="C19" s="806">
        <v>194</v>
      </c>
      <c r="D19" s="807">
        <f>530*1.15</f>
        <v>609.5</v>
      </c>
      <c r="E19" s="808">
        <f>+C19*D19</f>
        <v>118243</v>
      </c>
    </row>
    <row r="20" spans="2:5" x14ac:dyDescent="0.35">
      <c r="B20" s="805" t="s">
        <v>522</v>
      </c>
      <c r="C20" s="806">
        <v>8</v>
      </c>
      <c r="D20" s="807">
        <f>+D19</f>
        <v>609.5</v>
      </c>
      <c r="E20" s="834">
        <f>+C20*D20</f>
        <v>4876</v>
      </c>
    </row>
    <row r="21" spans="2:5" x14ac:dyDescent="0.35">
      <c r="B21" s="805" t="s">
        <v>200</v>
      </c>
      <c r="C21" s="806" t="s">
        <v>63</v>
      </c>
      <c r="D21" s="807" t="s">
        <v>63</v>
      </c>
      <c r="E21" s="828">
        <v>10000</v>
      </c>
    </row>
    <row r="22" spans="2:5" x14ac:dyDescent="0.35">
      <c r="B22" s="614" t="s">
        <v>270</v>
      </c>
      <c r="C22" s="617">
        <v>12</v>
      </c>
      <c r="D22" s="227">
        <f>+D19*1.5</f>
        <v>914.25</v>
      </c>
      <c r="E22" s="598">
        <f>+C22*D22</f>
        <v>10971</v>
      </c>
    </row>
    <row r="23" spans="2:5" x14ac:dyDescent="0.35">
      <c r="B23" s="614" t="s">
        <v>281</v>
      </c>
      <c r="C23" s="617" t="s">
        <v>63</v>
      </c>
      <c r="D23" s="227" t="s">
        <v>63</v>
      </c>
      <c r="E23" s="598" t="s">
        <v>63</v>
      </c>
    </row>
    <row r="24" spans="2:5" x14ac:dyDescent="0.35">
      <c r="B24" s="614" t="s">
        <v>426</v>
      </c>
      <c r="C24" s="617"/>
      <c r="D24" s="227"/>
      <c r="E24" s="811">
        <v>20000</v>
      </c>
    </row>
    <row r="25" spans="2:5" x14ac:dyDescent="0.35">
      <c r="B25" s="614" t="s">
        <v>521</v>
      </c>
      <c r="C25" s="617"/>
      <c r="D25" s="227"/>
      <c r="E25" s="811">
        <v>15000</v>
      </c>
    </row>
    <row r="26" spans="2:5" ht="15.5" x14ac:dyDescent="0.35">
      <c r="B26" s="1433" t="s">
        <v>389</v>
      </c>
      <c r="C26" s="1433"/>
      <c r="D26" s="1433"/>
      <c r="E26" s="603">
        <f>+E19+E20+E21+E22+E24+E25</f>
        <v>179090</v>
      </c>
    </row>
    <row r="27" spans="2:5" ht="15.5" x14ac:dyDescent="0.35">
      <c r="B27" s="831" t="s">
        <v>19</v>
      </c>
      <c r="C27" s="829"/>
      <c r="D27" s="829"/>
      <c r="E27" s="832">
        <v>-40000</v>
      </c>
    </row>
    <row r="28" spans="2:5" ht="15.5" x14ac:dyDescent="0.35">
      <c r="B28" s="611" t="s">
        <v>11</v>
      </c>
      <c r="C28" s="917"/>
      <c r="D28" s="917"/>
      <c r="E28" s="603">
        <f>+E26+E27</f>
        <v>139090</v>
      </c>
    </row>
    <row r="31" spans="2:5" ht="23.5" x14ac:dyDescent="0.35">
      <c r="B31" s="1442" t="s">
        <v>408</v>
      </c>
      <c r="C31" s="1443"/>
      <c r="D31" s="1443"/>
      <c r="E31" s="1444"/>
    </row>
    <row r="32" spans="2:5" x14ac:dyDescent="0.35">
      <c r="B32" s="801" t="s">
        <v>7</v>
      </c>
      <c r="C32" s="802" t="s">
        <v>425</v>
      </c>
      <c r="D32" s="803" t="s">
        <v>272</v>
      </c>
      <c r="E32" s="804" t="s">
        <v>9</v>
      </c>
    </row>
    <row r="33" spans="2:5" x14ac:dyDescent="0.35">
      <c r="B33" s="772" t="s">
        <v>3</v>
      </c>
      <c r="C33" s="258">
        <v>185</v>
      </c>
      <c r="D33" s="227">
        <f>450*1.2</f>
        <v>540</v>
      </c>
      <c r="E33" s="598">
        <f>+C33*D33</f>
        <v>99900</v>
      </c>
    </row>
    <row r="34" spans="2:5" x14ac:dyDescent="0.35">
      <c r="B34" s="772" t="s">
        <v>496</v>
      </c>
      <c r="C34" s="258" t="s">
        <v>63</v>
      </c>
      <c r="D34" s="227" t="s">
        <v>63</v>
      </c>
      <c r="E34" s="598" t="s">
        <v>63</v>
      </c>
    </row>
    <row r="35" spans="2:5" x14ac:dyDescent="0.35">
      <c r="B35" s="772" t="s">
        <v>200</v>
      </c>
      <c r="C35" s="258" t="s">
        <v>63</v>
      </c>
      <c r="D35" s="227" t="s">
        <v>63</v>
      </c>
      <c r="E35" s="598">
        <v>10000</v>
      </c>
    </row>
    <row r="36" spans="2:5" x14ac:dyDescent="0.35">
      <c r="B36" s="772" t="s">
        <v>6</v>
      </c>
      <c r="C36" s="258"/>
      <c r="D36" s="227"/>
      <c r="E36" s="598">
        <v>10000</v>
      </c>
    </row>
    <row r="37" spans="2:5" x14ac:dyDescent="0.35">
      <c r="B37" s="772" t="s">
        <v>270</v>
      </c>
      <c r="C37" s="258">
        <v>10</v>
      </c>
      <c r="D37" s="227">
        <f>+D33*1.5</f>
        <v>810</v>
      </c>
      <c r="E37" s="598">
        <f>+C37*D37</f>
        <v>8100</v>
      </c>
    </row>
    <row r="38" spans="2:5" x14ac:dyDescent="0.35">
      <c r="B38" s="772" t="s">
        <v>449</v>
      </c>
      <c r="C38" s="258" t="s">
        <v>63</v>
      </c>
      <c r="D38" s="227">
        <f>+D33*2</f>
        <v>1080</v>
      </c>
      <c r="E38" s="598" t="s">
        <v>63</v>
      </c>
    </row>
    <row r="39" spans="2:5" x14ac:dyDescent="0.35">
      <c r="B39" s="889" t="s">
        <v>510</v>
      </c>
      <c r="C39" s="890"/>
      <c r="D39" s="814"/>
      <c r="E39" s="598">
        <v>2000</v>
      </c>
    </row>
    <row r="40" spans="2:5" x14ac:dyDescent="0.35">
      <c r="B40" s="1439" t="s">
        <v>389</v>
      </c>
      <c r="C40" s="1440"/>
      <c r="D40" s="1441"/>
      <c r="E40" s="599">
        <f>+E33+E35+E36+E37+E39</f>
        <v>130000</v>
      </c>
    </row>
    <row r="41" spans="2:5" x14ac:dyDescent="0.35">
      <c r="B41" s="831" t="s">
        <v>19</v>
      </c>
      <c r="C41" s="829"/>
      <c r="D41" s="829"/>
      <c r="E41" s="844">
        <v>-5000</v>
      </c>
    </row>
    <row r="42" spans="2:5" ht="15.5" x14ac:dyDescent="0.35">
      <c r="B42" s="1446" t="s">
        <v>11</v>
      </c>
      <c r="C42" s="1447"/>
      <c r="D42" s="1448"/>
      <c r="E42" s="603">
        <f>+E40+E41</f>
        <v>125000</v>
      </c>
    </row>
    <row r="44" spans="2:5" ht="23.5" x14ac:dyDescent="0.35">
      <c r="B44" s="1442" t="s">
        <v>440</v>
      </c>
      <c r="C44" s="1443"/>
      <c r="D44" s="1443"/>
      <c r="E44" s="1444"/>
    </row>
    <row r="45" spans="2:5" x14ac:dyDescent="0.35">
      <c r="B45" s="801" t="s">
        <v>7</v>
      </c>
      <c r="C45" s="802" t="s">
        <v>388</v>
      </c>
      <c r="D45" s="803" t="s">
        <v>272</v>
      </c>
      <c r="E45" s="804" t="s">
        <v>9</v>
      </c>
    </row>
    <row r="46" spans="2:5" x14ac:dyDescent="0.35">
      <c r="B46" s="805" t="s">
        <v>3</v>
      </c>
      <c r="C46" s="806">
        <v>194</v>
      </c>
      <c r="D46" s="807">
        <f>450*1.15</f>
        <v>517.5</v>
      </c>
      <c r="E46" s="833">
        <f>+C46*D46</f>
        <v>100395</v>
      </c>
    </row>
    <row r="47" spans="2:5" x14ac:dyDescent="0.35">
      <c r="B47" s="805" t="s">
        <v>520</v>
      </c>
      <c r="C47" s="806">
        <v>8</v>
      </c>
      <c r="D47" s="807">
        <v>517.5</v>
      </c>
      <c r="E47" s="834">
        <f>+C47*D47</f>
        <v>4140</v>
      </c>
    </row>
    <row r="48" spans="2:5" x14ac:dyDescent="0.35">
      <c r="B48" s="805" t="s">
        <v>200</v>
      </c>
      <c r="C48" s="806" t="s">
        <v>63</v>
      </c>
      <c r="D48" s="807" t="s">
        <v>63</v>
      </c>
      <c r="E48" s="834">
        <v>10000</v>
      </c>
    </row>
    <row r="49" spans="2:5" x14ac:dyDescent="0.35">
      <c r="B49" s="614" t="s">
        <v>270</v>
      </c>
      <c r="C49" s="617">
        <v>4</v>
      </c>
      <c r="D49" s="227">
        <f>+D46*1.5</f>
        <v>776.25</v>
      </c>
      <c r="E49" s="598">
        <f>+C49*D49</f>
        <v>3105</v>
      </c>
    </row>
    <row r="50" spans="2:5" x14ac:dyDescent="0.35">
      <c r="B50" s="614" t="s">
        <v>281</v>
      </c>
      <c r="C50" s="617" t="s">
        <v>63</v>
      </c>
      <c r="D50" s="227" t="s">
        <v>63</v>
      </c>
      <c r="E50" s="598" t="s">
        <v>63</v>
      </c>
    </row>
    <row r="51" spans="2:5" x14ac:dyDescent="0.35">
      <c r="B51" s="614" t="s">
        <v>521</v>
      </c>
      <c r="C51" s="617"/>
      <c r="D51" s="227"/>
      <c r="E51" s="598">
        <v>15000</v>
      </c>
    </row>
    <row r="52" spans="2:5" ht="15.5" x14ac:dyDescent="0.35">
      <c r="B52" s="1446" t="s">
        <v>389</v>
      </c>
      <c r="C52" s="1447"/>
      <c r="D52" s="1448"/>
      <c r="E52" s="603">
        <f>+E46+E47+E48+E49+E51</f>
        <v>132640</v>
      </c>
    </row>
    <row r="53" spans="2:5" ht="15.5" x14ac:dyDescent="0.35">
      <c r="B53" s="831" t="s">
        <v>19</v>
      </c>
      <c r="C53" s="829"/>
      <c r="D53" s="829"/>
      <c r="E53" s="832">
        <v>-40000</v>
      </c>
    </row>
    <row r="54" spans="2:5" ht="15.5" x14ac:dyDescent="0.35">
      <c r="B54" s="611" t="s">
        <v>11</v>
      </c>
      <c r="C54" s="917"/>
      <c r="D54" s="917"/>
      <c r="E54" s="603">
        <f>+E52+E53</f>
        <v>92640</v>
      </c>
    </row>
    <row r="56" spans="2:5" ht="23.5" x14ac:dyDescent="0.35">
      <c r="B56" s="1442" t="s">
        <v>536</v>
      </c>
      <c r="C56" s="1443"/>
      <c r="D56" s="1443"/>
      <c r="E56" s="1444"/>
    </row>
    <row r="57" spans="2:5" x14ac:dyDescent="0.35">
      <c r="B57" s="2" t="s">
        <v>7</v>
      </c>
      <c r="C57" s="270" t="s">
        <v>21</v>
      </c>
      <c r="D57" s="217" t="s">
        <v>272</v>
      </c>
      <c r="E57" s="597" t="s">
        <v>9</v>
      </c>
    </row>
    <row r="58" spans="2:5" x14ac:dyDescent="0.35">
      <c r="B58" s="772" t="s">
        <v>537</v>
      </c>
      <c r="C58" s="258">
        <v>61</v>
      </c>
      <c r="D58" s="227">
        <v>600</v>
      </c>
      <c r="E58" s="598">
        <f>+C58*D58</f>
        <v>36600</v>
      </c>
    </row>
    <row r="59" spans="2:5" x14ac:dyDescent="0.35">
      <c r="B59" s="772" t="s">
        <v>538</v>
      </c>
      <c r="C59" s="258"/>
      <c r="D59" s="227"/>
      <c r="E59" s="598">
        <v>3000</v>
      </c>
    </row>
    <row r="60" spans="2:5" x14ac:dyDescent="0.35">
      <c r="B60" s="772"/>
      <c r="C60" s="258"/>
      <c r="D60" s="227"/>
      <c r="E60" s="598"/>
    </row>
    <row r="61" spans="2:5" x14ac:dyDescent="0.35">
      <c r="B61" s="772"/>
      <c r="C61" s="258"/>
      <c r="D61" s="227"/>
      <c r="E61" s="598"/>
    </row>
    <row r="62" spans="2:5" x14ac:dyDescent="0.35">
      <c r="B62" s="1439"/>
      <c r="C62" s="1440"/>
      <c r="D62" s="1441"/>
      <c r="E62" s="599">
        <f>+E58+E59</f>
        <v>39600</v>
      </c>
    </row>
    <row r="63" spans="2:5" x14ac:dyDescent="0.35">
      <c r="B63" s="723" t="s">
        <v>19</v>
      </c>
      <c r="C63" s="721"/>
      <c r="D63" s="721"/>
      <c r="E63" s="722">
        <v>-15000</v>
      </c>
    </row>
    <row r="64" spans="2:5" x14ac:dyDescent="0.35">
      <c r="B64" s="738"/>
      <c r="C64" s="738"/>
      <c r="D64" s="738"/>
      <c r="E64" s="736"/>
    </row>
    <row r="65" spans="2:5" ht="15.5" x14ac:dyDescent="0.35">
      <c r="B65" s="1460" t="s">
        <v>11</v>
      </c>
      <c r="C65" s="1461"/>
      <c r="D65" s="1462"/>
      <c r="E65" s="603">
        <f>+E62+E63</f>
        <v>24600</v>
      </c>
    </row>
  </sheetData>
  <mergeCells count="12">
    <mergeCell ref="B56:E56"/>
    <mergeCell ref="B62:D62"/>
    <mergeCell ref="B65:D65"/>
    <mergeCell ref="B42:D42"/>
    <mergeCell ref="B44:E44"/>
    <mergeCell ref="B52:D52"/>
    <mergeCell ref="B11:D11"/>
    <mergeCell ref="B3:E3"/>
    <mergeCell ref="B26:D26"/>
    <mergeCell ref="B17:E17"/>
    <mergeCell ref="B40:D40"/>
    <mergeCell ref="B31:E3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E46"/>
  <sheetViews>
    <sheetView workbookViewId="0">
      <selection activeCell="C13" sqref="C13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15.7265625" style="771" customWidth="1"/>
    <col min="5" max="5" width="14.08984375" style="771" customWidth="1"/>
    <col min="6" max="16384" width="10.90625" style="771"/>
  </cols>
  <sheetData>
    <row r="1" spans="2:4" s="658" customFormat="1" ht="28.5" x14ac:dyDescent="0.65">
      <c r="B1" s="718" t="s">
        <v>534</v>
      </c>
      <c r="C1" s="657"/>
    </row>
    <row r="3" spans="2:4" x14ac:dyDescent="0.35">
      <c r="B3" s="772" t="s">
        <v>10</v>
      </c>
      <c r="C3" s="773">
        <v>99400</v>
      </c>
    </row>
    <row r="4" spans="2:4" x14ac:dyDescent="0.35">
      <c r="B4" s="772" t="s">
        <v>15</v>
      </c>
      <c r="C4" s="773">
        <v>224300</v>
      </c>
    </row>
    <row r="5" spans="2:4" x14ac:dyDescent="0.35">
      <c r="B5" s="772" t="s">
        <v>16</v>
      </c>
      <c r="C5" s="773">
        <v>140600</v>
      </c>
    </row>
    <row r="6" spans="2:4" x14ac:dyDescent="0.35">
      <c r="B6" s="772" t="s">
        <v>0</v>
      </c>
      <c r="C6" s="773">
        <v>128710</v>
      </c>
    </row>
    <row r="7" spans="2:4" x14ac:dyDescent="0.35">
      <c r="B7" s="772" t="s">
        <v>28</v>
      </c>
      <c r="C7" s="773">
        <v>0</v>
      </c>
    </row>
    <row r="8" spans="2:4" x14ac:dyDescent="0.35">
      <c r="B8" s="772" t="s">
        <v>245</v>
      </c>
      <c r="C8" s="773">
        <v>156200</v>
      </c>
    </row>
    <row r="9" spans="2:4" x14ac:dyDescent="0.35">
      <c r="B9" s="772" t="s">
        <v>267</v>
      </c>
      <c r="C9" s="773">
        <v>172900</v>
      </c>
    </row>
    <row r="10" spans="2:4" x14ac:dyDescent="0.35">
      <c r="B10" s="772" t="s">
        <v>260</v>
      </c>
      <c r="C10" s="773">
        <v>149500</v>
      </c>
    </row>
    <row r="11" spans="2:4" x14ac:dyDescent="0.35">
      <c r="B11" s="772" t="s">
        <v>63</v>
      </c>
      <c r="C11" s="773">
        <v>0</v>
      </c>
      <c r="D11" s="771" t="s">
        <v>63</v>
      </c>
    </row>
    <row r="12" spans="2:4" x14ac:dyDescent="0.35">
      <c r="B12" s="772" t="s">
        <v>355</v>
      </c>
      <c r="C12" s="773">
        <v>138200</v>
      </c>
    </row>
    <row r="13" spans="2:4" x14ac:dyDescent="0.35">
      <c r="B13" s="772" t="s">
        <v>443</v>
      </c>
      <c r="C13" s="773">
        <v>92700</v>
      </c>
    </row>
    <row r="14" spans="2:4" x14ac:dyDescent="0.35">
      <c r="B14" s="772" t="s">
        <v>63</v>
      </c>
      <c r="C14" s="773">
        <v>0</v>
      </c>
    </row>
    <row r="15" spans="2:4" x14ac:dyDescent="0.35">
      <c r="B15" s="772" t="s">
        <v>411</v>
      </c>
      <c r="C15" s="773">
        <v>139100</v>
      </c>
    </row>
    <row r="16" spans="2:4" x14ac:dyDescent="0.35">
      <c r="B16" s="772" t="s">
        <v>463</v>
      </c>
      <c r="C16" s="773">
        <v>183500</v>
      </c>
      <c r="D16" s="49" t="s">
        <v>63</v>
      </c>
    </row>
    <row r="17" spans="2:5" x14ac:dyDescent="0.35">
      <c r="B17" s="772" t="s">
        <v>63</v>
      </c>
      <c r="C17" s="773" t="s">
        <v>63</v>
      </c>
    </row>
    <row r="18" spans="2:5" s="658" customFormat="1" ht="28.5" x14ac:dyDescent="0.65">
      <c r="B18" s="902" t="s">
        <v>513</v>
      </c>
      <c r="C18" s="903">
        <f>+C3+C4+C5+C6+C7+C8+C9+C10+C11+C12+C13+C14+C15+C16</f>
        <v>1625110</v>
      </c>
    </row>
    <row r="19" spans="2:5" x14ac:dyDescent="0.35">
      <c r="C19" s="49" t="s">
        <v>63</v>
      </c>
    </row>
    <row r="20" spans="2:5" x14ac:dyDescent="0.35">
      <c r="C20" s="49" t="s">
        <v>63</v>
      </c>
    </row>
    <row r="21" spans="2:5" s="648" customFormat="1" ht="46" x14ac:dyDescent="1">
      <c r="B21" s="719" t="s">
        <v>534</v>
      </c>
      <c r="C21" s="653"/>
    </row>
    <row r="22" spans="2:5" ht="18.5" x14ac:dyDescent="0.45">
      <c r="B22" s="643" t="s">
        <v>306</v>
      </c>
      <c r="C22" s="654" t="s">
        <v>272</v>
      </c>
      <c r="D22" s="643" t="s">
        <v>200</v>
      </c>
    </row>
    <row r="23" spans="2:5" ht="18.5" x14ac:dyDescent="0.45">
      <c r="B23" s="644" t="s">
        <v>10</v>
      </c>
      <c r="C23" s="655">
        <v>726</v>
      </c>
      <c r="D23" s="644">
        <v>10000</v>
      </c>
    </row>
    <row r="24" spans="2:5" ht="18.5" x14ac:dyDescent="0.45">
      <c r="B24" s="644" t="s">
        <v>15</v>
      </c>
      <c r="C24" s="655">
        <v>1315</v>
      </c>
      <c r="D24" s="644">
        <v>10000</v>
      </c>
    </row>
    <row r="25" spans="2:5" ht="18.5" x14ac:dyDescent="0.45">
      <c r="B25" s="644" t="s">
        <v>16</v>
      </c>
      <c r="C25" s="655">
        <v>621</v>
      </c>
      <c r="D25" s="644">
        <v>10000</v>
      </c>
    </row>
    <row r="26" spans="2:5" ht="18.5" x14ac:dyDescent="0.45">
      <c r="B26" s="644" t="s">
        <v>0</v>
      </c>
      <c r="C26" s="655">
        <v>862.5</v>
      </c>
      <c r="D26" s="644">
        <v>10000</v>
      </c>
    </row>
    <row r="27" spans="2:5" ht="18.5" x14ac:dyDescent="0.45">
      <c r="B27" s="644" t="s">
        <v>28</v>
      </c>
      <c r="C27" s="655">
        <v>728.75</v>
      </c>
      <c r="D27" s="644">
        <v>10000</v>
      </c>
    </row>
    <row r="28" spans="2:5" ht="18.5" x14ac:dyDescent="0.45">
      <c r="B28" s="644" t="s">
        <v>245</v>
      </c>
      <c r="C28" s="655">
        <v>540</v>
      </c>
      <c r="D28" s="644">
        <v>10000</v>
      </c>
    </row>
    <row r="29" spans="2:5" ht="18.5" x14ac:dyDescent="0.45">
      <c r="B29" s="644" t="s">
        <v>267</v>
      </c>
      <c r="C29" s="655">
        <v>598</v>
      </c>
      <c r="D29" s="644">
        <v>10000</v>
      </c>
    </row>
    <row r="30" spans="2:5" ht="18.5" x14ac:dyDescent="0.45">
      <c r="B30" s="644" t="s">
        <v>260</v>
      </c>
      <c r="C30" s="655">
        <v>805</v>
      </c>
      <c r="D30" s="644">
        <v>10000</v>
      </c>
    </row>
    <row r="31" spans="2:5" ht="18.5" x14ac:dyDescent="0.45">
      <c r="B31" s="645" t="s">
        <v>277</v>
      </c>
      <c r="C31" s="655">
        <v>540</v>
      </c>
      <c r="D31" s="644">
        <v>10000</v>
      </c>
    </row>
    <row r="32" spans="2:5" ht="18.5" x14ac:dyDescent="0.45">
      <c r="B32" s="645" t="s">
        <v>355</v>
      </c>
      <c r="C32" s="655">
        <v>552</v>
      </c>
      <c r="D32" s="645">
        <v>10000</v>
      </c>
      <c r="E32" s="771" t="s">
        <v>63</v>
      </c>
    </row>
    <row r="33" spans="1:4" ht="18.5" x14ac:dyDescent="0.45">
      <c r="B33" s="645" t="s">
        <v>443</v>
      </c>
      <c r="C33" s="655">
        <v>517.5</v>
      </c>
      <c r="D33" s="645">
        <v>10000</v>
      </c>
    </row>
    <row r="34" spans="1:4" ht="18.5" x14ac:dyDescent="0.45">
      <c r="B34" s="645" t="s">
        <v>412</v>
      </c>
      <c r="C34" s="655">
        <v>540</v>
      </c>
      <c r="D34" s="645">
        <v>10000</v>
      </c>
    </row>
    <row r="35" spans="1:4" ht="18.5" x14ac:dyDescent="0.45">
      <c r="B35" s="645" t="s">
        <v>411</v>
      </c>
      <c r="C35" s="655">
        <v>609.5</v>
      </c>
      <c r="D35" s="645">
        <v>10000</v>
      </c>
    </row>
    <row r="36" spans="1:4" ht="18.5" x14ac:dyDescent="0.45">
      <c r="B36" s="645" t="s">
        <v>463</v>
      </c>
      <c r="C36" s="655">
        <v>600</v>
      </c>
      <c r="D36" s="645">
        <v>10000</v>
      </c>
    </row>
    <row r="37" spans="1:4" ht="18.5" x14ac:dyDescent="0.45">
      <c r="B37" s="645" t="s">
        <v>63</v>
      </c>
      <c r="C37" s="655" t="s">
        <v>63</v>
      </c>
      <c r="D37" s="645" t="s">
        <v>63</v>
      </c>
    </row>
    <row r="38" spans="1:4" ht="18.5" x14ac:dyDescent="0.45">
      <c r="B38" s="798"/>
      <c r="C38" s="799"/>
      <c r="D38" s="798"/>
    </row>
    <row r="40" spans="1:4" x14ac:dyDescent="0.35">
      <c r="A40" s="701" t="s">
        <v>106</v>
      </c>
      <c r="B40" s="702" t="s">
        <v>107</v>
      </c>
      <c r="C40" s="702" t="s">
        <v>262</v>
      </c>
      <c r="D40" s="704"/>
    </row>
    <row r="41" spans="1:4" x14ac:dyDescent="0.35">
      <c r="A41" s="703">
        <v>18</v>
      </c>
      <c r="B41" s="703">
        <v>9</v>
      </c>
      <c r="C41" s="568">
        <f>+A41*B41</f>
        <v>162</v>
      </c>
      <c r="D41" s="592" t="s">
        <v>116</v>
      </c>
    </row>
    <row r="42" spans="1:4" x14ac:dyDescent="0.35">
      <c r="A42" s="703">
        <v>4</v>
      </c>
      <c r="B42" s="703">
        <v>8</v>
      </c>
      <c r="C42" s="568">
        <f>+A42*B42</f>
        <v>32</v>
      </c>
      <c r="D42" s="593" t="s">
        <v>491</v>
      </c>
    </row>
    <row r="43" spans="1:4" x14ac:dyDescent="0.35">
      <c r="A43" s="703">
        <v>1</v>
      </c>
      <c r="B43" s="703">
        <v>8</v>
      </c>
      <c r="C43" s="568">
        <f>+A43*B43</f>
        <v>8</v>
      </c>
      <c r="D43" s="593" t="s">
        <v>111</v>
      </c>
    </row>
    <row r="44" spans="1:4" x14ac:dyDescent="0.35">
      <c r="A44" s="568" t="s">
        <v>63</v>
      </c>
      <c r="B44" s="773"/>
      <c r="C44" s="568">
        <f>+C41+C42+C43</f>
        <v>202</v>
      </c>
      <c r="D44" s="592" t="s">
        <v>309</v>
      </c>
    </row>
    <row r="45" spans="1:4" x14ac:dyDescent="0.35">
      <c r="A45" s="901" t="s">
        <v>63</v>
      </c>
      <c r="B45" s="49"/>
      <c r="C45" s="771"/>
    </row>
    <row r="46" spans="1:4" x14ac:dyDescent="0.35">
      <c r="A46" s="345" t="s">
        <v>63</v>
      </c>
    </row>
  </sheetData>
  <pageMargins left="0.7" right="0.7" top="0.75" bottom="0.75" header="0.3" footer="0.3"/>
  <pageSetup paperSize="9" scale="92" fitToWidth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1:V171"/>
  <sheetViews>
    <sheetView topLeftCell="A143" zoomScaleNormal="100" workbookViewId="0">
      <selection activeCell="C165" sqref="C165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25.5" customHeight="1" x14ac:dyDescent="0.35">
      <c r="B1" s="1431" t="s">
        <v>10</v>
      </c>
      <c r="C1" s="1431"/>
      <c r="D1" s="1431"/>
      <c r="E1" s="1431"/>
    </row>
    <row r="2" spans="2:21" s="923" customFormat="1" ht="18" customHeight="1" x14ac:dyDescent="0.35">
      <c r="B2" s="2" t="s">
        <v>7</v>
      </c>
      <c r="C2" s="270" t="s">
        <v>8</v>
      </c>
      <c r="D2" s="217" t="s">
        <v>4</v>
      </c>
      <c r="E2" s="597" t="s">
        <v>9</v>
      </c>
      <c r="F2" s="771"/>
      <c r="T2" s="771"/>
      <c r="U2" s="771"/>
    </row>
    <row r="3" spans="2:21" ht="18" customHeight="1" x14ac:dyDescent="0.35">
      <c r="B3" s="772" t="s">
        <v>480</v>
      </c>
      <c r="C3" s="258">
        <v>175</v>
      </c>
      <c r="D3" s="227">
        <f>660*1.1</f>
        <v>726.00000000000011</v>
      </c>
      <c r="E3" s="598">
        <f>+C3*D3</f>
        <v>127050.00000000001</v>
      </c>
      <c r="F3" s="553" t="s">
        <v>63</v>
      </c>
      <c r="T3" s="923"/>
    </row>
    <row r="4" spans="2:21" ht="18" customHeight="1" x14ac:dyDescent="0.35">
      <c r="B4" s="772" t="s">
        <v>523</v>
      </c>
      <c r="C4" s="258">
        <v>8</v>
      </c>
      <c r="D4" s="227">
        <f>+D3</f>
        <v>726.00000000000011</v>
      </c>
      <c r="E4" s="598">
        <f>+C4*D4</f>
        <v>5808.0000000000009</v>
      </c>
      <c r="F4" s="774" t="s">
        <v>63</v>
      </c>
      <c r="T4" s="774"/>
    </row>
    <row r="5" spans="2:21" ht="18" customHeight="1" x14ac:dyDescent="0.35">
      <c r="B5" s="772" t="s">
        <v>488</v>
      </c>
      <c r="C5" s="258"/>
      <c r="D5" s="227"/>
      <c r="E5" s="598">
        <v>10000</v>
      </c>
      <c r="F5" s="774" t="s">
        <v>63</v>
      </c>
      <c r="G5" s="771" t="s">
        <v>63</v>
      </c>
    </row>
    <row r="6" spans="2:21" ht="18" customHeight="1" x14ac:dyDescent="0.35">
      <c r="B6" s="772" t="s">
        <v>467</v>
      </c>
      <c r="C6" s="258">
        <v>1</v>
      </c>
      <c r="D6" s="194">
        <f>+D3*1.5</f>
        <v>1089.0000000000002</v>
      </c>
      <c r="E6" s="598">
        <f>+C6*D6</f>
        <v>1089.0000000000002</v>
      </c>
      <c r="F6" s="774" t="s">
        <v>63</v>
      </c>
      <c r="G6" s="774"/>
    </row>
    <row r="7" spans="2:21" ht="18" customHeight="1" x14ac:dyDescent="0.35">
      <c r="B7" s="772" t="s">
        <v>489</v>
      </c>
      <c r="C7" s="258" t="s">
        <v>63</v>
      </c>
      <c r="D7" s="194"/>
      <c r="E7" s="598">
        <v>35000</v>
      </c>
      <c r="F7" s="553" t="s">
        <v>63</v>
      </c>
      <c r="G7" s="774" t="s">
        <v>63</v>
      </c>
      <c r="U7" s="923"/>
    </row>
    <row r="8" spans="2:21" ht="18" customHeight="1" x14ac:dyDescent="0.35">
      <c r="B8" s="772" t="s">
        <v>524</v>
      </c>
      <c r="C8" s="258"/>
      <c r="D8" s="194"/>
      <c r="E8" s="598">
        <v>30000</v>
      </c>
      <c r="F8" s="553"/>
      <c r="G8" s="774"/>
      <c r="U8" s="923"/>
    </row>
    <row r="9" spans="2:21" ht="18" customHeight="1" x14ac:dyDescent="0.35">
      <c r="B9" s="772" t="s">
        <v>400</v>
      </c>
      <c r="C9" s="258">
        <v>1</v>
      </c>
      <c r="D9" s="194">
        <v>4000</v>
      </c>
      <c r="E9" s="598">
        <f>+C9*D9</f>
        <v>4000</v>
      </c>
      <c r="F9" s="774" t="s">
        <v>63</v>
      </c>
      <c r="U9" s="923"/>
    </row>
    <row r="10" spans="2:21" ht="18" customHeight="1" x14ac:dyDescent="0.35">
      <c r="B10" s="1432" t="s">
        <v>99</v>
      </c>
      <c r="C10" s="1432"/>
      <c r="D10" s="1432"/>
      <c r="E10" s="599">
        <f>+E3+E4+E5+E6+E7+E8+E9</f>
        <v>212947.00000000003</v>
      </c>
      <c r="F10" s="774" t="s">
        <v>63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R10" s="923"/>
    </row>
    <row r="11" spans="2:21" ht="18" customHeight="1" x14ac:dyDescent="0.35">
      <c r="B11" s="927" t="s">
        <v>384</v>
      </c>
      <c r="C11" s="925"/>
      <c r="D11" s="925"/>
      <c r="E11" s="221">
        <v>-118006.49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923"/>
    </row>
    <row r="12" spans="2:21" ht="18" customHeight="1" x14ac:dyDescent="0.35">
      <c r="B12" s="800" t="s">
        <v>545</v>
      </c>
      <c r="C12" s="721" t="s">
        <v>477</v>
      </c>
      <c r="D12" s="905">
        <f>+E3+E4+E5+E7</f>
        <v>177858.00000000003</v>
      </c>
      <c r="E12" s="722">
        <v>-17786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923"/>
    </row>
    <row r="13" spans="2:21" ht="18" customHeight="1" x14ac:dyDescent="0.35">
      <c r="B13" s="1433" t="s">
        <v>11</v>
      </c>
      <c r="C13" s="1433"/>
      <c r="D13" s="1433"/>
      <c r="E13" s="603">
        <f>+E10+E11+E12</f>
        <v>77154.510000000024</v>
      </c>
      <c r="F13" s="774" t="s">
        <v>63</v>
      </c>
      <c r="H13" s="321"/>
      <c r="I13" s="321"/>
      <c r="J13" s="321"/>
      <c r="K13" s="473"/>
      <c r="L13" s="321"/>
      <c r="M13" s="321"/>
      <c r="T13" s="923"/>
    </row>
    <row r="14" spans="2:21" ht="18" customHeight="1" x14ac:dyDescent="0.35">
      <c r="E14" s="203" t="s">
        <v>63</v>
      </c>
      <c r="F14" s="106"/>
      <c r="G14" s="4"/>
      <c r="N14" s="4"/>
      <c r="T14" s="923"/>
    </row>
    <row r="15" spans="2:21" ht="18" customHeight="1" x14ac:dyDescent="0.35">
      <c r="B15" s="1442" t="s">
        <v>15</v>
      </c>
      <c r="C15" s="1443"/>
      <c r="D15" s="1443"/>
      <c r="E15" s="1444"/>
      <c r="F15" s="406"/>
      <c r="K15" s="465"/>
      <c r="L15" s="465"/>
      <c r="M15" s="465"/>
    </row>
    <row r="16" spans="2:21" ht="18" customHeight="1" x14ac:dyDescent="0.35">
      <c r="B16" s="2" t="s">
        <v>7</v>
      </c>
      <c r="C16" s="270" t="s">
        <v>8</v>
      </c>
      <c r="D16" s="217" t="s">
        <v>4</v>
      </c>
      <c r="E16" s="597" t="s">
        <v>9</v>
      </c>
      <c r="F16" s="923"/>
      <c r="K16" s="101"/>
      <c r="L16" s="101"/>
      <c r="M16" s="101"/>
    </row>
    <row r="17" spans="2:22" ht="18" customHeight="1" x14ac:dyDescent="0.35">
      <c r="B17" s="772" t="s">
        <v>3</v>
      </c>
      <c r="C17" s="315">
        <v>175</v>
      </c>
      <c r="D17" s="194">
        <f>1315*1.2</f>
        <v>1578</v>
      </c>
      <c r="E17" s="598">
        <f>+C17*D17</f>
        <v>276150</v>
      </c>
      <c r="F17" s="774" t="s">
        <v>509</v>
      </c>
      <c r="K17" s="101"/>
      <c r="L17" s="101"/>
      <c r="M17" s="101"/>
    </row>
    <row r="18" spans="2:22" ht="18" customHeight="1" x14ac:dyDescent="0.35">
      <c r="B18" s="772" t="s">
        <v>525</v>
      </c>
      <c r="C18" s="258">
        <v>8</v>
      </c>
      <c r="D18" s="194">
        <f>+D17</f>
        <v>1578</v>
      </c>
      <c r="E18" s="598">
        <f>+C18*D18</f>
        <v>12624</v>
      </c>
      <c r="F18" s="774"/>
      <c r="K18" s="101"/>
      <c r="L18" s="101"/>
      <c r="M18" s="101"/>
    </row>
    <row r="19" spans="2:22" ht="18" customHeight="1" x14ac:dyDescent="0.35">
      <c r="B19" s="772" t="s">
        <v>196</v>
      </c>
      <c r="C19" s="258"/>
      <c r="D19" s="194"/>
      <c r="E19" s="598">
        <v>10000</v>
      </c>
      <c r="F19" s="923"/>
      <c r="H19" s="924"/>
      <c r="N19" s="51"/>
      <c r="O19" s="51"/>
      <c r="P19" s="66"/>
      <c r="Q19" s="49"/>
      <c r="R19" s="49"/>
    </row>
    <row r="20" spans="2:22" ht="18" customHeight="1" x14ac:dyDescent="0.35">
      <c r="B20" s="772" t="s">
        <v>6</v>
      </c>
      <c r="C20" s="258"/>
      <c r="D20" s="194"/>
      <c r="E20" s="598">
        <v>35000</v>
      </c>
      <c r="F20" s="649" t="s">
        <v>63</v>
      </c>
      <c r="H20" s="924"/>
      <c r="N20" s="51"/>
      <c r="O20" s="51"/>
      <c r="P20" s="66"/>
      <c r="Q20" s="49"/>
      <c r="R20" s="49"/>
    </row>
    <row r="21" spans="2:22" ht="18" customHeight="1" x14ac:dyDescent="0.35">
      <c r="B21" s="772" t="s">
        <v>507</v>
      </c>
      <c r="C21" s="315" t="s">
        <v>63</v>
      </c>
      <c r="D21" s="194" t="s">
        <v>63</v>
      </c>
      <c r="E21" s="598" t="s">
        <v>63</v>
      </c>
      <c r="F21" s="774"/>
      <c r="G21" s="4"/>
      <c r="L21" s="180"/>
      <c r="M21" s="184"/>
    </row>
    <row r="22" spans="2:22" ht="18" customHeight="1" x14ac:dyDescent="0.35">
      <c r="B22" s="772" t="s">
        <v>521</v>
      </c>
      <c r="C22" s="315"/>
      <c r="D22" s="194"/>
      <c r="E22" s="598">
        <v>30000</v>
      </c>
      <c r="F22" s="774"/>
      <c r="G22" s="4"/>
      <c r="L22" s="180"/>
      <c r="M22" s="184"/>
    </row>
    <row r="23" spans="2:22" s="923" customFormat="1" ht="18" customHeight="1" x14ac:dyDescent="0.35">
      <c r="B23" s="772" t="s">
        <v>539</v>
      </c>
      <c r="C23" s="258">
        <v>1</v>
      </c>
      <c r="D23" s="194">
        <v>4000</v>
      </c>
      <c r="E23" s="598">
        <f>+C23*D23</f>
        <v>4000</v>
      </c>
      <c r="F23" s="774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929" customFormat="1" ht="18" customHeight="1" x14ac:dyDescent="0.35">
      <c r="B24" s="772" t="s">
        <v>546</v>
      </c>
      <c r="C24" s="258"/>
      <c r="D24" s="194"/>
      <c r="E24" s="598">
        <v>65000</v>
      </c>
      <c r="F24" s="774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923" customFormat="1" ht="18" customHeight="1" x14ac:dyDescent="0.35">
      <c r="B25" s="1439" t="s">
        <v>389</v>
      </c>
      <c r="C25" s="1440"/>
      <c r="D25" s="1441"/>
      <c r="E25" s="599">
        <f>+E17+E18+E19+E20+E22+E23+E24</f>
        <v>432774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908" customFormat="1" ht="18" customHeight="1" x14ac:dyDescent="0.35">
      <c r="B26" s="909" t="s">
        <v>515</v>
      </c>
      <c r="C26" s="720"/>
      <c r="D26" s="720"/>
      <c r="E26" s="920">
        <v>-150000</v>
      </c>
      <c r="F26" s="769" t="s">
        <v>63</v>
      </c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s="923" customFormat="1" ht="18" customHeight="1" x14ac:dyDescent="0.35">
      <c r="B27" s="772" t="s">
        <v>79</v>
      </c>
      <c r="C27" s="258"/>
      <c r="D27" s="194"/>
      <c r="E27" s="731">
        <v>-4270</v>
      </c>
      <c r="F27" s="774" t="s">
        <v>63</v>
      </c>
      <c r="G27" s="771"/>
      <c r="L27" s="181"/>
      <c r="M27" s="184"/>
      <c r="N27" s="180"/>
      <c r="O27" s="180"/>
      <c r="P27" s="181"/>
      <c r="Q27" s="181"/>
      <c r="R27" s="181"/>
      <c r="S27" s="771"/>
      <c r="V27" s="771"/>
    </row>
    <row r="28" spans="2:22" ht="18" customHeight="1" x14ac:dyDescent="0.35">
      <c r="B28" s="1435" t="s">
        <v>11</v>
      </c>
      <c r="C28" s="1435"/>
      <c r="D28" s="1435"/>
      <c r="E28" s="602">
        <f>+E25+E26+E27</f>
        <v>278504</v>
      </c>
      <c r="F28" s="796" t="s">
        <v>63</v>
      </c>
      <c r="G28" s="115"/>
      <c r="M28" s="189"/>
      <c r="N28" s="180"/>
      <c r="O28" s="180"/>
      <c r="P28" s="181"/>
      <c r="Q28" s="181"/>
      <c r="R28" s="181"/>
    </row>
    <row r="29" spans="2:22" ht="18" customHeight="1" x14ac:dyDescent="0.35">
      <c r="B29" s="455"/>
      <c r="C29" s="455"/>
      <c r="D29" s="455"/>
      <c r="E29" s="456"/>
      <c r="F29" s="409"/>
      <c r="G29" s="115"/>
      <c r="M29" s="189"/>
      <c r="N29" s="180"/>
      <c r="O29" s="180"/>
      <c r="P29" s="181"/>
      <c r="Q29" s="181"/>
      <c r="R29" s="181"/>
    </row>
    <row r="30" spans="2:22" ht="18" customHeight="1" x14ac:dyDescent="0.45">
      <c r="B30" s="1450" t="s">
        <v>359</v>
      </c>
      <c r="C30" s="1451"/>
      <c r="D30" s="1451"/>
      <c r="E30" s="1452"/>
      <c r="F30" s="409"/>
      <c r="G30" s="115"/>
      <c r="M30" s="185"/>
      <c r="N30" s="181"/>
      <c r="O30" s="181"/>
      <c r="P30" s="181"/>
      <c r="Q30" s="181"/>
    </row>
    <row r="31" spans="2:22" ht="18" customHeight="1" x14ac:dyDescent="0.35">
      <c r="B31" s="604" t="s">
        <v>7</v>
      </c>
      <c r="C31" s="605" t="s">
        <v>8</v>
      </c>
      <c r="D31" s="606" t="s">
        <v>4</v>
      </c>
      <c r="E31" s="606" t="s">
        <v>9</v>
      </c>
      <c r="M31" s="185"/>
      <c r="N31" s="181"/>
      <c r="O31" s="181"/>
      <c r="P31" s="184"/>
    </row>
    <row r="32" spans="2:22" ht="18" customHeight="1" x14ac:dyDescent="0.35">
      <c r="B32" s="607" t="s">
        <v>3</v>
      </c>
      <c r="C32" s="267">
        <v>157</v>
      </c>
      <c r="D32" s="211">
        <f>540*1.15</f>
        <v>621</v>
      </c>
      <c r="E32" s="211">
        <f>+C32*D32</f>
        <v>97497</v>
      </c>
      <c r="F32" s="771" t="s">
        <v>63</v>
      </c>
      <c r="G32" s="774" t="s">
        <v>63</v>
      </c>
      <c r="M32" s="182"/>
    </row>
    <row r="33" spans="2:15" ht="18" customHeight="1" x14ac:dyDescent="0.35">
      <c r="B33" s="772" t="s">
        <v>519</v>
      </c>
      <c r="C33" s="267">
        <v>8</v>
      </c>
      <c r="D33" s="211">
        <f>+D32</f>
        <v>621</v>
      </c>
      <c r="E33" s="211">
        <f>+C33*D33</f>
        <v>4968</v>
      </c>
      <c r="F33" s="774"/>
      <c r="I33" s="923"/>
      <c r="J33" s="923"/>
      <c r="K33" s="923"/>
    </row>
    <row r="34" spans="2:15" ht="18" customHeight="1" x14ac:dyDescent="0.35">
      <c r="B34" s="772" t="s">
        <v>540</v>
      </c>
      <c r="C34" s="267">
        <v>16</v>
      </c>
      <c r="D34" s="211">
        <v>621</v>
      </c>
      <c r="E34" s="211">
        <f>+C34*D34</f>
        <v>9936</v>
      </c>
      <c r="F34" s="774"/>
      <c r="I34" s="923"/>
      <c r="J34" s="923"/>
      <c r="K34" s="923"/>
    </row>
    <row r="35" spans="2:15" ht="18" customHeight="1" x14ac:dyDescent="0.35">
      <c r="B35" s="772" t="s">
        <v>196</v>
      </c>
      <c r="C35" s="267"/>
      <c r="D35" s="211"/>
      <c r="E35" s="211">
        <v>5000</v>
      </c>
      <c r="F35" s="774"/>
      <c r="L35" s="923"/>
    </row>
    <row r="36" spans="2:15" ht="18" customHeight="1" x14ac:dyDescent="0.35">
      <c r="B36" s="772" t="s">
        <v>6</v>
      </c>
      <c r="C36" s="267"/>
      <c r="D36" s="211"/>
      <c r="E36" s="211">
        <v>20000</v>
      </c>
      <c r="F36" s="774"/>
      <c r="L36" s="923"/>
    </row>
    <row r="37" spans="2:15" ht="18" customHeight="1" x14ac:dyDescent="0.35">
      <c r="B37" s="772" t="s">
        <v>468</v>
      </c>
      <c r="C37" s="267">
        <v>3.45</v>
      </c>
      <c r="D37" s="211">
        <f>+D32*1.5</f>
        <v>931.5</v>
      </c>
      <c r="E37" s="211">
        <f>C37*D37</f>
        <v>3213.6750000000002</v>
      </c>
      <c r="F37" s="649" t="s">
        <v>63</v>
      </c>
      <c r="G37" s="180"/>
      <c r="H37" s="180"/>
      <c r="I37" s="181"/>
      <c r="J37" s="187"/>
      <c r="K37" s="188"/>
      <c r="L37" s="923"/>
      <c r="O37" s="923"/>
    </row>
    <row r="38" spans="2:15" ht="18" customHeight="1" x14ac:dyDescent="0.35">
      <c r="B38" s="772" t="s">
        <v>521</v>
      </c>
      <c r="C38" s="267"/>
      <c r="D38" s="211"/>
      <c r="E38" s="211">
        <v>30000</v>
      </c>
      <c r="F38" s="774"/>
      <c r="G38" s="180"/>
      <c r="H38" s="180"/>
      <c r="I38" s="181"/>
      <c r="J38" s="181"/>
      <c r="K38" s="184"/>
      <c r="O38" s="923"/>
    </row>
    <row r="39" spans="2:15" ht="18" customHeight="1" x14ac:dyDescent="0.35">
      <c r="B39" s="772" t="s">
        <v>508</v>
      </c>
      <c r="C39" s="267"/>
      <c r="D39" s="211" t="s">
        <v>63</v>
      </c>
      <c r="E39" s="211" t="s">
        <v>63</v>
      </c>
      <c r="F39" s="774" t="s">
        <v>63</v>
      </c>
      <c r="G39" s="180"/>
      <c r="H39" s="180"/>
      <c r="I39" s="181"/>
      <c r="J39" s="181"/>
      <c r="K39" s="184"/>
      <c r="O39" s="923"/>
    </row>
    <row r="40" spans="2:15" s="923" customFormat="1" ht="18" customHeight="1" x14ac:dyDescent="0.35">
      <c r="B40" s="1459" t="s">
        <v>99</v>
      </c>
      <c r="C40" s="1459"/>
      <c r="D40" s="1459"/>
      <c r="E40" s="599">
        <f>+E32+E33+E34+E35+E36+E37+E38</f>
        <v>170614.67499999999</v>
      </c>
      <c r="F40" s="774" t="s">
        <v>63</v>
      </c>
      <c r="G40" s="180"/>
      <c r="H40" s="180"/>
      <c r="I40" s="181"/>
      <c r="J40" s="181"/>
      <c r="K40" s="184"/>
      <c r="L40" s="771"/>
      <c r="N40" s="771"/>
      <c r="O40" s="771"/>
    </row>
    <row r="41" spans="2:15" s="923" customFormat="1" ht="18" customHeight="1" x14ac:dyDescent="0.35">
      <c r="B41" s="825" t="s">
        <v>19</v>
      </c>
      <c r="C41" s="826" t="s">
        <v>63</v>
      </c>
      <c r="D41" s="823" t="s">
        <v>63</v>
      </c>
      <c r="E41" s="930">
        <v>-50000</v>
      </c>
      <c r="F41" s="774" t="s">
        <v>63</v>
      </c>
      <c r="G41" s="180"/>
      <c r="H41" s="180"/>
      <c r="I41" s="181"/>
      <c r="J41" s="181"/>
      <c r="K41" s="184"/>
      <c r="L41" s="771"/>
      <c r="N41" s="771"/>
      <c r="O41" s="771"/>
    </row>
    <row r="42" spans="2:15" s="929" customFormat="1" ht="18" customHeight="1" x14ac:dyDescent="0.35">
      <c r="B42" s="825" t="s">
        <v>547</v>
      </c>
      <c r="C42" s="826"/>
      <c r="D42" s="823"/>
      <c r="E42" s="930">
        <v>-5900</v>
      </c>
      <c r="F42" s="774"/>
      <c r="G42" s="180"/>
      <c r="H42" s="180"/>
      <c r="I42" s="181"/>
      <c r="J42" s="181"/>
      <c r="K42" s="184"/>
      <c r="L42" s="771"/>
      <c r="N42" s="771"/>
      <c r="O42" s="771"/>
    </row>
    <row r="43" spans="2:15" ht="18" customHeight="1" x14ac:dyDescent="0.35">
      <c r="B43" s="786" t="s">
        <v>11</v>
      </c>
      <c r="C43" s="783"/>
      <c r="D43" s="783"/>
      <c r="E43" s="784">
        <f>+E40+E41+E42</f>
        <v>114714.67499999999</v>
      </c>
      <c r="F43" s="774" t="s">
        <v>63</v>
      </c>
      <c r="G43" s="180"/>
      <c r="H43" s="180"/>
      <c r="I43" s="181"/>
      <c r="J43" s="181"/>
      <c r="K43" s="184"/>
    </row>
    <row r="44" spans="2:15" ht="18" customHeight="1" x14ac:dyDescent="0.35">
      <c r="B44" s="594"/>
      <c r="C44" s="594"/>
      <c r="D44" s="594"/>
      <c r="E44" s="595"/>
      <c r="G44" s="180"/>
      <c r="H44" s="180"/>
      <c r="I44" s="181"/>
      <c r="J44" s="181"/>
      <c r="K44" s="184"/>
    </row>
    <row r="45" spans="2:15" ht="18" customHeight="1" x14ac:dyDescent="0.35">
      <c r="B45" s="594"/>
      <c r="C45" s="594"/>
      <c r="D45" s="594"/>
      <c r="E45" s="595"/>
      <c r="G45" s="180"/>
      <c r="H45" s="180"/>
      <c r="I45" s="181"/>
      <c r="J45" s="181"/>
      <c r="K45" s="184"/>
    </row>
    <row r="46" spans="2:15" ht="18" customHeight="1" x14ac:dyDescent="0.35">
      <c r="B46" s="1431" t="s">
        <v>0</v>
      </c>
      <c r="C46" s="1431"/>
      <c r="D46" s="1431"/>
      <c r="E46" s="1431"/>
      <c r="G46" s="180"/>
      <c r="H46" s="180"/>
      <c r="I46" s="181"/>
      <c r="J46" s="181"/>
      <c r="K46" s="184"/>
    </row>
    <row r="47" spans="2:15" ht="18" customHeight="1" x14ac:dyDescent="0.35">
      <c r="B47" s="2" t="s">
        <v>7</v>
      </c>
      <c r="C47" s="270" t="s">
        <v>8</v>
      </c>
      <c r="D47" s="217" t="s">
        <v>4</v>
      </c>
      <c r="E47" s="597" t="s">
        <v>9</v>
      </c>
      <c r="G47" s="180"/>
      <c r="H47" s="180"/>
      <c r="I47" s="181"/>
      <c r="J47" s="181"/>
      <c r="K47" s="184"/>
    </row>
    <row r="48" spans="2:15" ht="18" customHeight="1" x14ac:dyDescent="0.35">
      <c r="B48" s="772" t="s">
        <v>253</v>
      </c>
      <c r="C48" s="258">
        <v>175</v>
      </c>
      <c r="D48" s="194">
        <f>750*1.15</f>
        <v>862.49999999999989</v>
      </c>
      <c r="E48" s="598">
        <f>+C48*D48</f>
        <v>150937.49999999997</v>
      </c>
      <c r="F48" s="771" t="s">
        <v>63</v>
      </c>
      <c r="G48" s="906" t="s">
        <v>63</v>
      </c>
      <c r="H48" s="180"/>
      <c r="I48" s="181"/>
      <c r="J48" s="181"/>
      <c r="K48" s="184"/>
    </row>
    <row r="49" spans="2:22" ht="18" customHeight="1" x14ac:dyDescent="0.35">
      <c r="B49" s="772" t="s">
        <v>520</v>
      </c>
      <c r="C49" s="258">
        <v>8</v>
      </c>
      <c r="D49" s="194">
        <f>+D48</f>
        <v>862.49999999999989</v>
      </c>
      <c r="E49" s="598">
        <f>+C49*D49</f>
        <v>6899.9999999999991</v>
      </c>
      <c r="F49" s="774" t="s">
        <v>63</v>
      </c>
      <c r="G49" s="180"/>
      <c r="H49" s="180"/>
      <c r="I49" s="181"/>
      <c r="J49" s="181"/>
      <c r="K49" s="184"/>
    </row>
    <row r="50" spans="2:22" ht="15" customHeight="1" x14ac:dyDescent="0.35">
      <c r="B50" s="772" t="s">
        <v>196</v>
      </c>
      <c r="C50" s="258"/>
      <c r="D50" s="194"/>
      <c r="E50" s="598">
        <v>10000</v>
      </c>
      <c r="G50" s="180"/>
      <c r="H50" s="180"/>
      <c r="I50" s="181"/>
      <c r="J50" s="181"/>
      <c r="K50" s="184"/>
      <c r="L50" s="923"/>
    </row>
    <row r="51" spans="2:22" ht="15" customHeight="1" x14ac:dyDescent="0.35">
      <c r="B51" s="772" t="s">
        <v>6</v>
      </c>
      <c r="C51" s="258"/>
      <c r="D51" s="194"/>
      <c r="E51" s="598">
        <v>20000</v>
      </c>
      <c r="G51" s="180"/>
      <c r="H51" s="180"/>
      <c r="I51" s="181"/>
      <c r="J51" s="181"/>
      <c r="K51" s="184"/>
      <c r="L51" s="923"/>
    </row>
    <row r="52" spans="2:22" ht="15" customHeight="1" x14ac:dyDescent="0.35">
      <c r="B52" s="772" t="s">
        <v>195</v>
      </c>
      <c r="C52" s="315">
        <v>3.5</v>
      </c>
      <c r="D52" s="194">
        <f>+D48*1.5</f>
        <v>1293.7499999999998</v>
      </c>
      <c r="E52" s="598">
        <f>+C52*D52</f>
        <v>4528.1249999999991</v>
      </c>
      <c r="G52" s="180"/>
      <c r="H52" s="180"/>
      <c r="I52" s="181"/>
      <c r="J52" s="181"/>
      <c r="K52" s="184"/>
      <c r="L52" s="923"/>
    </row>
    <row r="53" spans="2:22" ht="15" customHeight="1" x14ac:dyDescent="0.35">
      <c r="B53" s="772" t="s">
        <v>449</v>
      </c>
      <c r="C53" s="315" t="s">
        <v>63</v>
      </c>
      <c r="D53" s="194" t="s">
        <v>63</v>
      </c>
      <c r="E53" s="598" t="s">
        <v>63</v>
      </c>
      <c r="G53" s="180"/>
      <c r="H53" s="180"/>
      <c r="I53" s="181"/>
      <c r="J53" s="181"/>
      <c r="K53" s="184"/>
      <c r="L53" s="923"/>
    </row>
    <row r="54" spans="2:22" ht="15" customHeight="1" x14ac:dyDescent="0.35">
      <c r="B54" s="772" t="s">
        <v>521</v>
      </c>
      <c r="C54" s="315"/>
      <c r="D54" s="194"/>
      <c r="E54" s="598">
        <v>30000</v>
      </c>
      <c r="F54" s="774" t="s">
        <v>63</v>
      </c>
      <c r="G54" s="180"/>
      <c r="H54" s="180"/>
      <c r="I54" s="181"/>
      <c r="J54" s="181"/>
      <c r="K54" s="184"/>
      <c r="L54" s="923"/>
    </row>
    <row r="55" spans="2:22" ht="15" customHeight="1" x14ac:dyDescent="0.35">
      <c r="B55" s="772" t="s">
        <v>400</v>
      </c>
      <c r="C55" s="258">
        <v>1</v>
      </c>
      <c r="D55" s="194">
        <v>4000</v>
      </c>
      <c r="E55" s="598">
        <f>+C55*D55</f>
        <v>4000</v>
      </c>
      <c r="F55" s="774" t="s">
        <v>63</v>
      </c>
      <c r="M55" s="176"/>
      <c r="N55" s="180"/>
      <c r="O55" s="180"/>
      <c r="P55" s="181"/>
      <c r="Q55" s="181"/>
      <c r="R55" s="184"/>
    </row>
    <row r="56" spans="2:22" ht="15" customHeight="1" x14ac:dyDescent="0.35">
      <c r="B56" s="1432" t="s">
        <v>99</v>
      </c>
      <c r="C56" s="1432"/>
      <c r="D56" s="1432"/>
      <c r="E56" s="599">
        <f>+E48+E49+E50+E51+E52+E54+E55</f>
        <v>226365.62499999997</v>
      </c>
      <c r="F56" s="774" t="s">
        <v>63</v>
      </c>
      <c r="G56" s="774" t="s">
        <v>63</v>
      </c>
      <c r="M56" s="176"/>
      <c r="N56" s="176"/>
      <c r="O56" s="176"/>
      <c r="P56" s="181"/>
      <c r="Q56" s="181"/>
      <c r="R56" s="184"/>
      <c r="T56" s="923"/>
    </row>
    <row r="57" spans="2:22" s="923" customFormat="1" ht="15" customHeight="1" x14ac:dyDescent="0.35">
      <c r="B57" s="723" t="s">
        <v>333</v>
      </c>
      <c r="C57" s="727" t="s">
        <v>63</v>
      </c>
      <c r="D57" s="727" t="s">
        <v>63</v>
      </c>
      <c r="E57" s="722">
        <v>-120007.57</v>
      </c>
      <c r="F57" s="649" t="s">
        <v>63</v>
      </c>
      <c r="G57" s="771"/>
      <c r="H57" s="771"/>
      <c r="I57" s="771"/>
      <c r="J57" s="771"/>
      <c r="K57" s="771"/>
      <c r="L57" s="771"/>
      <c r="M57" s="176"/>
      <c r="N57" s="176"/>
      <c r="O57" s="176"/>
      <c r="P57" s="176"/>
      <c r="Q57" s="176"/>
      <c r="R57" s="176"/>
      <c r="S57" s="771"/>
      <c r="T57" s="771"/>
      <c r="U57" s="771"/>
      <c r="V57" s="771"/>
    </row>
    <row r="58" spans="2:22" s="923" customFormat="1" ht="15" customHeight="1" x14ac:dyDescent="0.35">
      <c r="B58" s="672"/>
      <c r="C58" s="673" t="s">
        <v>11</v>
      </c>
      <c r="D58" s="674"/>
      <c r="E58" s="675">
        <f>+E56+E57</f>
        <v>106358.05499999996</v>
      </c>
      <c r="F58" s="649" t="s">
        <v>63</v>
      </c>
      <c r="G58" s="771"/>
      <c r="H58" s="771"/>
      <c r="I58" s="771"/>
      <c r="J58" s="771"/>
      <c r="K58" s="771"/>
      <c r="L58" s="771"/>
      <c r="M58" s="176"/>
      <c r="N58" s="176"/>
      <c r="O58" s="176"/>
      <c r="P58" s="176"/>
      <c r="Q58" s="176"/>
      <c r="R58" s="176"/>
      <c r="S58" s="771"/>
      <c r="T58" s="771"/>
      <c r="U58" s="771"/>
      <c r="V58" s="771"/>
    </row>
    <row r="59" spans="2:22" ht="15" customHeight="1" x14ac:dyDescent="0.35">
      <c r="C59" s="771"/>
      <c r="D59" s="771"/>
      <c r="E59" s="771"/>
      <c r="N59" s="183"/>
      <c r="O59" s="183"/>
      <c r="P59" s="176"/>
      <c r="Q59" s="176"/>
      <c r="R59" s="176"/>
      <c r="T59" s="923"/>
    </row>
    <row r="60" spans="2:22" ht="15" customHeight="1" x14ac:dyDescent="0.35">
      <c r="C60" s="771"/>
      <c r="D60" s="771"/>
      <c r="E60" s="774" t="s">
        <v>63</v>
      </c>
    </row>
    <row r="61" spans="2:22" ht="15" customHeight="1" x14ac:dyDescent="0.35">
      <c r="B61" s="1442" t="s">
        <v>263</v>
      </c>
      <c r="C61" s="1443"/>
      <c r="D61" s="1443"/>
      <c r="E61" s="1444"/>
      <c r="V61" s="923"/>
    </row>
    <row r="62" spans="2:22" x14ac:dyDescent="0.35">
      <c r="B62" s="2" t="s">
        <v>7</v>
      </c>
      <c r="C62" s="270" t="s">
        <v>8</v>
      </c>
      <c r="D62" s="217" t="s">
        <v>4</v>
      </c>
      <c r="E62" s="597" t="s">
        <v>9</v>
      </c>
    </row>
    <row r="63" spans="2:22" x14ac:dyDescent="0.35">
      <c r="B63" s="772" t="s">
        <v>501</v>
      </c>
      <c r="C63" s="258">
        <v>175</v>
      </c>
      <c r="D63" s="227">
        <f>520*1.15*1.05</f>
        <v>627.9</v>
      </c>
      <c r="E63" s="598">
        <f>+C63*D63</f>
        <v>109882.5</v>
      </c>
      <c r="F63" s="774" t="s">
        <v>361</v>
      </c>
    </row>
    <row r="64" spans="2:22" x14ac:dyDescent="0.35">
      <c r="B64" s="772" t="s">
        <v>526</v>
      </c>
      <c r="C64" s="258">
        <v>8</v>
      </c>
      <c r="D64" s="227">
        <f>+D63</f>
        <v>627.9</v>
      </c>
      <c r="E64" s="598">
        <f>+C64*D64</f>
        <v>5023.2</v>
      </c>
    </row>
    <row r="65" spans="2:7" x14ac:dyDescent="0.35">
      <c r="B65" s="772" t="s">
        <v>490</v>
      </c>
      <c r="C65" s="258"/>
      <c r="D65" s="227"/>
      <c r="E65" s="598">
        <v>10000</v>
      </c>
    </row>
    <row r="66" spans="2:7" x14ac:dyDescent="0.35">
      <c r="B66" s="772" t="s">
        <v>489</v>
      </c>
      <c r="C66" s="258"/>
      <c r="D66" s="227"/>
      <c r="E66" s="598">
        <v>20000</v>
      </c>
    </row>
    <row r="67" spans="2:7" x14ac:dyDescent="0.35">
      <c r="B67" s="772" t="s">
        <v>195</v>
      </c>
      <c r="C67" s="258">
        <v>0</v>
      </c>
      <c r="D67" s="194">
        <f>+D63*1.5</f>
        <v>941.84999999999991</v>
      </c>
      <c r="E67" s="598">
        <f>+C67*D67</f>
        <v>0</v>
      </c>
      <c r="F67" s="774" t="s">
        <v>63</v>
      </c>
      <c r="G67" s="774" t="s">
        <v>63</v>
      </c>
    </row>
    <row r="68" spans="2:7" x14ac:dyDescent="0.35">
      <c r="B68" s="772" t="s">
        <v>449</v>
      </c>
      <c r="C68" s="258" t="s">
        <v>63</v>
      </c>
      <c r="D68" s="194" t="s">
        <v>63</v>
      </c>
      <c r="E68" s="598" t="s">
        <v>63</v>
      </c>
      <c r="F68" s="774" t="s">
        <v>63</v>
      </c>
      <c r="G68" s="774"/>
    </row>
    <row r="69" spans="2:7" x14ac:dyDescent="0.35">
      <c r="B69" s="772" t="s">
        <v>521</v>
      </c>
      <c r="C69" s="258" t="s">
        <v>63</v>
      </c>
      <c r="D69" s="194" t="s">
        <v>63</v>
      </c>
      <c r="E69" s="598">
        <v>30000</v>
      </c>
      <c r="F69" s="774" t="s">
        <v>63</v>
      </c>
    </row>
    <row r="70" spans="2:7" x14ac:dyDescent="0.35">
      <c r="B70" s="1439" t="s">
        <v>99</v>
      </c>
      <c r="C70" s="1440"/>
      <c r="D70" s="1441"/>
      <c r="E70" s="599">
        <f>+E63+E64+E65+E66+E67+E69</f>
        <v>174905.7</v>
      </c>
      <c r="F70" s="774" t="s">
        <v>63</v>
      </c>
    </row>
    <row r="71" spans="2:7" x14ac:dyDescent="0.35">
      <c r="B71" s="921" t="s">
        <v>548</v>
      </c>
      <c r="C71" s="922">
        <f>+E63+E64+E65+E66</f>
        <v>144905.70000000001</v>
      </c>
      <c r="D71" s="720"/>
      <c r="E71" s="722">
        <f>-C71*0.1</f>
        <v>-14490.570000000002</v>
      </c>
      <c r="F71" s="774" t="s">
        <v>63</v>
      </c>
    </row>
    <row r="72" spans="2:7" x14ac:dyDescent="0.35">
      <c r="B72" s="672"/>
      <c r="C72" s="673" t="s">
        <v>11</v>
      </c>
      <c r="D72" s="674"/>
      <c r="E72" s="675">
        <f>+E70+E71</f>
        <v>160415.13</v>
      </c>
      <c r="F72" s="774" t="s">
        <v>63</v>
      </c>
    </row>
    <row r="73" spans="2:7" x14ac:dyDescent="0.35">
      <c r="C73" s="771"/>
      <c r="D73" s="771"/>
      <c r="E73" s="771"/>
    </row>
    <row r="75" spans="2:7" ht="21" customHeight="1" x14ac:dyDescent="0.35">
      <c r="B75" s="1442" t="s">
        <v>354</v>
      </c>
      <c r="C75" s="1443"/>
      <c r="D75" s="1443"/>
      <c r="E75" s="1444"/>
    </row>
    <row r="76" spans="2:7" ht="21" customHeight="1" x14ac:dyDescent="0.35">
      <c r="B76" s="2" t="s">
        <v>7</v>
      </c>
      <c r="C76" s="270" t="s">
        <v>8</v>
      </c>
      <c r="D76" s="217" t="s">
        <v>4</v>
      </c>
      <c r="E76" s="597" t="s">
        <v>9</v>
      </c>
    </row>
    <row r="77" spans="2:7" ht="14.5" customHeight="1" x14ac:dyDescent="0.35">
      <c r="B77" s="772" t="s">
        <v>3</v>
      </c>
      <c r="C77" s="258">
        <v>140</v>
      </c>
      <c r="D77" s="227">
        <f>460*1.2</f>
        <v>552</v>
      </c>
      <c r="E77" s="598">
        <f>+C77*D77</f>
        <v>77280</v>
      </c>
      <c r="F77" s="771" t="s">
        <v>63</v>
      </c>
    </row>
    <row r="78" spans="2:7" ht="13.5" customHeight="1" x14ac:dyDescent="0.35">
      <c r="B78" s="772" t="s">
        <v>528</v>
      </c>
      <c r="C78" s="258">
        <v>8</v>
      </c>
      <c r="D78" s="227">
        <v>552</v>
      </c>
      <c r="E78" s="598">
        <f>+C78*D78</f>
        <v>4416</v>
      </c>
    </row>
    <row r="79" spans="2:7" ht="13.5" customHeight="1" x14ac:dyDescent="0.35">
      <c r="B79" s="772" t="s">
        <v>541</v>
      </c>
      <c r="C79" s="258">
        <v>8</v>
      </c>
      <c r="D79" s="227">
        <v>552</v>
      </c>
      <c r="E79" s="598">
        <f>+C79*D79</f>
        <v>4416</v>
      </c>
    </row>
    <row r="80" spans="2:7" ht="13.5" customHeight="1" x14ac:dyDescent="0.35">
      <c r="B80" s="772" t="s">
        <v>549</v>
      </c>
      <c r="C80" s="258">
        <v>24</v>
      </c>
      <c r="D80" s="227">
        <v>552</v>
      </c>
      <c r="E80" s="598">
        <f>+C80*D80</f>
        <v>13248</v>
      </c>
    </row>
    <row r="81" spans="2:7" x14ac:dyDescent="0.35">
      <c r="B81" s="772" t="s">
        <v>266</v>
      </c>
      <c r="C81" s="258"/>
      <c r="D81" s="227"/>
      <c r="E81" s="598">
        <v>5000</v>
      </c>
    </row>
    <row r="82" spans="2:7" x14ac:dyDescent="0.35">
      <c r="B82" s="772" t="s">
        <v>6</v>
      </c>
      <c r="C82" s="258"/>
      <c r="D82" s="227"/>
      <c r="E82" s="598">
        <v>20000</v>
      </c>
    </row>
    <row r="83" spans="2:7" x14ac:dyDescent="0.35">
      <c r="B83" s="772" t="s">
        <v>195</v>
      </c>
      <c r="C83" s="258">
        <v>6</v>
      </c>
      <c r="D83" s="194">
        <f>+D77*1.5</f>
        <v>828</v>
      </c>
      <c r="E83" s="598">
        <f>+C83*D83</f>
        <v>4968</v>
      </c>
      <c r="F83" s="774" t="s">
        <v>63</v>
      </c>
    </row>
    <row r="84" spans="2:7" x14ac:dyDescent="0.35">
      <c r="B84" s="772" t="s">
        <v>449</v>
      </c>
      <c r="C84" s="258" t="s">
        <v>63</v>
      </c>
      <c r="D84" s="194" t="s">
        <v>63</v>
      </c>
      <c r="E84" s="598" t="s">
        <v>63</v>
      </c>
      <c r="F84" s="774" t="s">
        <v>63</v>
      </c>
    </row>
    <row r="85" spans="2:7" x14ac:dyDescent="0.35">
      <c r="B85" s="772" t="s">
        <v>555</v>
      </c>
      <c r="C85" s="258"/>
      <c r="D85" s="194"/>
      <c r="E85" s="598">
        <v>30000</v>
      </c>
    </row>
    <row r="86" spans="2:7" x14ac:dyDescent="0.35">
      <c r="B86" s="772" t="s">
        <v>303</v>
      </c>
      <c r="C86" s="258" t="s">
        <v>63</v>
      </c>
      <c r="D86" s="194" t="s">
        <v>63</v>
      </c>
      <c r="E86" s="598">
        <v>20000</v>
      </c>
    </row>
    <row r="87" spans="2:7" x14ac:dyDescent="0.35">
      <c r="B87" s="1439" t="s">
        <v>99</v>
      </c>
      <c r="C87" s="1440"/>
      <c r="D87" s="1441"/>
      <c r="E87" s="599">
        <f>+E77+E78+E79+E80+E81+E82+E83+E85+E86</f>
        <v>179328</v>
      </c>
      <c r="F87" s="774" t="s">
        <v>63</v>
      </c>
      <c r="G87" s="774" t="s">
        <v>63</v>
      </c>
    </row>
    <row r="88" spans="2:7" x14ac:dyDescent="0.35">
      <c r="B88" s="723" t="s">
        <v>19</v>
      </c>
      <c r="C88" s="720" t="s">
        <v>63</v>
      </c>
      <c r="D88" s="720"/>
      <c r="E88" s="722">
        <v>-60000</v>
      </c>
      <c r="F88" s="774" t="s">
        <v>63</v>
      </c>
    </row>
    <row r="89" spans="2:7" s="760" customFormat="1" ht="21" x14ac:dyDescent="0.5">
      <c r="B89" s="756"/>
      <c r="C89" s="757" t="s">
        <v>11</v>
      </c>
      <c r="D89" s="758"/>
      <c r="E89" s="759">
        <f>+E87+E88</f>
        <v>119328</v>
      </c>
      <c r="F89" s="797" t="s">
        <v>63</v>
      </c>
    </row>
    <row r="92" spans="2:7" ht="23.5" x14ac:dyDescent="0.35">
      <c r="B92" s="1442" t="s">
        <v>260</v>
      </c>
      <c r="C92" s="1443"/>
      <c r="D92" s="1443"/>
      <c r="E92" s="1444"/>
    </row>
    <row r="93" spans="2:7" x14ac:dyDescent="0.35">
      <c r="B93" s="2" t="s">
        <v>7</v>
      </c>
      <c r="C93" s="270" t="s">
        <v>8</v>
      </c>
      <c r="D93" s="217" t="s">
        <v>4</v>
      </c>
      <c r="E93" s="597" t="s">
        <v>9</v>
      </c>
    </row>
    <row r="94" spans="2:7" x14ac:dyDescent="0.35">
      <c r="B94" s="772" t="s">
        <v>3</v>
      </c>
      <c r="C94" s="258">
        <v>141</v>
      </c>
      <c r="D94" s="194">
        <f>700*1.15</f>
        <v>804.99999999999989</v>
      </c>
      <c r="E94" s="598">
        <f>+C94*D94</f>
        <v>113504.99999999999</v>
      </c>
      <c r="F94" s="774" t="s">
        <v>63</v>
      </c>
    </row>
    <row r="95" spans="2:7" x14ac:dyDescent="0.35">
      <c r="B95" s="772" t="s">
        <v>530</v>
      </c>
      <c r="C95" s="258">
        <v>7</v>
      </c>
      <c r="D95" s="194">
        <f>+D94</f>
        <v>804.99999999999989</v>
      </c>
      <c r="E95" s="609">
        <f>+C95*D95</f>
        <v>5634.9999999999991</v>
      </c>
    </row>
    <row r="96" spans="2:7" x14ac:dyDescent="0.35">
      <c r="B96" s="772" t="s">
        <v>6</v>
      </c>
      <c r="C96" s="258"/>
      <c r="D96" s="194"/>
      <c r="E96" s="609">
        <v>15000</v>
      </c>
    </row>
    <row r="97" spans="2:6" x14ac:dyDescent="0.35">
      <c r="B97" s="614" t="s">
        <v>200</v>
      </c>
      <c r="C97" s="617"/>
      <c r="D97" s="227"/>
      <c r="E97" s="609">
        <v>5000</v>
      </c>
      <c r="F97" s="774" t="s">
        <v>63</v>
      </c>
    </row>
    <row r="98" spans="2:6" x14ac:dyDescent="0.35">
      <c r="B98" s="614" t="s">
        <v>521</v>
      </c>
      <c r="C98" s="617"/>
      <c r="D98" s="227"/>
      <c r="E98" s="609">
        <v>30000</v>
      </c>
      <c r="F98" s="774"/>
    </row>
    <row r="99" spans="2:6" s="764" customFormat="1" x14ac:dyDescent="0.35">
      <c r="B99" s="882" t="s">
        <v>99</v>
      </c>
      <c r="C99" s="883"/>
      <c r="D99" s="883"/>
      <c r="E99" s="884">
        <f>+E94+E95+E96+E97+E98</f>
        <v>169140</v>
      </c>
      <c r="F99" s="769" t="s">
        <v>63</v>
      </c>
    </row>
    <row r="100" spans="2:6" x14ac:dyDescent="0.35">
      <c r="B100" s="615" t="s">
        <v>374</v>
      </c>
      <c r="C100" s="709"/>
      <c r="D100" s="619"/>
      <c r="E100" s="710">
        <v>-59400</v>
      </c>
      <c r="F100" s="774" t="s">
        <v>63</v>
      </c>
    </row>
    <row r="101" spans="2:6" ht="15.5" x14ac:dyDescent="0.35">
      <c r="B101" s="928" t="s">
        <v>11</v>
      </c>
      <c r="C101" s="708"/>
      <c r="D101" s="706"/>
      <c r="E101" s="603">
        <f>+E99+E100</f>
        <v>109740</v>
      </c>
      <c r="F101" s="774" t="s">
        <v>63</v>
      </c>
    </row>
    <row r="102" spans="2:6" x14ac:dyDescent="0.35">
      <c r="F102" s="774" t="s">
        <v>63</v>
      </c>
    </row>
    <row r="104" spans="2:6" ht="23.5" x14ac:dyDescent="0.35">
      <c r="B104" s="1442" t="s">
        <v>264</v>
      </c>
      <c r="C104" s="1443"/>
      <c r="D104" s="1443"/>
      <c r="E104" s="1444"/>
    </row>
    <row r="105" spans="2:6" x14ac:dyDescent="0.35">
      <c r="B105" s="2" t="s">
        <v>7</v>
      </c>
      <c r="C105" s="270" t="s">
        <v>8</v>
      </c>
      <c r="D105" s="217" t="s">
        <v>4</v>
      </c>
      <c r="E105" s="597" t="s">
        <v>9</v>
      </c>
    </row>
    <row r="106" spans="2:6" x14ac:dyDescent="0.35">
      <c r="B106" s="772" t="s">
        <v>3</v>
      </c>
      <c r="C106" s="258">
        <v>166</v>
      </c>
      <c r="D106" s="227">
        <v>600</v>
      </c>
      <c r="E106" s="598">
        <f>+C106*D106</f>
        <v>99600</v>
      </c>
      <c r="F106" s="771" t="s">
        <v>550</v>
      </c>
    </row>
    <row r="107" spans="2:6" x14ac:dyDescent="0.35">
      <c r="B107" s="772" t="s">
        <v>530</v>
      </c>
      <c r="C107" s="258">
        <v>8</v>
      </c>
      <c r="D107" s="227">
        <f>+D106</f>
        <v>600</v>
      </c>
      <c r="E107" s="598">
        <f>+C107*D107</f>
        <v>4800</v>
      </c>
    </row>
    <row r="108" spans="2:6" x14ac:dyDescent="0.35">
      <c r="B108" s="772" t="s">
        <v>541</v>
      </c>
      <c r="C108" s="258">
        <v>8</v>
      </c>
      <c r="D108" s="227">
        <v>600</v>
      </c>
      <c r="E108" s="598">
        <f>+C108*D108</f>
        <v>4800</v>
      </c>
    </row>
    <row r="109" spans="2:6" x14ac:dyDescent="0.35">
      <c r="B109" s="772" t="s">
        <v>196</v>
      </c>
      <c r="C109" s="258"/>
      <c r="D109" s="227"/>
      <c r="E109" s="598">
        <v>5000</v>
      </c>
    </row>
    <row r="110" spans="2:6" x14ac:dyDescent="0.35">
      <c r="B110" s="772" t="s">
        <v>6</v>
      </c>
      <c r="C110" s="258" t="s">
        <v>63</v>
      </c>
      <c r="D110" s="227" t="s">
        <v>63</v>
      </c>
      <c r="E110" s="598">
        <v>10000</v>
      </c>
    </row>
    <row r="111" spans="2:6" x14ac:dyDescent="0.35">
      <c r="B111" s="772" t="s">
        <v>270</v>
      </c>
      <c r="C111" s="258">
        <v>0</v>
      </c>
      <c r="D111" s="227">
        <f>+D106*1.5</f>
        <v>900</v>
      </c>
      <c r="E111" s="598">
        <f>+C111*D111</f>
        <v>0</v>
      </c>
      <c r="F111" s="774" t="s">
        <v>63</v>
      </c>
    </row>
    <row r="112" spans="2:6" x14ac:dyDescent="0.35">
      <c r="B112" s="772" t="s">
        <v>281</v>
      </c>
      <c r="C112" s="258" t="s">
        <v>63</v>
      </c>
      <c r="D112" s="227" t="s">
        <v>63</v>
      </c>
      <c r="E112" s="598" t="s">
        <v>63</v>
      </c>
    </row>
    <row r="113" spans="2:7" x14ac:dyDescent="0.35">
      <c r="B113" s="772" t="s">
        <v>517</v>
      </c>
      <c r="C113" s="258"/>
      <c r="D113" s="227"/>
      <c r="E113" s="598">
        <v>8000</v>
      </c>
    </row>
    <row r="114" spans="2:7" x14ac:dyDescent="0.35">
      <c r="B114" s="772" t="s">
        <v>521</v>
      </c>
      <c r="C114" s="258"/>
      <c r="D114" s="227"/>
      <c r="E114" s="598">
        <v>30000</v>
      </c>
      <c r="F114" s="774" t="s">
        <v>63</v>
      </c>
    </row>
    <row r="115" spans="2:7" x14ac:dyDescent="0.35">
      <c r="B115" s="1439" t="s">
        <v>99</v>
      </c>
      <c r="C115" s="1440"/>
      <c r="D115" s="1441"/>
      <c r="E115" s="599">
        <f>+E106+E107+E108+E109+E110+E113+E114</f>
        <v>162200</v>
      </c>
      <c r="F115" s="774" t="s">
        <v>63</v>
      </c>
    </row>
    <row r="116" spans="2:7" x14ac:dyDescent="0.35">
      <c r="B116" s="723" t="s">
        <v>50</v>
      </c>
      <c r="C116" s="721"/>
      <c r="D116" s="721"/>
      <c r="E116" s="722">
        <v>-20000</v>
      </c>
      <c r="F116" s="774" t="s">
        <v>63</v>
      </c>
      <c r="G116" s="774" t="s">
        <v>63</v>
      </c>
    </row>
    <row r="117" spans="2:7" ht="15.5" x14ac:dyDescent="0.35">
      <c r="B117" s="1446" t="s">
        <v>11</v>
      </c>
      <c r="C117" s="1447"/>
      <c r="D117" s="1448"/>
      <c r="E117" s="603">
        <f>+E115+E116</f>
        <v>142200</v>
      </c>
      <c r="F117" s="774" t="s">
        <v>63</v>
      </c>
    </row>
    <row r="120" spans="2:7" ht="23.5" x14ac:dyDescent="0.35">
      <c r="B120" s="1442" t="s">
        <v>456</v>
      </c>
      <c r="C120" s="1443"/>
      <c r="D120" s="1443"/>
      <c r="E120" s="1444"/>
    </row>
    <row r="121" spans="2:7" x14ac:dyDescent="0.35">
      <c r="B121" s="801" t="s">
        <v>7</v>
      </c>
      <c r="C121" s="802" t="s">
        <v>388</v>
      </c>
      <c r="D121" s="803" t="s">
        <v>272</v>
      </c>
      <c r="E121" s="804" t="s">
        <v>9</v>
      </c>
    </row>
    <row r="122" spans="2:7" x14ac:dyDescent="0.35">
      <c r="B122" s="805" t="s">
        <v>3</v>
      </c>
      <c r="C122" s="806">
        <v>175</v>
      </c>
      <c r="D122" s="807">
        <f>500*1.2</f>
        <v>600</v>
      </c>
      <c r="E122" s="833">
        <f>+C122*D122</f>
        <v>105000</v>
      </c>
      <c r="F122" s="771" t="s">
        <v>63</v>
      </c>
    </row>
    <row r="123" spans="2:7" x14ac:dyDescent="0.35">
      <c r="B123" s="805" t="s">
        <v>316</v>
      </c>
      <c r="C123" s="806">
        <v>8</v>
      </c>
      <c r="D123" s="807">
        <v>600</v>
      </c>
      <c r="E123" s="833">
        <f>+C123*D123</f>
        <v>4800</v>
      </c>
    </row>
    <row r="124" spans="2:7" x14ac:dyDescent="0.35">
      <c r="B124" s="805" t="s">
        <v>6</v>
      </c>
      <c r="C124" s="806" t="s">
        <v>63</v>
      </c>
      <c r="D124" s="807" t="s">
        <v>63</v>
      </c>
      <c r="E124" s="834">
        <v>10000</v>
      </c>
    </row>
    <row r="125" spans="2:7" x14ac:dyDescent="0.35">
      <c r="B125" s="614" t="s">
        <v>200</v>
      </c>
      <c r="C125" s="617"/>
      <c r="D125" s="227"/>
      <c r="E125" s="598">
        <v>10000</v>
      </c>
    </row>
    <row r="126" spans="2:7" x14ac:dyDescent="0.35">
      <c r="B126" s="614" t="s">
        <v>475</v>
      </c>
      <c r="C126" s="617">
        <v>0</v>
      </c>
      <c r="D126" s="227">
        <f>+D122*1.5</f>
        <v>900</v>
      </c>
      <c r="E126" s="598">
        <f>+C126*D126</f>
        <v>0</v>
      </c>
    </row>
    <row r="127" spans="2:7" x14ac:dyDescent="0.35">
      <c r="B127" s="614" t="s">
        <v>476</v>
      </c>
      <c r="C127" s="617" t="s">
        <v>63</v>
      </c>
      <c r="D127" s="227" t="s">
        <v>63</v>
      </c>
      <c r="E127" s="598" t="s">
        <v>63</v>
      </c>
    </row>
    <row r="128" spans="2:7" x14ac:dyDescent="0.35">
      <c r="B128" s="614" t="s">
        <v>517</v>
      </c>
      <c r="C128" s="617"/>
      <c r="D128" s="227"/>
      <c r="E128" s="598">
        <v>10000</v>
      </c>
    </row>
    <row r="129" spans="2:8" x14ac:dyDescent="0.35">
      <c r="B129" s="614" t="s">
        <v>521</v>
      </c>
      <c r="C129" s="617"/>
      <c r="D129" s="227"/>
      <c r="E129" s="598">
        <v>30000</v>
      </c>
    </row>
    <row r="130" spans="2:8" ht="15.5" x14ac:dyDescent="0.35">
      <c r="B130" s="1433" t="s">
        <v>389</v>
      </c>
      <c r="C130" s="1433"/>
      <c r="D130" s="1433"/>
      <c r="E130" s="603">
        <f>+E122+E123+E124+E125+E126+E128+E129</f>
        <v>169800</v>
      </c>
      <c r="F130" s="774" t="s">
        <v>63</v>
      </c>
    </row>
    <row r="131" spans="2:8" ht="15.5" x14ac:dyDescent="0.35">
      <c r="B131" s="831" t="s">
        <v>63</v>
      </c>
      <c r="C131" s="829"/>
      <c r="D131" s="829"/>
      <c r="E131" s="830" t="s">
        <v>63</v>
      </c>
      <c r="F131" s="771" t="s">
        <v>63</v>
      </c>
      <c r="G131" s="771" t="s">
        <v>63</v>
      </c>
      <c r="H131" s="771" t="s">
        <v>63</v>
      </c>
    </row>
    <row r="132" spans="2:8" ht="15.5" x14ac:dyDescent="0.35">
      <c r="B132" s="611" t="s">
        <v>11</v>
      </c>
      <c r="C132" s="926"/>
      <c r="D132" s="926"/>
      <c r="E132" s="603">
        <f>+E122+E123+E124+E125+E126+E128+E129</f>
        <v>169800</v>
      </c>
    </row>
    <row r="133" spans="2:8" x14ac:dyDescent="0.35">
      <c r="E133" s="203" t="s">
        <v>63</v>
      </c>
    </row>
    <row r="135" spans="2:8" ht="23.5" x14ac:dyDescent="0.35">
      <c r="B135" s="1442" t="s">
        <v>542</v>
      </c>
      <c r="C135" s="1443"/>
      <c r="D135" s="1443"/>
      <c r="E135" s="1444"/>
    </row>
    <row r="136" spans="2:8" x14ac:dyDescent="0.35">
      <c r="B136" s="801"/>
      <c r="C136" s="802"/>
      <c r="D136" s="803"/>
      <c r="E136" s="804"/>
    </row>
    <row r="137" spans="2:8" x14ac:dyDescent="0.35">
      <c r="B137" s="772" t="s">
        <v>3</v>
      </c>
      <c r="C137" s="258">
        <v>107</v>
      </c>
      <c r="D137" s="227">
        <v>540</v>
      </c>
      <c r="E137" s="598">
        <f>+C137*D137</f>
        <v>57780</v>
      </c>
    </row>
    <row r="138" spans="2:8" x14ac:dyDescent="0.35">
      <c r="B138" s="772" t="s">
        <v>316</v>
      </c>
      <c r="C138" s="258">
        <v>8</v>
      </c>
      <c r="D138" s="227">
        <v>540</v>
      </c>
      <c r="E138" s="598">
        <f>+C138*D138</f>
        <v>4320</v>
      </c>
    </row>
    <row r="139" spans="2:8" x14ac:dyDescent="0.35">
      <c r="B139" s="772" t="s">
        <v>543</v>
      </c>
      <c r="C139" s="258"/>
      <c r="D139" s="227"/>
      <c r="E139" s="598">
        <v>7000</v>
      </c>
    </row>
    <row r="140" spans="2:8" x14ac:dyDescent="0.35">
      <c r="B140" s="772" t="s">
        <v>6</v>
      </c>
      <c r="C140" s="258"/>
      <c r="D140" s="227"/>
      <c r="E140" s="598">
        <v>10000</v>
      </c>
    </row>
    <row r="141" spans="2:8" x14ac:dyDescent="0.35">
      <c r="B141" s="772"/>
      <c r="C141" s="258"/>
      <c r="D141" s="227"/>
      <c r="E141" s="598"/>
    </row>
    <row r="142" spans="2:8" x14ac:dyDescent="0.35">
      <c r="B142" s="889"/>
      <c r="C142" s="890"/>
      <c r="D142" s="814"/>
      <c r="E142" s="598"/>
    </row>
    <row r="143" spans="2:8" x14ac:dyDescent="0.35">
      <c r="B143" s="1439" t="s">
        <v>389</v>
      </c>
      <c r="C143" s="1440"/>
      <c r="D143" s="1441"/>
      <c r="E143" s="599">
        <f>+E137+E138+E139+E140</f>
        <v>79100</v>
      </c>
    </row>
    <row r="144" spans="2:8" x14ac:dyDescent="0.35">
      <c r="B144" s="831"/>
      <c r="C144" s="829"/>
      <c r="D144" s="829"/>
      <c r="E144" s="844"/>
    </row>
    <row r="145" spans="2:6" ht="15.5" x14ac:dyDescent="0.35">
      <c r="B145" s="1446" t="s">
        <v>11</v>
      </c>
      <c r="C145" s="1447"/>
      <c r="D145" s="1448"/>
      <c r="E145" s="603">
        <f>+E137+E138+E139+E140</f>
        <v>79100</v>
      </c>
    </row>
    <row r="148" spans="2:6" ht="23.5" x14ac:dyDescent="0.35">
      <c r="B148" s="1442" t="s">
        <v>544</v>
      </c>
      <c r="C148" s="1443"/>
      <c r="D148" s="1443"/>
      <c r="E148" s="1444"/>
    </row>
    <row r="149" spans="2:6" x14ac:dyDescent="0.35">
      <c r="B149" s="2" t="s">
        <v>7</v>
      </c>
      <c r="C149" s="270" t="s">
        <v>8</v>
      </c>
      <c r="D149" s="217" t="s">
        <v>4</v>
      </c>
      <c r="E149" s="597" t="s">
        <v>9</v>
      </c>
    </row>
    <row r="150" spans="2:6" x14ac:dyDescent="0.35">
      <c r="B150" s="772" t="s">
        <v>3</v>
      </c>
      <c r="C150" s="258">
        <v>167</v>
      </c>
      <c r="D150" s="227">
        <f>450*1.2</f>
        <v>540</v>
      </c>
      <c r="E150" s="598">
        <f>+C150*D150</f>
        <v>90180</v>
      </c>
    </row>
    <row r="151" spans="2:6" x14ac:dyDescent="0.35">
      <c r="B151" s="772" t="s">
        <v>519</v>
      </c>
      <c r="C151" s="258">
        <v>8</v>
      </c>
      <c r="D151" s="227">
        <v>540</v>
      </c>
      <c r="E151" s="598">
        <f>+C151*D151</f>
        <v>4320</v>
      </c>
    </row>
    <row r="152" spans="2:6" x14ac:dyDescent="0.35">
      <c r="B152" s="772" t="s">
        <v>200</v>
      </c>
      <c r="C152" s="258"/>
      <c r="D152" s="227"/>
      <c r="E152" s="598">
        <v>10000</v>
      </c>
    </row>
    <row r="153" spans="2:6" x14ac:dyDescent="0.35">
      <c r="B153" s="772" t="s">
        <v>6</v>
      </c>
      <c r="C153" s="258" t="s">
        <v>63</v>
      </c>
      <c r="D153" s="194" t="s">
        <v>63</v>
      </c>
      <c r="E153" s="598">
        <v>20000</v>
      </c>
    </row>
    <row r="154" spans="2:6" x14ac:dyDescent="0.35">
      <c r="B154" s="772" t="s">
        <v>270</v>
      </c>
      <c r="C154" s="258">
        <v>1.5</v>
      </c>
      <c r="D154" s="194">
        <f>+D150*1.5</f>
        <v>810</v>
      </c>
      <c r="E154" s="598">
        <f>+C154*D154</f>
        <v>1215</v>
      </c>
      <c r="F154" s="771" t="s">
        <v>63</v>
      </c>
    </row>
    <row r="155" spans="2:6" x14ac:dyDescent="0.35">
      <c r="B155" s="772" t="s">
        <v>63</v>
      </c>
      <c r="C155" s="258" t="s">
        <v>63</v>
      </c>
      <c r="D155" s="194" t="s">
        <v>63</v>
      </c>
      <c r="E155" s="598" t="s">
        <v>63</v>
      </c>
    </row>
    <row r="156" spans="2:6" x14ac:dyDescent="0.35">
      <c r="B156" s="1439" t="s">
        <v>99</v>
      </c>
      <c r="C156" s="1440"/>
      <c r="D156" s="1441"/>
      <c r="E156" s="599">
        <f>+E150+E151+E152+E153+E154</f>
        <v>125715</v>
      </c>
      <c r="F156" s="774" t="s">
        <v>63</v>
      </c>
    </row>
    <row r="157" spans="2:6" x14ac:dyDescent="0.35">
      <c r="B157" s="724" t="s">
        <v>19</v>
      </c>
      <c r="C157" s="729" t="s">
        <v>63</v>
      </c>
      <c r="D157" s="730" t="s">
        <v>63</v>
      </c>
      <c r="E157" s="731" t="s">
        <v>63</v>
      </c>
      <c r="F157" s="774" t="s">
        <v>63</v>
      </c>
    </row>
    <row r="158" spans="2:6" x14ac:dyDescent="0.35">
      <c r="B158" s="739" t="s">
        <v>63</v>
      </c>
      <c r="C158" s="729"/>
      <c r="D158" s="730"/>
      <c r="E158" s="731" t="s">
        <v>63</v>
      </c>
    </row>
    <row r="159" spans="2:6" ht="23.5" x14ac:dyDescent="0.55000000000000004">
      <c r="B159" s="751"/>
      <c r="C159" s="752" t="s">
        <v>11</v>
      </c>
      <c r="D159" s="753"/>
      <c r="E159" s="754">
        <f>+E150+E151+E152+E153+E154</f>
        <v>125715</v>
      </c>
      <c r="F159" s="770" t="s">
        <v>63</v>
      </c>
    </row>
    <row r="161" spans="3:6" x14ac:dyDescent="0.35">
      <c r="F161" s="771" t="s">
        <v>63</v>
      </c>
    </row>
    <row r="167" spans="3:6" x14ac:dyDescent="0.35">
      <c r="C167" s="771"/>
      <c r="D167" s="771"/>
      <c r="E167" s="771"/>
    </row>
    <row r="168" spans="3:6" x14ac:dyDescent="0.35">
      <c r="C168" s="771"/>
      <c r="D168" s="771"/>
      <c r="E168" s="771"/>
    </row>
    <row r="169" spans="3:6" x14ac:dyDescent="0.35">
      <c r="C169" s="771"/>
      <c r="D169" s="771"/>
      <c r="E169" s="771"/>
    </row>
    <row r="170" spans="3:6" x14ac:dyDescent="0.35">
      <c r="C170" s="771"/>
      <c r="D170" s="771"/>
      <c r="E170" s="771"/>
    </row>
    <row r="171" spans="3:6" x14ac:dyDescent="0.35">
      <c r="C171" s="771"/>
      <c r="D171" s="771"/>
      <c r="E171" s="771"/>
    </row>
  </sheetData>
  <mergeCells count="25">
    <mergeCell ref="B156:D156"/>
    <mergeCell ref="B120:E120"/>
    <mergeCell ref="B130:D130"/>
    <mergeCell ref="B135:E135"/>
    <mergeCell ref="B143:D143"/>
    <mergeCell ref="B145:D145"/>
    <mergeCell ref="B148:E148"/>
    <mergeCell ref="B117:D117"/>
    <mergeCell ref="B30:E30"/>
    <mergeCell ref="B40:D40"/>
    <mergeCell ref="B46:E46"/>
    <mergeCell ref="B56:D56"/>
    <mergeCell ref="B61:E61"/>
    <mergeCell ref="B70:D70"/>
    <mergeCell ref="B75:E75"/>
    <mergeCell ref="B87:D87"/>
    <mergeCell ref="B92:E92"/>
    <mergeCell ref="B104:E104"/>
    <mergeCell ref="B115:D115"/>
    <mergeCell ref="B28:D28"/>
    <mergeCell ref="B1:E1"/>
    <mergeCell ref="B10:D10"/>
    <mergeCell ref="B13:D13"/>
    <mergeCell ref="B15:E15"/>
    <mergeCell ref="B25:D25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E40"/>
  <sheetViews>
    <sheetView topLeftCell="A28" workbookViewId="0">
      <selection activeCell="A35" sqref="A35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15.7265625" style="771" customWidth="1"/>
    <col min="5" max="5" width="14.08984375" style="771" customWidth="1"/>
    <col min="6" max="16384" width="10.90625" style="771"/>
  </cols>
  <sheetData>
    <row r="1" spans="1:4" s="658" customFormat="1" ht="28.5" x14ac:dyDescent="0.65">
      <c r="B1" s="718" t="s">
        <v>551</v>
      </c>
      <c r="C1" s="657"/>
    </row>
    <row r="3" spans="1:4" x14ac:dyDescent="0.35">
      <c r="A3" s="771">
        <v>1</v>
      </c>
      <c r="B3" s="772" t="s">
        <v>10</v>
      </c>
      <c r="C3" s="773">
        <v>77200</v>
      </c>
    </row>
    <row r="4" spans="1:4" x14ac:dyDescent="0.35">
      <c r="A4" s="771">
        <v>2</v>
      </c>
      <c r="B4" s="772" t="s">
        <v>15</v>
      </c>
      <c r="C4" s="773">
        <v>278500</v>
      </c>
    </row>
    <row r="5" spans="1:4" x14ac:dyDescent="0.35">
      <c r="A5" s="771">
        <v>3</v>
      </c>
      <c r="B5" s="772" t="s">
        <v>16</v>
      </c>
      <c r="C5" s="773">
        <v>114720</v>
      </c>
    </row>
    <row r="6" spans="1:4" x14ac:dyDescent="0.35">
      <c r="A6" s="176">
        <v>4</v>
      </c>
      <c r="B6" s="772" t="s">
        <v>0</v>
      </c>
      <c r="C6" s="773">
        <v>106400</v>
      </c>
    </row>
    <row r="7" spans="1:4" x14ac:dyDescent="0.35">
      <c r="A7" s="176">
        <v>5</v>
      </c>
      <c r="B7" s="772" t="s">
        <v>245</v>
      </c>
      <c r="C7" s="773">
        <v>142200</v>
      </c>
    </row>
    <row r="8" spans="1:4" x14ac:dyDescent="0.35">
      <c r="A8" s="176">
        <v>6</v>
      </c>
      <c r="B8" s="772" t="s">
        <v>267</v>
      </c>
      <c r="C8" s="773">
        <v>160450</v>
      </c>
    </row>
    <row r="9" spans="1:4" x14ac:dyDescent="0.35">
      <c r="A9" s="176">
        <v>7</v>
      </c>
      <c r="B9" s="772" t="s">
        <v>260</v>
      </c>
      <c r="C9" s="773">
        <v>109740</v>
      </c>
    </row>
    <row r="10" spans="1:4" x14ac:dyDescent="0.35">
      <c r="A10" s="176">
        <v>8</v>
      </c>
      <c r="B10" s="772" t="s">
        <v>355</v>
      </c>
      <c r="C10" s="773">
        <v>119350</v>
      </c>
    </row>
    <row r="11" spans="1:4" x14ac:dyDescent="0.35">
      <c r="A11" s="176">
        <v>9</v>
      </c>
      <c r="B11" s="772" t="s">
        <v>552</v>
      </c>
      <c r="C11" s="773">
        <v>79100</v>
      </c>
    </row>
    <row r="12" spans="1:4" x14ac:dyDescent="0.35">
      <c r="A12" s="176">
        <v>10</v>
      </c>
      <c r="B12" s="772" t="s">
        <v>553</v>
      </c>
      <c r="C12" s="773">
        <v>125720</v>
      </c>
    </row>
    <row r="13" spans="1:4" x14ac:dyDescent="0.35">
      <c r="A13" s="176">
        <v>11</v>
      </c>
      <c r="B13" s="772" t="s">
        <v>463</v>
      </c>
      <c r="C13" s="773">
        <v>169800</v>
      </c>
      <c r="D13" s="49" t="s">
        <v>63</v>
      </c>
    </row>
    <row r="14" spans="1:4" x14ac:dyDescent="0.35">
      <c r="B14" s="772" t="s">
        <v>63</v>
      </c>
      <c r="C14" s="773" t="s">
        <v>63</v>
      </c>
    </row>
    <row r="15" spans="1:4" s="658" customFormat="1" ht="28.5" x14ac:dyDescent="0.65">
      <c r="B15" s="902" t="s">
        <v>554</v>
      </c>
      <c r="C15" s="903">
        <f>+C3+C4+C5+C6+C7+C8+C9+C10+C11+C12+C13</f>
        <v>1483180</v>
      </c>
    </row>
    <row r="16" spans="1:4" x14ac:dyDescent="0.35">
      <c r="C16" s="49" t="s">
        <v>63</v>
      </c>
    </row>
    <row r="17" spans="2:5" x14ac:dyDescent="0.35">
      <c r="C17" s="49" t="s">
        <v>63</v>
      </c>
    </row>
    <row r="18" spans="2:5" s="648" customFormat="1" ht="46" x14ac:dyDescent="1">
      <c r="B18" s="719" t="s">
        <v>551</v>
      </c>
      <c r="C18" s="653"/>
    </row>
    <row r="19" spans="2:5" ht="18.5" x14ac:dyDescent="0.45">
      <c r="B19" s="643" t="s">
        <v>306</v>
      </c>
      <c r="C19" s="654" t="s">
        <v>272</v>
      </c>
      <c r="D19" s="643" t="s">
        <v>200</v>
      </c>
    </row>
    <row r="20" spans="2:5" ht="18.5" x14ac:dyDescent="0.45">
      <c r="B20" s="644" t="s">
        <v>10</v>
      </c>
      <c r="C20" s="655">
        <v>726</v>
      </c>
      <c r="D20" s="644">
        <v>10000</v>
      </c>
    </row>
    <row r="21" spans="2:5" ht="18.5" x14ac:dyDescent="0.45">
      <c r="B21" s="644" t="s">
        <v>15</v>
      </c>
      <c r="C21" s="655">
        <v>1578</v>
      </c>
      <c r="D21" s="644">
        <v>10000</v>
      </c>
    </row>
    <row r="22" spans="2:5" ht="18.5" x14ac:dyDescent="0.45">
      <c r="B22" s="644" t="s">
        <v>16</v>
      </c>
      <c r="C22" s="655">
        <v>621</v>
      </c>
      <c r="D22" s="644">
        <v>10000</v>
      </c>
    </row>
    <row r="23" spans="2:5" ht="18.5" x14ac:dyDescent="0.45">
      <c r="B23" s="644" t="s">
        <v>0</v>
      </c>
      <c r="C23" s="655">
        <v>862.5</v>
      </c>
      <c r="D23" s="644">
        <v>10000</v>
      </c>
    </row>
    <row r="24" spans="2:5" ht="18.5" x14ac:dyDescent="0.45">
      <c r="B24" s="644" t="s">
        <v>245</v>
      </c>
      <c r="C24" s="655">
        <v>600</v>
      </c>
      <c r="D24" s="644">
        <v>10000</v>
      </c>
    </row>
    <row r="25" spans="2:5" ht="18.5" x14ac:dyDescent="0.45">
      <c r="B25" s="644" t="s">
        <v>267</v>
      </c>
      <c r="C25" s="655">
        <v>627.9</v>
      </c>
      <c r="D25" s="644">
        <v>10000</v>
      </c>
    </row>
    <row r="26" spans="2:5" ht="18.5" x14ac:dyDescent="0.45">
      <c r="B26" s="644" t="s">
        <v>260</v>
      </c>
      <c r="C26" s="655">
        <v>805</v>
      </c>
      <c r="D26" s="644">
        <v>10000</v>
      </c>
    </row>
    <row r="27" spans="2:5" ht="18.5" x14ac:dyDescent="0.45">
      <c r="B27" s="645" t="s">
        <v>355</v>
      </c>
      <c r="C27" s="655">
        <v>552</v>
      </c>
      <c r="D27" s="645">
        <v>10000</v>
      </c>
      <c r="E27" s="771" t="s">
        <v>63</v>
      </c>
    </row>
    <row r="28" spans="2:5" ht="18.5" x14ac:dyDescent="0.45">
      <c r="B28" s="645" t="s">
        <v>553</v>
      </c>
      <c r="C28" s="655">
        <v>540</v>
      </c>
      <c r="D28" s="645">
        <v>10000</v>
      </c>
    </row>
    <row r="29" spans="2:5" ht="18.5" x14ac:dyDescent="0.45">
      <c r="B29" s="645" t="s">
        <v>552</v>
      </c>
      <c r="C29" s="655">
        <v>540</v>
      </c>
      <c r="D29" s="645">
        <v>10000</v>
      </c>
    </row>
    <row r="30" spans="2:5" ht="18.5" x14ac:dyDescent="0.45">
      <c r="B30" s="645" t="s">
        <v>463</v>
      </c>
      <c r="C30" s="655">
        <v>600</v>
      </c>
      <c r="D30" s="645">
        <v>10000</v>
      </c>
    </row>
    <row r="31" spans="2:5" ht="18.5" x14ac:dyDescent="0.45">
      <c r="B31" s="645" t="s">
        <v>63</v>
      </c>
      <c r="C31" s="655" t="s">
        <v>63</v>
      </c>
      <c r="D31" s="645" t="s">
        <v>63</v>
      </c>
    </row>
    <row r="32" spans="2:5" ht="18.5" x14ac:dyDescent="0.45">
      <c r="B32" s="798"/>
      <c r="C32" s="799"/>
      <c r="D32" s="798"/>
    </row>
    <row r="34" spans="1:4" x14ac:dyDescent="0.35">
      <c r="A34" s="701" t="s">
        <v>106</v>
      </c>
      <c r="B34" s="702" t="s">
        <v>107</v>
      </c>
      <c r="C34" s="702" t="s">
        <v>262</v>
      </c>
      <c r="D34" s="704"/>
    </row>
    <row r="35" spans="1:4" x14ac:dyDescent="0.35">
      <c r="A35" s="703">
        <v>15</v>
      </c>
      <c r="B35" s="703">
        <v>9</v>
      </c>
      <c r="C35" s="568">
        <f>+A35*B35</f>
        <v>135</v>
      </c>
      <c r="D35" s="592" t="s">
        <v>116</v>
      </c>
    </row>
    <row r="36" spans="1:4" x14ac:dyDescent="0.35">
      <c r="A36" s="703">
        <v>5</v>
      </c>
      <c r="B36" s="703">
        <v>8</v>
      </c>
      <c r="C36" s="568">
        <f>+A36*B36</f>
        <v>40</v>
      </c>
      <c r="D36" s="593" t="s">
        <v>491</v>
      </c>
    </row>
    <row r="37" spans="1:4" x14ac:dyDescent="0.35">
      <c r="A37" s="703">
        <v>1</v>
      </c>
      <c r="B37" s="703">
        <v>8</v>
      </c>
      <c r="C37" s="568">
        <f>+A37*B37</f>
        <v>8</v>
      </c>
      <c r="D37" s="593" t="s">
        <v>111</v>
      </c>
    </row>
    <row r="38" spans="1:4" x14ac:dyDescent="0.35">
      <c r="A38" s="568" t="s">
        <v>63</v>
      </c>
      <c r="B38" s="773"/>
      <c r="C38" s="568">
        <f>+C35+C36+C37</f>
        <v>183</v>
      </c>
      <c r="D38" s="592" t="s">
        <v>309</v>
      </c>
    </row>
    <row r="39" spans="1:4" x14ac:dyDescent="0.35">
      <c r="A39" s="901" t="s">
        <v>63</v>
      </c>
      <c r="B39" s="49"/>
      <c r="C39" s="771"/>
    </row>
    <row r="40" spans="1:4" x14ac:dyDescent="0.35">
      <c r="A40" s="345" t="s">
        <v>63</v>
      </c>
    </row>
  </sheetData>
  <pageMargins left="0.7" right="0.7" top="0.75" bottom="0.75" header="0.3" footer="0.3"/>
  <pageSetup paperSize="9" fitToWidth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V131"/>
  <sheetViews>
    <sheetView topLeftCell="A109" zoomScaleNormal="100" workbookViewId="0">
      <selection activeCell="G19" sqref="G19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45200</v>
      </c>
    </row>
    <row r="3" spans="2:21" ht="25.5" customHeight="1" x14ac:dyDescent="0.35">
      <c r="B3" s="1431" t="s">
        <v>568</v>
      </c>
      <c r="C3" s="1431"/>
      <c r="D3" s="1431"/>
      <c r="E3" s="1431"/>
    </row>
    <row r="4" spans="2:21" s="931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771"/>
      <c r="T4" s="771"/>
      <c r="U4" s="771"/>
    </row>
    <row r="5" spans="2:21" ht="18" customHeight="1" x14ac:dyDescent="0.35">
      <c r="B5" s="772" t="s">
        <v>480</v>
      </c>
      <c r="C5" s="258">
        <v>177</v>
      </c>
      <c r="D5" s="227">
        <f>660*1.1*1.15</f>
        <v>834.90000000000009</v>
      </c>
      <c r="E5" s="598">
        <f>+C5*D5</f>
        <v>147777.30000000002</v>
      </c>
      <c r="F5" s="553" t="s">
        <v>63</v>
      </c>
      <c r="T5" s="931"/>
    </row>
    <row r="6" spans="2:21" ht="18" customHeight="1" x14ac:dyDescent="0.35">
      <c r="B6" s="772" t="s">
        <v>559</v>
      </c>
      <c r="C6" s="258">
        <v>16</v>
      </c>
      <c r="D6" s="227">
        <f>+D5</f>
        <v>834.90000000000009</v>
      </c>
      <c r="E6" s="598">
        <f>+C6*D6</f>
        <v>13358.400000000001</v>
      </c>
      <c r="F6" s="774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774" t="s">
        <v>63</v>
      </c>
      <c r="G7" s="771" t="s">
        <v>63</v>
      </c>
    </row>
    <row r="8" spans="2:21" ht="18" customHeight="1" x14ac:dyDescent="0.35">
      <c r="B8" s="772" t="s">
        <v>467</v>
      </c>
      <c r="C8" s="258">
        <v>4</v>
      </c>
      <c r="D8" s="194">
        <f>+D5*1.5</f>
        <v>1252.3500000000001</v>
      </c>
      <c r="E8" s="598">
        <f>+C8*D8</f>
        <v>5009.4000000000005</v>
      </c>
      <c r="F8" s="774" t="s">
        <v>63</v>
      </c>
      <c r="G8" s="774"/>
    </row>
    <row r="9" spans="2:21" ht="18" customHeight="1" x14ac:dyDescent="0.35">
      <c r="B9" s="772" t="s">
        <v>489</v>
      </c>
      <c r="C9" s="258" t="s">
        <v>63</v>
      </c>
      <c r="D9" s="194"/>
      <c r="E9" s="598">
        <v>35000</v>
      </c>
      <c r="F9" s="553" t="s">
        <v>63</v>
      </c>
      <c r="G9" s="774" t="s">
        <v>63</v>
      </c>
      <c r="U9" s="931"/>
    </row>
    <row r="10" spans="2:21" ht="18" customHeight="1" x14ac:dyDescent="0.35">
      <c r="B10" s="772" t="s">
        <v>400</v>
      </c>
      <c r="C10" s="258">
        <v>1</v>
      </c>
      <c r="D10" s="194">
        <v>4000</v>
      </c>
      <c r="E10" s="598">
        <f>+C10*D10</f>
        <v>4000</v>
      </c>
      <c r="F10" s="774" t="s">
        <v>63</v>
      </c>
      <c r="U10" s="931"/>
    </row>
    <row r="11" spans="2:21" ht="18" customHeight="1" x14ac:dyDescent="0.35">
      <c r="B11" s="1432" t="s">
        <v>99</v>
      </c>
      <c r="C11" s="1432"/>
      <c r="D11" s="1432"/>
      <c r="E11" s="599">
        <f>+E5+E6+E7+E8+E9+E10</f>
        <v>220145.1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931"/>
    </row>
    <row r="12" spans="2:21" ht="18" customHeight="1" x14ac:dyDescent="0.35">
      <c r="B12" s="935" t="s">
        <v>384</v>
      </c>
      <c r="C12" s="933"/>
      <c r="D12" s="933"/>
      <c r="E12" s="221">
        <v>-105957.03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931"/>
    </row>
    <row r="13" spans="2:21" ht="18" customHeight="1" x14ac:dyDescent="0.35">
      <c r="B13" s="800" t="s">
        <v>565</v>
      </c>
      <c r="C13" s="721" t="s">
        <v>477</v>
      </c>
      <c r="D13" s="905">
        <f>+E5+E6+E7+E9</f>
        <v>211135.7</v>
      </c>
      <c r="E13" s="722">
        <f>-D13*0.1</f>
        <v>-21113.570000000003</v>
      </c>
      <c r="F13" s="774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931"/>
    </row>
    <row r="14" spans="2:21" ht="18" customHeight="1" x14ac:dyDescent="0.35">
      <c r="B14" s="1433" t="s">
        <v>11</v>
      </c>
      <c r="C14" s="1433"/>
      <c r="D14" s="1433"/>
      <c r="E14" s="603">
        <f>+E11+E12+E13</f>
        <v>93074.5</v>
      </c>
      <c r="F14" s="774" t="s">
        <v>63</v>
      </c>
      <c r="H14" s="321"/>
      <c r="I14" s="321"/>
      <c r="J14" s="321"/>
      <c r="K14" s="473"/>
      <c r="L14" s="321"/>
      <c r="M14" s="321"/>
      <c r="T14" s="931"/>
    </row>
    <row r="15" spans="2:21" ht="18" customHeight="1" x14ac:dyDescent="0.35">
      <c r="E15" s="203" t="s">
        <v>63</v>
      </c>
      <c r="F15" s="106"/>
      <c r="G15" s="4"/>
      <c r="N15" s="4"/>
      <c r="T15" s="931"/>
    </row>
    <row r="16" spans="2:21" ht="18" customHeight="1" x14ac:dyDescent="0.35">
      <c r="B16" s="1442" t="s">
        <v>569</v>
      </c>
      <c r="C16" s="1443"/>
      <c r="D16" s="1443"/>
      <c r="E16" s="1444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931"/>
      <c r="K17" s="101"/>
      <c r="L17" s="101"/>
      <c r="M17" s="101"/>
    </row>
    <row r="18" spans="2:22" ht="18" customHeight="1" x14ac:dyDescent="0.35">
      <c r="B18" s="772" t="s">
        <v>3</v>
      </c>
      <c r="C18" s="315">
        <v>177</v>
      </c>
      <c r="D18" s="194">
        <f>1315*1.2*1.15</f>
        <v>1814.6999999999998</v>
      </c>
      <c r="E18" s="598">
        <f>+C18*D18</f>
        <v>321201.89999999997</v>
      </c>
      <c r="F18" s="774" t="s">
        <v>63</v>
      </c>
      <c r="K18" s="101"/>
      <c r="L18" s="101"/>
      <c r="M18" s="101"/>
    </row>
    <row r="19" spans="2:22" ht="18" customHeight="1" x14ac:dyDescent="0.35">
      <c r="B19" s="772" t="s">
        <v>560</v>
      </c>
      <c r="C19" s="258">
        <v>16</v>
      </c>
      <c r="D19" s="194">
        <f>+D18</f>
        <v>1814.6999999999998</v>
      </c>
      <c r="E19" s="598">
        <f>+C19*D19</f>
        <v>29035.199999999997</v>
      </c>
      <c r="F19" s="774" t="s">
        <v>63</v>
      </c>
      <c r="K19" s="101"/>
      <c r="L19" s="101"/>
      <c r="M19" s="101"/>
    </row>
    <row r="20" spans="2:22" ht="18" customHeight="1" x14ac:dyDescent="0.35">
      <c r="B20" s="772" t="s">
        <v>196</v>
      </c>
      <c r="C20" s="258"/>
      <c r="D20" s="194"/>
      <c r="E20" s="598">
        <v>15000</v>
      </c>
      <c r="F20" s="931"/>
      <c r="H20" s="932"/>
      <c r="N20" s="51"/>
      <c r="O20" s="51"/>
      <c r="P20" s="66"/>
      <c r="Q20" s="49"/>
      <c r="R20" s="49"/>
    </row>
    <row r="21" spans="2:22" ht="18" customHeight="1" x14ac:dyDescent="0.35">
      <c r="B21" s="772" t="s">
        <v>6</v>
      </c>
      <c r="C21" s="258"/>
      <c r="D21" s="194"/>
      <c r="E21" s="598">
        <v>35000</v>
      </c>
      <c r="F21" s="649" t="s">
        <v>63</v>
      </c>
      <c r="H21" s="932"/>
      <c r="N21" s="51"/>
      <c r="O21" s="51"/>
      <c r="P21" s="66"/>
      <c r="Q21" s="49"/>
      <c r="R21" s="49"/>
    </row>
    <row r="22" spans="2:22" ht="18" customHeight="1" x14ac:dyDescent="0.35">
      <c r="B22" s="772" t="s">
        <v>507</v>
      </c>
      <c r="C22" s="315">
        <v>4</v>
      </c>
      <c r="D22" s="194">
        <f>+D18*1.5</f>
        <v>2722.0499999999997</v>
      </c>
      <c r="E22" s="598">
        <f>+C22*D22</f>
        <v>10888.199999999999</v>
      </c>
      <c r="F22" s="774"/>
      <c r="G22" s="4"/>
      <c r="L22" s="180"/>
      <c r="M22" s="184"/>
    </row>
    <row r="23" spans="2:22" s="931" customFormat="1" ht="18" customHeight="1" x14ac:dyDescent="0.35">
      <c r="B23" s="772" t="s">
        <v>539</v>
      </c>
      <c r="C23" s="258">
        <v>1</v>
      </c>
      <c r="D23" s="194">
        <v>4000</v>
      </c>
      <c r="E23" s="598">
        <f>+C23*D23</f>
        <v>4000</v>
      </c>
      <c r="F23" s="774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931" customFormat="1" ht="18" customHeight="1" x14ac:dyDescent="0.35">
      <c r="B24" s="772" t="s">
        <v>546</v>
      </c>
      <c r="C24" s="258"/>
      <c r="D24" s="194"/>
      <c r="E24" s="598">
        <v>65000</v>
      </c>
      <c r="F24" s="774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931" customFormat="1" ht="18" customHeight="1" x14ac:dyDescent="0.35">
      <c r="B25" s="1439" t="s">
        <v>389</v>
      </c>
      <c r="C25" s="1440"/>
      <c r="D25" s="1441"/>
      <c r="E25" s="599">
        <f>+E18+E19+E20+E21+E22+E23+E24</f>
        <v>480125.3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908" customFormat="1" ht="18" customHeight="1" x14ac:dyDescent="0.35">
      <c r="B26" s="909" t="s">
        <v>515</v>
      </c>
      <c r="C26" s="720"/>
      <c r="D26" s="720"/>
      <c r="E26" s="920">
        <v>-250000</v>
      </c>
      <c r="F26" s="769" t="s">
        <v>63</v>
      </c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s="908" customFormat="1" ht="18" customHeight="1" x14ac:dyDescent="0.35">
      <c r="B27" s="909" t="s">
        <v>577</v>
      </c>
      <c r="C27" s="720"/>
      <c r="D27" s="720"/>
      <c r="E27" s="920">
        <v>-68903.39</v>
      </c>
      <c r="F27" s="769"/>
      <c r="G27" s="764"/>
      <c r="L27" s="910"/>
      <c r="M27" s="911"/>
      <c r="N27" s="912"/>
      <c r="O27" s="912"/>
      <c r="P27" s="910"/>
      <c r="Q27" s="910"/>
      <c r="R27" s="910"/>
      <c r="S27" s="764"/>
      <c r="V27" s="764"/>
    </row>
    <row r="28" spans="2:22" s="931" customFormat="1" ht="18" customHeight="1" x14ac:dyDescent="0.35">
      <c r="B28" s="772" t="s">
        <v>79</v>
      </c>
      <c r="C28" s="258"/>
      <c r="D28" s="194"/>
      <c r="E28" s="731">
        <v>-4270</v>
      </c>
      <c r="F28" s="774" t="s">
        <v>63</v>
      </c>
      <c r="G28" s="774" t="s">
        <v>63</v>
      </c>
      <c r="L28" s="181"/>
      <c r="M28" s="184"/>
      <c r="N28" s="180"/>
      <c r="O28" s="180"/>
      <c r="P28" s="181"/>
      <c r="Q28" s="181"/>
      <c r="R28" s="181"/>
      <c r="S28" s="771"/>
      <c r="V28" s="771"/>
    </row>
    <row r="29" spans="2:22" ht="18" customHeight="1" x14ac:dyDescent="0.35">
      <c r="B29" s="1435" t="s">
        <v>11</v>
      </c>
      <c r="C29" s="1435"/>
      <c r="D29" s="1435"/>
      <c r="E29" s="602">
        <f>+E25+E26+E27+E28</f>
        <v>156951.90999999997</v>
      </c>
      <c r="F29" s="796" t="s">
        <v>63</v>
      </c>
      <c r="G29" s="115"/>
      <c r="M29" s="189"/>
      <c r="N29" s="180"/>
      <c r="O29" s="180"/>
      <c r="P29" s="181"/>
      <c r="Q29" s="181"/>
      <c r="R29" s="181"/>
    </row>
    <row r="30" spans="2:22" ht="18" customHeight="1" x14ac:dyDescent="0.35">
      <c r="B30" s="455"/>
      <c r="C30" s="455"/>
      <c r="D30" s="455"/>
      <c r="E30" s="456"/>
      <c r="F30" s="409"/>
      <c r="G30" s="115"/>
      <c r="M30" s="189"/>
      <c r="N30" s="180"/>
      <c r="O30" s="180"/>
      <c r="P30" s="181"/>
      <c r="Q30" s="181"/>
      <c r="R30" s="181"/>
    </row>
    <row r="31" spans="2:22" ht="18" customHeight="1" x14ac:dyDescent="0.45">
      <c r="B31" s="1450" t="s">
        <v>570</v>
      </c>
      <c r="C31" s="1451"/>
      <c r="D31" s="1451"/>
      <c r="E31" s="1452"/>
      <c r="F31" s="409"/>
      <c r="G31" s="115"/>
      <c r="M31" s="185"/>
      <c r="N31" s="181"/>
      <c r="O31" s="181"/>
      <c r="P31" s="181"/>
      <c r="Q31" s="181"/>
    </row>
    <row r="32" spans="2:22" ht="18" customHeight="1" x14ac:dyDescent="0.35">
      <c r="B32" s="604" t="s">
        <v>7</v>
      </c>
      <c r="C32" s="605" t="s">
        <v>8</v>
      </c>
      <c r="D32" s="606" t="s">
        <v>4</v>
      </c>
      <c r="E32" s="606" t="s">
        <v>9</v>
      </c>
      <c r="M32" s="185"/>
      <c r="N32" s="181"/>
      <c r="O32" s="181"/>
      <c r="P32" s="184"/>
    </row>
    <row r="33" spans="2:15" ht="18" customHeight="1" x14ac:dyDescent="0.35">
      <c r="B33" s="607" t="s">
        <v>3</v>
      </c>
      <c r="C33" s="267">
        <v>177</v>
      </c>
      <c r="D33" s="211">
        <v>800</v>
      </c>
      <c r="E33" s="211">
        <f>+C33*D33</f>
        <v>141600</v>
      </c>
      <c r="F33" s="771" t="s">
        <v>63</v>
      </c>
      <c r="G33" s="774" t="s">
        <v>63</v>
      </c>
      <c r="M33" s="182"/>
    </row>
    <row r="34" spans="2:15" ht="18" customHeight="1" x14ac:dyDescent="0.35">
      <c r="B34" s="772" t="s">
        <v>561</v>
      </c>
      <c r="C34" s="267">
        <v>16</v>
      </c>
      <c r="D34" s="211">
        <f>+D33</f>
        <v>800</v>
      </c>
      <c r="E34" s="211">
        <f>+C34*D34</f>
        <v>12800</v>
      </c>
      <c r="F34" s="774"/>
      <c r="I34" s="931"/>
      <c r="J34" s="931"/>
      <c r="K34" s="931"/>
    </row>
    <row r="35" spans="2:15" ht="18" customHeight="1" x14ac:dyDescent="0.35">
      <c r="B35" s="772" t="s">
        <v>196</v>
      </c>
      <c r="C35" s="267"/>
      <c r="D35" s="211"/>
      <c r="E35" s="211">
        <v>15000</v>
      </c>
      <c r="F35" s="774"/>
      <c r="L35" s="931"/>
    </row>
    <row r="36" spans="2:15" ht="18" customHeight="1" x14ac:dyDescent="0.35">
      <c r="B36" s="772" t="s">
        <v>6</v>
      </c>
      <c r="C36" s="267"/>
      <c r="D36" s="211"/>
      <c r="E36" s="211">
        <v>20000</v>
      </c>
      <c r="F36" s="774"/>
      <c r="L36" s="931"/>
    </row>
    <row r="37" spans="2:15" ht="18" customHeight="1" x14ac:dyDescent="0.35">
      <c r="B37" s="772" t="s">
        <v>468</v>
      </c>
      <c r="C37" s="267">
        <v>4.5</v>
      </c>
      <c r="D37" s="211">
        <f>+D33*1.5</f>
        <v>1200</v>
      </c>
      <c r="E37" s="211">
        <f>C37*D37</f>
        <v>5400</v>
      </c>
      <c r="F37" s="649" t="s">
        <v>63</v>
      </c>
      <c r="G37" s="180"/>
      <c r="H37" s="180"/>
      <c r="I37" s="181"/>
      <c r="J37" s="187"/>
      <c r="K37" s="188"/>
      <c r="L37" s="931"/>
      <c r="O37" s="931"/>
    </row>
    <row r="38" spans="2:15" s="931" customFormat="1" ht="18" customHeight="1" x14ac:dyDescent="0.35">
      <c r="B38" s="1459" t="s">
        <v>99</v>
      </c>
      <c r="C38" s="1459"/>
      <c r="D38" s="1459"/>
      <c r="E38" s="599">
        <f>+E33+E34+E35+E36+E37</f>
        <v>194800</v>
      </c>
      <c r="F38" s="774" t="s">
        <v>63</v>
      </c>
      <c r="G38" s="180"/>
      <c r="H38" s="180"/>
      <c r="I38" s="181"/>
      <c r="J38" s="181"/>
      <c r="K38" s="184"/>
      <c r="L38" s="771"/>
      <c r="N38" s="771"/>
      <c r="O38" s="771"/>
    </row>
    <row r="39" spans="2:15" s="931" customFormat="1" ht="18" customHeight="1" x14ac:dyDescent="0.35">
      <c r="B39" s="825" t="s">
        <v>19</v>
      </c>
      <c r="C39" s="826" t="s">
        <v>63</v>
      </c>
      <c r="D39" s="823" t="s">
        <v>63</v>
      </c>
      <c r="E39" s="930">
        <v>-50000</v>
      </c>
      <c r="F39" s="774" t="s">
        <v>63</v>
      </c>
      <c r="G39" s="180"/>
      <c r="H39" s="180"/>
      <c r="I39" s="181"/>
      <c r="J39" s="181"/>
      <c r="K39" s="184"/>
      <c r="L39" s="771"/>
      <c r="N39" s="771"/>
      <c r="O39" s="771"/>
    </row>
    <row r="40" spans="2:15" ht="18" customHeight="1" x14ac:dyDescent="0.35">
      <c r="B40" s="786" t="s">
        <v>11</v>
      </c>
      <c r="C40" s="783"/>
      <c r="D40" s="783"/>
      <c r="E40" s="784">
        <f>+E38+E39</f>
        <v>144800</v>
      </c>
      <c r="F40" s="774" t="s">
        <v>63</v>
      </c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594"/>
      <c r="C42" s="594"/>
      <c r="D42" s="594"/>
      <c r="E42" s="595"/>
      <c r="G42" s="180"/>
      <c r="H42" s="180"/>
      <c r="I42" s="181"/>
      <c r="J42" s="181"/>
      <c r="K42" s="184"/>
    </row>
    <row r="43" spans="2:15" ht="18" customHeight="1" x14ac:dyDescent="0.35">
      <c r="B43" s="1431" t="s">
        <v>571</v>
      </c>
      <c r="C43" s="1431"/>
      <c r="D43" s="1431"/>
      <c r="E43" s="1431"/>
      <c r="G43" s="180"/>
      <c r="H43" s="180"/>
      <c r="I43" s="181"/>
      <c r="J43" s="181"/>
      <c r="K43" s="184"/>
    </row>
    <row r="44" spans="2:15" ht="18" customHeight="1" x14ac:dyDescent="0.35">
      <c r="B44" s="2" t="s">
        <v>7</v>
      </c>
      <c r="C44" s="270" t="s">
        <v>8</v>
      </c>
      <c r="D44" s="217" t="s">
        <v>4</v>
      </c>
      <c r="E44" s="597" t="s">
        <v>9</v>
      </c>
      <c r="G44" s="180"/>
      <c r="H44" s="180"/>
      <c r="I44" s="181"/>
      <c r="J44" s="181"/>
      <c r="K44" s="184"/>
    </row>
    <row r="45" spans="2:15" ht="18" customHeight="1" x14ac:dyDescent="0.35">
      <c r="B45" s="772" t="s">
        <v>253</v>
      </c>
      <c r="C45" s="258">
        <v>177</v>
      </c>
      <c r="D45" s="194">
        <v>1050</v>
      </c>
      <c r="E45" s="598">
        <f>+C45*D45</f>
        <v>185850</v>
      </c>
      <c r="F45" s="771" t="s">
        <v>63</v>
      </c>
      <c r="G45" s="906" t="s">
        <v>63</v>
      </c>
      <c r="H45" s="180"/>
      <c r="I45" s="181"/>
      <c r="J45" s="181"/>
      <c r="K45" s="184"/>
    </row>
    <row r="46" spans="2:15" ht="18" customHeight="1" x14ac:dyDescent="0.35">
      <c r="B46" s="772" t="s">
        <v>562</v>
      </c>
      <c r="C46" s="258">
        <v>16</v>
      </c>
      <c r="D46" s="194">
        <f>+D45</f>
        <v>1050</v>
      </c>
      <c r="E46" s="598">
        <f>+C46*D46</f>
        <v>16800</v>
      </c>
      <c r="F46" s="774" t="s">
        <v>63</v>
      </c>
      <c r="G46" s="180"/>
      <c r="H46" s="180"/>
      <c r="I46" s="181"/>
      <c r="J46" s="181"/>
      <c r="K46" s="184"/>
    </row>
    <row r="47" spans="2:15" ht="15" customHeight="1" x14ac:dyDescent="0.35">
      <c r="B47" s="772" t="s">
        <v>196</v>
      </c>
      <c r="C47" s="258"/>
      <c r="D47" s="194"/>
      <c r="E47" s="598">
        <v>15000</v>
      </c>
      <c r="G47" s="180"/>
      <c r="H47" s="180"/>
      <c r="I47" s="181"/>
      <c r="J47" s="181"/>
      <c r="K47" s="184"/>
      <c r="L47" s="931"/>
    </row>
    <row r="48" spans="2:15" ht="15" customHeight="1" x14ac:dyDescent="0.35">
      <c r="B48" s="772" t="s">
        <v>6</v>
      </c>
      <c r="C48" s="258"/>
      <c r="D48" s="194"/>
      <c r="E48" s="598">
        <v>20000</v>
      </c>
      <c r="G48" s="180"/>
      <c r="H48" s="180"/>
      <c r="I48" s="181"/>
      <c r="J48" s="181"/>
      <c r="K48" s="184"/>
      <c r="L48" s="931"/>
    </row>
    <row r="49" spans="2:22" ht="15" customHeight="1" x14ac:dyDescent="0.35">
      <c r="B49" s="772" t="s">
        <v>195</v>
      </c>
      <c r="C49" s="315">
        <v>0</v>
      </c>
      <c r="D49" s="194">
        <f>+D45*1.5</f>
        <v>1575</v>
      </c>
      <c r="E49" s="598">
        <f>+C49*D49</f>
        <v>0</v>
      </c>
      <c r="G49" s="180"/>
      <c r="H49" s="180"/>
      <c r="I49" s="181"/>
      <c r="J49" s="181"/>
      <c r="K49" s="184"/>
      <c r="L49" s="931"/>
    </row>
    <row r="50" spans="2:22" ht="15" customHeight="1" x14ac:dyDescent="0.35">
      <c r="B50" s="772" t="s">
        <v>449</v>
      </c>
      <c r="C50" s="315" t="s">
        <v>63</v>
      </c>
      <c r="D50" s="194" t="s">
        <v>63</v>
      </c>
      <c r="E50" s="598" t="s">
        <v>63</v>
      </c>
      <c r="G50" s="180"/>
      <c r="H50" s="180"/>
      <c r="I50" s="181"/>
      <c r="J50" s="181"/>
      <c r="K50" s="184"/>
      <c r="L50" s="931"/>
    </row>
    <row r="51" spans="2:22" ht="15" customHeight="1" x14ac:dyDescent="0.35">
      <c r="B51" s="772" t="s">
        <v>400</v>
      </c>
      <c r="C51" s="258">
        <v>1</v>
      </c>
      <c r="D51" s="194">
        <v>4000</v>
      </c>
      <c r="E51" s="598">
        <f>+C51*D51</f>
        <v>4000</v>
      </c>
      <c r="F51" s="774" t="s">
        <v>63</v>
      </c>
      <c r="M51" s="176"/>
      <c r="N51" s="180"/>
      <c r="O51" s="180"/>
      <c r="P51" s="181"/>
      <c r="Q51" s="181"/>
      <c r="R51" s="184"/>
    </row>
    <row r="52" spans="2:22" ht="15" customHeight="1" x14ac:dyDescent="0.35">
      <c r="B52" s="1432" t="s">
        <v>99</v>
      </c>
      <c r="C52" s="1432"/>
      <c r="D52" s="1432"/>
      <c r="E52" s="599">
        <f>+E45+E46+E47+E48+E51</f>
        <v>241650</v>
      </c>
      <c r="F52" s="774" t="s">
        <v>63</v>
      </c>
      <c r="G52" s="774" t="s">
        <v>63</v>
      </c>
      <c r="M52" s="176"/>
      <c r="N52" s="176"/>
      <c r="O52" s="176"/>
      <c r="P52" s="181"/>
      <c r="Q52" s="181"/>
      <c r="R52" s="184"/>
      <c r="T52" s="931"/>
    </row>
    <row r="53" spans="2:22" s="931" customFormat="1" ht="15" customHeight="1" x14ac:dyDescent="0.35">
      <c r="B53" s="723" t="s">
        <v>333</v>
      </c>
      <c r="C53" s="727" t="s">
        <v>63</v>
      </c>
      <c r="D53" s="727" t="s">
        <v>63</v>
      </c>
      <c r="E53" s="722">
        <v>-107958.1</v>
      </c>
      <c r="F53" s="649" t="s">
        <v>63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s="931" customFormat="1" ht="15" customHeight="1" x14ac:dyDescent="0.35">
      <c r="B54" s="672"/>
      <c r="C54" s="673" t="s">
        <v>11</v>
      </c>
      <c r="D54" s="674"/>
      <c r="E54" s="675">
        <f>+E52+E53</f>
        <v>133691.9</v>
      </c>
      <c r="F54" s="649" t="s">
        <v>63</v>
      </c>
      <c r="G54" s="771"/>
      <c r="H54" s="771"/>
      <c r="I54" s="771"/>
      <c r="J54" s="771"/>
      <c r="K54" s="771"/>
      <c r="L54" s="771"/>
      <c r="M54" s="176"/>
      <c r="N54" s="176"/>
      <c r="O54" s="176"/>
      <c r="P54" s="176"/>
      <c r="Q54" s="176"/>
      <c r="R54" s="176"/>
      <c r="S54" s="771"/>
      <c r="T54" s="771"/>
      <c r="U54" s="771"/>
      <c r="V54" s="771"/>
    </row>
    <row r="55" spans="2:22" ht="15" customHeight="1" x14ac:dyDescent="0.35">
      <c r="C55" s="771"/>
      <c r="D55" s="771"/>
      <c r="E55" s="771"/>
      <c r="N55" s="183"/>
      <c r="O55" s="183"/>
      <c r="P55" s="176"/>
      <c r="Q55" s="176"/>
      <c r="R55" s="176"/>
      <c r="T55" s="931"/>
    </row>
    <row r="56" spans="2:22" ht="15" customHeight="1" x14ac:dyDescent="0.35">
      <c r="C56" s="771"/>
      <c r="D56" s="771"/>
      <c r="E56" s="774" t="s">
        <v>63</v>
      </c>
    </row>
    <row r="57" spans="2:22" ht="15" customHeight="1" x14ac:dyDescent="0.35">
      <c r="B57" s="1442" t="s">
        <v>572</v>
      </c>
      <c r="C57" s="1443"/>
      <c r="D57" s="1443"/>
      <c r="E57" s="1444"/>
      <c r="V57" s="931"/>
    </row>
    <row r="58" spans="2:22" x14ac:dyDescent="0.35">
      <c r="B58" s="2" t="s">
        <v>7</v>
      </c>
      <c r="C58" s="270" t="s">
        <v>8</v>
      </c>
      <c r="D58" s="217" t="s">
        <v>4</v>
      </c>
      <c r="E58" s="597" t="s">
        <v>9</v>
      </c>
    </row>
    <row r="59" spans="2:22" x14ac:dyDescent="0.35">
      <c r="B59" s="772" t="s">
        <v>501</v>
      </c>
      <c r="C59" s="258">
        <v>177</v>
      </c>
      <c r="D59" s="227">
        <v>800</v>
      </c>
      <c r="E59" s="598">
        <f>+C59*D59</f>
        <v>141600</v>
      </c>
      <c r="F59" s="774" t="s">
        <v>63</v>
      </c>
    </row>
    <row r="60" spans="2:22" x14ac:dyDescent="0.35">
      <c r="B60" s="772" t="s">
        <v>563</v>
      </c>
      <c r="C60" s="258">
        <v>16</v>
      </c>
      <c r="D60" s="227">
        <f>+D59</f>
        <v>800</v>
      </c>
      <c r="E60" s="598">
        <f>+C60*D60</f>
        <v>12800</v>
      </c>
    </row>
    <row r="61" spans="2:22" x14ac:dyDescent="0.35">
      <c r="B61" s="772" t="s">
        <v>490</v>
      </c>
      <c r="C61" s="258"/>
      <c r="D61" s="227"/>
      <c r="E61" s="598">
        <v>15000</v>
      </c>
    </row>
    <row r="62" spans="2:22" x14ac:dyDescent="0.35">
      <c r="B62" s="772" t="s">
        <v>489</v>
      </c>
      <c r="C62" s="258"/>
      <c r="D62" s="227"/>
      <c r="E62" s="598">
        <v>20000</v>
      </c>
    </row>
    <row r="63" spans="2:22" x14ac:dyDescent="0.35">
      <c r="B63" s="772" t="s">
        <v>195</v>
      </c>
      <c r="C63" s="258">
        <v>0</v>
      </c>
      <c r="D63" s="194">
        <f>+D59*1.5</f>
        <v>1200</v>
      </c>
      <c r="E63" s="598">
        <f>+C63*D63</f>
        <v>0</v>
      </c>
      <c r="F63" s="774" t="s">
        <v>63</v>
      </c>
      <c r="G63" s="774" t="s">
        <v>63</v>
      </c>
    </row>
    <row r="64" spans="2:22" x14ac:dyDescent="0.35">
      <c r="B64" s="772" t="s">
        <v>449</v>
      </c>
      <c r="C64" s="258" t="s">
        <v>63</v>
      </c>
      <c r="D64" s="194" t="s">
        <v>63</v>
      </c>
      <c r="E64" s="598" t="s">
        <v>63</v>
      </c>
      <c r="F64" s="774" t="s">
        <v>63</v>
      </c>
      <c r="G64" s="774"/>
    </row>
    <row r="65" spans="1:7" x14ac:dyDescent="0.35">
      <c r="B65" s="1439" t="s">
        <v>99</v>
      </c>
      <c r="C65" s="1440"/>
      <c r="D65" s="1441"/>
      <c r="E65" s="599">
        <f>+E59+E60+E61+E62</f>
        <v>189400</v>
      </c>
      <c r="F65" s="774" t="s">
        <v>63</v>
      </c>
    </row>
    <row r="66" spans="1:7" x14ac:dyDescent="0.35">
      <c r="B66" s="921" t="s">
        <v>564</v>
      </c>
      <c r="C66" s="922">
        <f>+E59+E60+E61+E62</f>
        <v>189400</v>
      </c>
      <c r="D66" s="720"/>
      <c r="E66" s="722">
        <f>-C66*0.1</f>
        <v>-18940</v>
      </c>
      <c r="F66" s="774" t="s">
        <v>63</v>
      </c>
    </row>
    <row r="67" spans="1:7" x14ac:dyDescent="0.35">
      <c r="B67" s="672"/>
      <c r="C67" s="673" t="s">
        <v>11</v>
      </c>
      <c r="D67" s="674"/>
      <c r="E67" s="675">
        <f>+E65+E66</f>
        <v>170460</v>
      </c>
      <c r="F67" s="774" t="s">
        <v>63</v>
      </c>
    </row>
    <row r="68" spans="1:7" x14ac:dyDescent="0.35">
      <c r="C68" s="771"/>
      <c r="D68" s="771"/>
      <c r="E68" s="771"/>
    </row>
    <row r="70" spans="1:7" ht="23.5" x14ac:dyDescent="0.35">
      <c r="B70" s="1442" t="s">
        <v>573</v>
      </c>
      <c r="C70" s="1443"/>
      <c r="D70" s="1443"/>
      <c r="E70" s="1444"/>
    </row>
    <row r="71" spans="1:7" x14ac:dyDescent="0.35">
      <c r="B71" s="2" t="s">
        <v>7</v>
      </c>
      <c r="C71" s="270" t="s">
        <v>8</v>
      </c>
      <c r="D71" s="217" t="s">
        <v>4</v>
      </c>
      <c r="E71" s="597" t="s">
        <v>9</v>
      </c>
    </row>
    <row r="72" spans="1:7" x14ac:dyDescent="0.35">
      <c r="A72" s="771">
        <v>77</v>
      </c>
      <c r="B72" s="772" t="s">
        <v>3</v>
      </c>
      <c r="C72" s="258">
        <v>177</v>
      </c>
      <c r="D72" s="227">
        <v>750</v>
      </c>
      <c r="E72" s="598">
        <f>+C72*D72</f>
        <v>132750</v>
      </c>
      <c r="F72" s="771" t="s">
        <v>63</v>
      </c>
    </row>
    <row r="73" spans="1:7" x14ac:dyDescent="0.35">
      <c r="B73" s="772" t="s">
        <v>353</v>
      </c>
      <c r="C73" s="258">
        <v>16</v>
      </c>
      <c r="D73" s="227">
        <f>+D72</f>
        <v>750</v>
      </c>
      <c r="E73" s="598">
        <f>+C73*D73</f>
        <v>12000</v>
      </c>
    </row>
    <row r="74" spans="1:7" x14ac:dyDescent="0.35">
      <c r="B74" s="772" t="s">
        <v>196</v>
      </c>
      <c r="C74" s="258"/>
      <c r="D74" s="227"/>
      <c r="E74" s="598">
        <v>15000</v>
      </c>
    </row>
    <row r="75" spans="1:7" x14ac:dyDescent="0.35">
      <c r="B75" s="772" t="s">
        <v>6</v>
      </c>
      <c r="C75" s="258" t="s">
        <v>63</v>
      </c>
      <c r="D75" s="227" t="s">
        <v>63</v>
      </c>
      <c r="E75" s="598">
        <v>10000</v>
      </c>
    </row>
    <row r="76" spans="1:7" x14ac:dyDescent="0.35">
      <c r="B76" s="772" t="s">
        <v>270</v>
      </c>
      <c r="C76" s="258">
        <v>4</v>
      </c>
      <c r="D76" s="227">
        <f>+D72*1.5</f>
        <v>1125</v>
      </c>
      <c r="E76" s="598">
        <f>+C76*D76</f>
        <v>4500</v>
      </c>
      <c r="F76" s="774" t="s">
        <v>63</v>
      </c>
    </row>
    <row r="77" spans="1:7" x14ac:dyDescent="0.35">
      <c r="B77" s="772" t="s">
        <v>281</v>
      </c>
      <c r="C77" s="258" t="s">
        <v>63</v>
      </c>
      <c r="D77" s="227" t="s">
        <v>63</v>
      </c>
      <c r="E77" s="598" t="s">
        <v>63</v>
      </c>
    </row>
    <row r="78" spans="1:7" x14ac:dyDescent="0.35">
      <c r="B78" s="1439" t="s">
        <v>99</v>
      </c>
      <c r="C78" s="1440"/>
      <c r="D78" s="1441"/>
      <c r="E78" s="599">
        <f>+E72+E73+E74+E75+E76</f>
        <v>174250</v>
      </c>
      <c r="F78" s="774" t="s">
        <v>63</v>
      </c>
    </row>
    <row r="79" spans="1:7" x14ac:dyDescent="0.35">
      <c r="B79" s="723" t="s">
        <v>50</v>
      </c>
      <c r="C79" s="721"/>
      <c r="D79" s="721"/>
      <c r="E79" s="722">
        <v>-20000</v>
      </c>
      <c r="F79" s="774" t="s">
        <v>63</v>
      </c>
      <c r="G79" s="774" t="s">
        <v>63</v>
      </c>
    </row>
    <row r="80" spans="1:7" ht="15.5" x14ac:dyDescent="0.35">
      <c r="B80" s="1446" t="s">
        <v>11</v>
      </c>
      <c r="C80" s="1447"/>
      <c r="D80" s="1448"/>
      <c r="E80" s="603">
        <f>+E78+E79</f>
        <v>154250</v>
      </c>
      <c r="F80" s="774" t="s">
        <v>63</v>
      </c>
    </row>
    <row r="81" spans="2:8" x14ac:dyDescent="0.35">
      <c r="F81" s="774" t="s">
        <v>63</v>
      </c>
    </row>
    <row r="82" spans="2:8" x14ac:dyDescent="0.35">
      <c r="F82" s="774" t="s">
        <v>63</v>
      </c>
    </row>
    <row r="83" spans="2:8" ht="23.5" x14ac:dyDescent="0.35">
      <c r="B83" s="1442" t="s">
        <v>574</v>
      </c>
      <c r="C83" s="1443"/>
      <c r="D83" s="1443"/>
      <c r="E83" s="1444"/>
    </row>
    <row r="84" spans="2:8" x14ac:dyDescent="0.35">
      <c r="B84" s="801" t="s">
        <v>7</v>
      </c>
      <c r="C84" s="802" t="s">
        <v>388</v>
      </c>
      <c r="D84" s="803" t="s">
        <v>272</v>
      </c>
      <c r="E84" s="804" t="s">
        <v>9</v>
      </c>
    </row>
    <row r="85" spans="2:8" x14ac:dyDescent="0.35">
      <c r="B85" s="805" t="s">
        <v>3</v>
      </c>
      <c r="C85" s="806">
        <v>177</v>
      </c>
      <c r="D85" s="807">
        <v>750</v>
      </c>
      <c r="E85" s="833">
        <f>+C85*D85</f>
        <v>132750</v>
      </c>
      <c r="F85" s="771" t="s">
        <v>63</v>
      </c>
    </row>
    <row r="86" spans="2:8" x14ac:dyDescent="0.35">
      <c r="B86" s="805" t="s">
        <v>310</v>
      </c>
      <c r="C86" s="806">
        <v>16</v>
      </c>
      <c r="D86" s="807">
        <f>+D85</f>
        <v>750</v>
      </c>
      <c r="E86" s="833">
        <f>+C86*D86</f>
        <v>12000</v>
      </c>
    </row>
    <row r="87" spans="2:8" x14ac:dyDescent="0.35">
      <c r="B87" s="805" t="s">
        <v>6</v>
      </c>
      <c r="C87" s="806" t="s">
        <v>63</v>
      </c>
      <c r="D87" s="807" t="s">
        <v>63</v>
      </c>
      <c r="E87" s="834">
        <v>10000</v>
      </c>
    </row>
    <row r="88" spans="2:8" x14ac:dyDescent="0.35">
      <c r="B88" s="614" t="s">
        <v>200</v>
      </c>
      <c r="C88" s="617"/>
      <c r="D88" s="227"/>
      <c r="E88" s="598">
        <v>15000</v>
      </c>
    </row>
    <row r="89" spans="2:8" x14ac:dyDescent="0.35">
      <c r="B89" s="614" t="s">
        <v>475</v>
      </c>
      <c r="C89" s="617">
        <v>4</v>
      </c>
      <c r="D89" s="227">
        <f>+D85*1.5</f>
        <v>1125</v>
      </c>
      <c r="E89" s="598">
        <f>+C89*D89</f>
        <v>4500</v>
      </c>
    </row>
    <row r="90" spans="2:8" x14ac:dyDescent="0.35">
      <c r="B90" s="614" t="s">
        <v>476</v>
      </c>
      <c r="C90" s="617" t="s">
        <v>63</v>
      </c>
      <c r="D90" s="227" t="s">
        <v>63</v>
      </c>
      <c r="E90" s="598" t="s">
        <v>63</v>
      </c>
    </row>
    <row r="91" spans="2:8" x14ac:dyDescent="0.35">
      <c r="B91" s="614" t="s">
        <v>517</v>
      </c>
      <c r="C91" s="617"/>
      <c r="D91" s="227"/>
      <c r="E91" s="598">
        <v>10000</v>
      </c>
    </row>
    <row r="92" spans="2:8" ht="15.5" x14ac:dyDescent="0.35">
      <c r="B92" s="1433" t="s">
        <v>389</v>
      </c>
      <c r="C92" s="1433"/>
      <c r="D92" s="1433"/>
      <c r="E92" s="603">
        <f>+E85+E86+E87+E88+E89+E91</f>
        <v>184250</v>
      </c>
      <c r="F92" s="774" t="s">
        <v>63</v>
      </c>
    </row>
    <row r="93" spans="2:8" ht="15.5" x14ac:dyDescent="0.35">
      <c r="B93" s="831" t="s">
        <v>63</v>
      </c>
      <c r="C93" s="829"/>
      <c r="D93" s="829"/>
      <c r="E93" s="830" t="s">
        <v>63</v>
      </c>
      <c r="F93" s="771" t="s">
        <v>63</v>
      </c>
      <c r="G93" s="771" t="s">
        <v>63</v>
      </c>
      <c r="H93" s="771" t="s">
        <v>63</v>
      </c>
    </row>
    <row r="94" spans="2:8" ht="15.5" x14ac:dyDescent="0.35">
      <c r="B94" s="938" t="s">
        <v>63</v>
      </c>
      <c r="C94" s="934" t="s">
        <v>11</v>
      </c>
      <c r="D94" s="934"/>
      <c r="E94" s="603">
        <f>+E92</f>
        <v>184250</v>
      </c>
    </row>
    <row r="95" spans="2:8" x14ac:dyDescent="0.35">
      <c r="E95" s="203" t="s">
        <v>63</v>
      </c>
    </row>
    <row r="97" spans="2:6" ht="23.5" x14ac:dyDescent="0.35">
      <c r="B97" s="1442" t="s">
        <v>575</v>
      </c>
      <c r="C97" s="1443"/>
      <c r="D97" s="1443"/>
      <c r="E97" s="1444"/>
    </row>
    <row r="98" spans="2:6" x14ac:dyDescent="0.35">
      <c r="B98" s="2" t="s">
        <v>7</v>
      </c>
      <c r="C98" s="270" t="s">
        <v>8</v>
      </c>
      <c r="D98" s="217" t="s">
        <v>4</v>
      </c>
      <c r="E98" s="597" t="s">
        <v>9</v>
      </c>
    </row>
    <row r="99" spans="2:6" x14ac:dyDescent="0.35">
      <c r="B99" s="772" t="s">
        <v>3</v>
      </c>
      <c r="C99" s="258">
        <v>177</v>
      </c>
      <c r="D99" s="227">
        <v>700</v>
      </c>
      <c r="E99" s="598">
        <f>+C99*D99</f>
        <v>123900</v>
      </c>
    </row>
    <row r="100" spans="2:6" x14ac:dyDescent="0.35">
      <c r="B100" s="772" t="s">
        <v>561</v>
      </c>
      <c r="C100" s="258">
        <v>16</v>
      </c>
      <c r="D100" s="227">
        <f>+D99</f>
        <v>700</v>
      </c>
      <c r="E100" s="598">
        <f>+C100*D100</f>
        <v>11200</v>
      </c>
    </row>
    <row r="101" spans="2:6" x14ac:dyDescent="0.35">
      <c r="B101" s="772" t="s">
        <v>200</v>
      </c>
      <c r="C101" s="258"/>
      <c r="D101" s="227"/>
      <c r="E101" s="598">
        <v>15000</v>
      </c>
    </row>
    <row r="102" spans="2:6" x14ac:dyDescent="0.35">
      <c r="B102" s="772" t="s">
        <v>6</v>
      </c>
      <c r="C102" s="258" t="s">
        <v>63</v>
      </c>
      <c r="D102" s="194" t="s">
        <v>63</v>
      </c>
      <c r="E102" s="598">
        <v>20000</v>
      </c>
    </row>
    <row r="103" spans="2:6" x14ac:dyDescent="0.35">
      <c r="B103" s="772" t="s">
        <v>270</v>
      </c>
      <c r="C103" s="258">
        <v>0</v>
      </c>
      <c r="D103" s="194">
        <f>+D99*1.5</f>
        <v>1050</v>
      </c>
      <c r="E103" s="598">
        <f>+C103*D103</f>
        <v>0</v>
      </c>
      <c r="F103" s="771" t="s">
        <v>63</v>
      </c>
    </row>
    <row r="104" spans="2:6" x14ac:dyDescent="0.35">
      <c r="B104" s="1439" t="s">
        <v>99</v>
      </c>
      <c r="C104" s="1440"/>
      <c r="D104" s="1441"/>
      <c r="E104" s="599">
        <f>+E99+E100+E101+E102</f>
        <v>170100</v>
      </c>
      <c r="F104" s="774" t="s">
        <v>63</v>
      </c>
    </row>
    <row r="105" spans="2:6" x14ac:dyDescent="0.35">
      <c r="B105" s="724" t="s">
        <v>19</v>
      </c>
      <c r="C105" s="729" t="s">
        <v>63</v>
      </c>
      <c r="D105" s="730" t="s">
        <v>63</v>
      </c>
      <c r="E105" s="731" t="s">
        <v>63</v>
      </c>
      <c r="F105" s="774" t="s">
        <v>63</v>
      </c>
    </row>
    <row r="106" spans="2:6" ht="23.5" x14ac:dyDescent="0.55000000000000004">
      <c r="B106" s="751"/>
      <c r="C106" s="752" t="s">
        <v>11</v>
      </c>
      <c r="D106" s="753"/>
      <c r="E106" s="754">
        <f>+E99+E100+E101+E102+E103</f>
        <v>170100</v>
      </c>
      <c r="F106" s="770" t="s">
        <v>63</v>
      </c>
    </row>
    <row r="109" spans="2:6" ht="23.5" x14ac:dyDescent="0.35">
      <c r="B109" s="1442" t="s">
        <v>576</v>
      </c>
      <c r="C109" s="1443"/>
      <c r="D109" s="1443"/>
      <c r="E109" s="1444"/>
    </row>
    <row r="110" spans="2:6" x14ac:dyDescent="0.35">
      <c r="B110" s="2" t="s">
        <v>7</v>
      </c>
      <c r="C110" s="270" t="s">
        <v>8</v>
      </c>
      <c r="D110" s="217" t="s">
        <v>4</v>
      </c>
      <c r="E110" s="597" t="s">
        <v>9</v>
      </c>
    </row>
    <row r="111" spans="2:6" x14ac:dyDescent="0.35">
      <c r="B111" s="772" t="s">
        <v>3</v>
      </c>
      <c r="C111" s="258">
        <v>156.5</v>
      </c>
      <c r="D111" s="194">
        <v>900</v>
      </c>
      <c r="E111" s="598">
        <f>+C111*D111</f>
        <v>140850</v>
      </c>
      <c r="F111" s="774" t="s">
        <v>63</v>
      </c>
    </row>
    <row r="112" spans="2:6" x14ac:dyDescent="0.35">
      <c r="B112" s="772" t="s">
        <v>353</v>
      </c>
      <c r="C112" s="258">
        <v>16</v>
      </c>
      <c r="D112" s="194">
        <f>+D111</f>
        <v>900</v>
      </c>
      <c r="E112" s="609">
        <f>+C112*D112</f>
        <v>14400</v>
      </c>
    </row>
    <row r="113" spans="2:6" x14ac:dyDescent="0.35">
      <c r="B113" s="772" t="s">
        <v>6</v>
      </c>
      <c r="C113" s="258"/>
      <c r="D113" s="194"/>
      <c r="E113" s="609">
        <v>15000</v>
      </c>
    </row>
    <row r="114" spans="2:6" x14ac:dyDescent="0.35">
      <c r="B114" s="614" t="s">
        <v>200</v>
      </c>
      <c r="C114" s="617"/>
      <c r="D114" s="227"/>
      <c r="E114" s="609">
        <v>15000</v>
      </c>
      <c r="F114" s="774" t="s">
        <v>63</v>
      </c>
    </row>
    <row r="115" spans="2:6" s="764" customFormat="1" x14ac:dyDescent="0.35">
      <c r="B115" s="882" t="s">
        <v>99</v>
      </c>
      <c r="C115" s="883"/>
      <c r="D115" s="883"/>
      <c r="E115" s="884">
        <f>+E111+E112+E113+E114</f>
        <v>185250</v>
      </c>
      <c r="F115" s="769" t="s">
        <v>63</v>
      </c>
    </row>
    <row r="116" spans="2:6" x14ac:dyDescent="0.35">
      <c r="B116" s="615" t="s">
        <v>374</v>
      </c>
      <c r="C116" s="709"/>
      <c r="D116" s="619"/>
      <c r="E116" s="710">
        <v>-61800</v>
      </c>
      <c r="F116" s="774" t="s">
        <v>63</v>
      </c>
    </row>
    <row r="117" spans="2:6" ht="15.5" x14ac:dyDescent="0.35">
      <c r="B117" s="936" t="s">
        <v>11</v>
      </c>
      <c r="C117" s="708"/>
      <c r="D117" s="706"/>
      <c r="E117" s="603">
        <f>+E115+E116</f>
        <v>123450</v>
      </c>
      <c r="F117" s="774" t="s">
        <v>63</v>
      </c>
    </row>
    <row r="120" spans="2:6" ht="23.5" x14ac:dyDescent="0.35">
      <c r="B120" s="1442" t="s">
        <v>557</v>
      </c>
      <c r="C120" s="1443"/>
      <c r="D120" s="1443"/>
      <c r="E120" s="1444"/>
    </row>
    <row r="121" spans="2:6" x14ac:dyDescent="0.35">
      <c r="B121" s="801"/>
      <c r="C121" s="802"/>
      <c r="D121" s="803"/>
      <c r="E121" s="804"/>
    </row>
    <row r="122" spans="2:6" x14ac:dyDescent="0.35">
      <c r="B122" s="772" t="s">
        <v>3</v>
      </c>
      <c r="C122" s="258">
        <v>133</v>
      </c>
      <c r="D122" s="227">
        <v>600</v>
      </c>
      <c r="E122" s="598">
        <f>+C122*D122</f>
        <v>79800</v>
      </c>
    </row>
    <row r="123" spans="2:6" x14ac:dyDescent="0.35">
      <c r="B123" s="772" t="s">
        <v>310</v>
      </c>
      <c r="C123" s="258">
        <v>16</v>
      </c>
      <c r="D123" s="227">
        <v>600</v>
      </c>
      <c r="E123" s="598">
        <f>+C123*D123</f>
        <v>9600</v>
      </c>
    </row>
    <row r="124" spans="2:6" x14ac:dyDescent="0.35">
      <c r="B124" s="772" t="s">
        <v>558</v>
      </c>
      <c r="C124" s="258">
        <v>8</v>
      </c>
      <c r="D124" s="227">
        <v>600</v>
      </c>
      <c r="E124" s="598">
        <f>+C124*D124</f>
        <v>4800</v>
      </c>
    </row>
    <row r="125" spans="2:6" x14ac:dyDescent="0.35">
      <c r="B125" s="772" t="s">
        <v>22</v>
      </c>
      <c r="C125" s="258">
        <v>4.5</v>
      </c>
      <c r="D125" s="227">
        <f>+D122*1.5</f>
        <v>900</v>
      </c>
      <c r="E125" s="598">
        <f>+C125*D125</f>
        <v>4050</v>
      </c>
    </row>
    <row r="126" spans="2:6" x14ac:dyDescent="0.35">
      <c r="B126" s="772" t="s">
        <v>556</v>
      </c>
      <c r="C126" s="258"/>
      <c r="D126" s="227"/>
      <c r="E126" s="598">
        <v>0</v>
      </c>
    </row>
    <row r="127" spans="2:6" x14ac:dyDescent="0.35">
      <c r="B127" s="772" t="s">
        <v>6</v>
      </c>
      <c r="C127" s="258"/>
      <c r="D127" s="227"/>
      <c r="E127" s="598">
        <v>10000</v>
      </c>
    </row>
    <row r="128" spans="2:6" x14ac:dyDescent="0.35">
      <c r="B128" s="889"/>
      <c r="C128" s="890"/>
      <c r="D128" s="814"/>
      <c r="E128" s="598"/>
    </row>
    <row r="129" spans="2:5" x14ac:dyDescent="0.35">
      <c r="B129" s="1439" t="s">
        <v>389</v>
      </c>
      <c r="C129" s="1440"/>
      <c r="D129" s="1441"/>
      <c r="E129" s="599">
        <f>+E122+E123+E124+E125+E127</f>
        <v>108250</v>
      </c>
    </row>
    <row r="130" spans="2:5" x14ac:dyDescent="0.35">
      <c r="B130" s="831"/>
      <c r="C130" s="829"/>
      <c r="D130" s="829"/>
      <c r="E130" s="844"/>
    </row>
    <row r="131" spans="2:5" ht="15.5" x14ac:dyDescent="0.35">
      <c r="B131" s="1446" t="s">
        <v>11</v>
      </c>
      <c r="C131" s="1447"/>
      <c r="D131" s="1448"/>
      <c r="E131" s="603">
        <f>+E122+E123+E124+E125+E127</f>
        <v>108250</v>
      </c>
    </row>
  </sheetData>
  <mergeCells count="23">
    <mergeCell ref="B120:E120"/>
    <mergeCell ref="B29:D29"/>
    <mergeCell ref="B3:E3"/>
    <mergeCell ref="B11:D11"/>
    <mergeCell ref="B14:D14"/>
    <mergeCell ref="B16:E16"/>
    <mergeCell ref="B25:D25"/>
    <mergeCell ref="B129:D129"/>
    <mergeCell ref="B131:D131"/>
    <mergeCell ref="B97:E97"/>
    <mergeCell ref="B80:D80"/>
    <mergeCell ref="B31:E31"/>
    <mergeCell ref="B38:D38"/>
    <mergeCell ref="B43:E43"/>
    <mergeCell ref="B52:D52"/>
    <mergeCell ref="B57:E57"/>
    <mergeCell ref="B65:D65"/>
    <mergeCell ref="B109:E109"/>
    <mergeCell ref="B70:E70"/>
    <mergeCell ref="B78:D78"/>
    <mergeCell ref="B104:D104"/>
    <mergeCell ref="B83:E83"/>
    <mergeCell ref="B92:D92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36"/>
  <sheetViews>
    <sheetView topLeftCell="A23" workbookViewId="0">
      <selection activeCell="F32" sqref="F32"/>
    </sheetView>
  </sheetViews>
  <sheetFormatPr baseColWidth="10" defaultRowHeight="14.5" x14ac:dyDescent="0.35"/>
  <cols>
    <col min="1" max="1" width="10.90625" style="771"/>
    <col min="2" max="2" width="31.26953125" style="771" customWidth="1"/>
    <col min="3" max="3" width="29.453125" style="49" customWidth="1"/>
    <col min="4" max="4" width="23.7265625" style="771" customWidth="1"/>
    <col min="5" max="5" width="14.08984375" style="771" customWidth="1"/>
    <col min="6" max="16384" width="10.90625" style="771"/>
  </cols>
  <sheetData>
    <row r="1" spans="1:4" s="658" customFormat="1" ht="28.5" x14ac:dyDescent="0.65">
      <c r="A1" s="946"/>
      <c r="B1" s="947" t="s">
        <v>567</v>
      </c>
      <c r="C1" s="945"/>
      <c r="D1" s="946"/>
    </row>
    <row r="2" spans="1:4" ht="21" x14ac:dyDescent="0.5">
      <c r="A2" s="760"/>
      <c r="B2" s="760"/>
      <c r="C2" s="948"/>
      <c r="D2" s="760"/>
    </row>
    <row r="3" spans="1:4" ht="21" x14ac:dyDescent="0.5">
      <c r="A3" s="760">
        <v>1</v>
      </c>
      <c r="B3" s="949" t="s">
        <v>10</v>
      </c>
      <c r="C3" s="950">
        <v>93100</v>
      </c>
      <c r="D3" s="760"/>
    </row>
    <row r="4" spans="1:4" ht="21" x14ac:dyDescent="0.5">
      <c r="A4" s="760">
        <v>2</v>
      </c>
      <c r="B4" s="949" t="s">
        <v>15</v>
      </c>
      <c r="C4" s="950">
        <v>157000</v>
      </c>
      <c r="D4" s="760"/>
    </row>
    <row r="5" spans="1:4" ht="21" x14ac:dyDescent="0.5">
      <c r="A5" s="760">
        <v>3</v>
      </c>
      <c r="B5" s="949" t="s">
        <v>16</v>
      </c>
      <c r="C5" s="950">
        <v>144800</v>
      </c>
      <c r="D5" s="760"/>
    </row>
    <row r="6" spans="1:4" ht="21" x14ac:dyDescent="0.5">
      <c r="A6" s="951">
        <v>4</v>
      </c>
      <c r="B6" s="949" t="s">
        <v>0</v>
      </c>
      <c r="C6" s="950">
        <v>133700</v>
      </c>
      <c r="D6" s="760"/>
    </row>
    <row r="7" spans="1:4" ht="21" x14ac:dyDescent="0.5">
      <c r="A7" s="951">
        <v>5</v>
      </c>
      <c r="B7" s="949" t="s">
        <v>245</v>
      </c>
      <c r="C7" s="950">
        <v>154300</v>
      </c>
      <c r="D7" s="760"/>
    </row>
    <row r="8" spans="1:4" ht="21" x14ac:dyDescent="0.5">
      <c r="A8" s="951">
        <v>6</v>
      </c>
      <c r="B8" s="949" t="s">
        <v>267</v>
      </c>
      <c r="C8" s="950">
        <v>170500</v>
      </c>
      <c r="D8" s="760"/>
    </row>
    <row r="9" spans="1:4" ht="21" x14ac:dyDescent="0.5">
      <c r="A9" s="951">
        <v>7</v>
      </c>
      <c r="B9" s="949" t="s">
        <v>260</v>
      </c>
      <c r="C9" s="950">
        <v>123500</v>
      </c>
      <c r="D9" s="760"/>
    </row>
    <row r="10" spans="1:4" ht="21" x14ac:dyDescent="0.5">
      <c r="A10" s="951">
        <v>8</v>
      </c>
      <c r="B10" s="949" t="s">
        <v>553</v>
      </c>
      <c r="C10" s="950">
        <v>170100</v>
      </c>
      <c r="D10" s="760"/>
    </row>
    <row r="11" spans="1:4" ht="21" x14ac:dyDescent="0.5">
      <c r="A11" s="951">
        <v>9</v>
      </c>
      <c r="B11" s="949" t="s">
        <v>463</v>
      </c>
      <c r="C11" s="950">
        <v>184300</v>
      </c>
      <c r="D11" s="948" t="s">
        <v>63</v>
      </c>
    </row>
    <row r="12" spans="1:4" ht="21" x14ac:dyDescent="0.5">
      <c r="A12" s="760"/>
      <c r="B12" s="949" t="s">
        <v>63</v>
      </c>
      <c r="C12" s="950" t="s">
        <v>63</v>
      </c>
      <c r="D12" s="760"/>
    </row>
    <row r="13" spans="1:4" s="658" customFormat="1" ht="28.5" x14ac:dyDescent="0.65">
      <c r="A13" s="946"/>
      <c r="B13" s="952" t="s">
        <v>566</v>
      </c>
      <c r="C13" s="953">
        <f>+C3+C4+C5+C6+C7+C8+C9+C10+C11</f>
        <v>1331300</v>
      </c>
      <c r="D13" s="945" t="s">
        <v>63</v>
      </c>
    </row>
    <row r="14" spans="1:4" ht="21" x14ac:dyDescent="0.5">
      <c r="A14" s="760"/>
      <c r="B14" s="760"/>
      <c r="C14" s="948" t="s">
        <v>63</v>
      </c>
      <c r="D14" s="760"/>
    </row>
    <row r="15" spans="1:4" ht="21" x14ac:dyDescent="0.5">
      <c r="A15" s="760"/>
      <c r="B15" s="760"/>
      <c r="C15" s="948" t="s">
        <v>63</v>
      </c>
      <c r="D15" s="760"/>
    </row>
    <row r="16" spans="1:4" s="648" customFormat="1" ht="46" x14ac:dyDescent="1">
      <c r="A16" s="760"/>
      <c r="B16" s="954" t="s">
        <v>567</v>
      </c>
      <c r="C16" s="948"/>
      <c r="D16" s="760"/>
    </row>
    <row r="17" spans="1:4" ht="18.5" x14ac:dyDescent="0.45">
      <c r="B17" s="643" t="s">
        <v>306</v>
      </c>
      <c r="C17" s="654" t="s">
        <v>272</v>
      </c>
      <c r="D17" s="643" t="s">
        <v>200</v>
      </c>
    </row>
    <row r="18" spans="1:4" ht="18.5" x14ac:dyDescent="0.45">
      <c r="B18" s="644" t="s">
        <v>10</v>
      </c>
      <c r="C18" s="655">
        <v>834.9</v>
      </c>
      <c r="D18" s="644">
        <v>15000</v>
      </c>
    </row>
    <row r="19" spans="1:4" ht="18.5" x14ac:dyDescent="0.45">
      <c r="B19" s="644" t="s">
        <v>15</v>
      </c>
      <c r="C19" s="655">
        <v>1814.7</v>
      </c>
      <c r="D19" s="644">
        <v>15000</v>
      </c>
    </row>
    <row r="20" spans="1:4" ht="18.5" x14ac:dyDescent="0.45">
      <c r="B20" s="644" t="s">
        <v>16</v>
      </c>
      <c r="C20" s="655">
        <v>800</v>
      </c>
      <c r="D20" s="644">
        <v>15000</v>
      </c>
    </row>
    <row r="21" spans="1:4" ht="18.5" x14ac:dyDescent="0.45">
      <c r="B21" s="644" t="s">
        <v>0</v>
      </c>
      <c r="C21" s="655">
        <v>1050</v>
      </c>
      <c r="D21" s="644">
        <v>15000</v>
      </c>
    </row>
    <row r="22" spans="1:4" ht="18.5" x14ac:dyDescent="0.45">
      <c r="B22" s="644" t="s">
        <v>245</v>
      </c>
      <c r="C22" s="655">
        <v>750</v>
      </c>
      <c r="D22" s="644">
        <v>15000</v>
      </c>
    </row>
    <row r="23" spans="1:4" ht="18.5" x14ac:dyDescent="0.45">
      <c r="B23" s="644" t="s">
        <v>267</v>
      </c>
      <c r="C23" s="655">
        <v>800</v>
      </c>
      <c r="D23" s="644">
        <v>15000</v>
      </c>
    </row>
    <row r="24" spans="1:4" ht="18.5" x14ac:dyDescent="0.45">
      <c r="B24" s="644" t="s">
        <v>260</v>
      </c>
      <c r="C24" s="655">
        <v>900</v>
      </c>
      <c r="D24" s="644">
        <v>15000</v>
      </c>
    </row>
    <row r="25" spans="1:4" ht="18.5" x14ac:dyDescent="0.45">
      <c r="B25" s="645" t="s">
        <v>553</v>
      </c>
      <c r="C25" s="655">
        <v>700</v>
      </c>
      <c r="D25" s="645">
        <v>15000</v>
      </c>
    </row>
    <row r="26" spans="1:4" ht="18.5" x14ac:dyDescent="0.45">
      <c r="B26" s="645" t="s">
        <v>463</v>
      </c>
      <c r="C26" s="655">
        <v>750</v>
      </c>
      <c r="D26" s="645">
        <v>15000</v>
      </c>
    </row>
    <row r="27" spans="1:4" ht="18.5" x14ac:dyDescent="0.45">
      <c r="B27" s="645" t="s">
        <v>63</v>
      </c>
      <c r="C27" s="655" t="s">
        <v>63</v>
      </c>
      <c r="D27" s="645" t="s">
        <v>63</v>
      </c>
    </row>
    <row r="28" spans="1:4" ht="18.5" x14ac:dyDescent="0.45">
      <c r="B28" s="798"/>
      <c r="C28" s="799"/>
      <c r="D28" s="798"/>
    </row>
    <row r="30" spans="1:4" x14ac:dyDescent="0.35">
      <c r="A30" s="701" t="s">
        <v>106</v>
      </c>
      <c r="B30" s="702" t="s">
        <v>107</v>
      </c>
      <c r="C30" s="702" t="s">
        <v>262</v>
      </c>
      <c r="D30" s="704"/>
    </row>
    <row r="31" spans="1:4" x14ac:dyDescent="0.35">
      <c r="A31" s="703">
        <v>17</v>
      </c>
      <c r="B31" s="703">
        <v>9</v>
      </c>
      <c r="C31" s="568">
        <f>+A31*B31</f>
        <v>153</v>
      </c>
      <c r="D31" s="592" t="s">
        <v>116</v>
      </c>
    </row>
    <row r="32" spans="1:4" x14ac:dyDescent="0.35">
      <c r="A32" s="703">
        <v>3</v>
      </c>
      <c r="B32" s="703">
        <v>8</v>
      </c>
      <c r="C32" s="568">
        <f>+A32*B32</f>
        <v>24</v>
      </c>
      <c r="D32" s="593" t="s">
        <v>491</v>
      </c>
    </row>
    <row r="33" spans="1:4" x14ac:dyDescent="0.35">
      <c r="A33" s="703">
        <v>2</v>
      </c>
      <c r="B33" s="703">
        <v>8</v>
      </c>
      <c r="C33" s="568">
        <f>+A33*B33</f>
        <v>16</v>
      </c>
      <c r="D33" s="593" t="s">
        <v>111</v>
      </c>
    </row>
    <row r="34" spans="1:4" x14ac:dyDescent="0.35">
      <c r="A34" s="568" t="s">
        <v>63</v>
      </c>
      <c r="B34" s="773"/>
      <c r="C34" s="568">
        <f>+C31+C32+C33</f>
        <v>193</v>
      </c>
      <c r="D34" s="592" t="s">
        <v>309</v>
      </c>
    </row>
    <row r="35" spans="1:4" x14ac:dyDescent="0.35">
      <c r="A35" s="901" t="s">
        <v>63</v>
      </c>
      <c r="B35" s="49"/>
      <c r="C35" s="771"/>
    </row>
    <row r="36" spans="1:4" x14ac:dyDescent="0.35">
      <c r="A36" s="345" t="s">
        <v>63</v>
      </c>
    </row>
  </sheetData>
  <pageMargins left="0.7" right="0.7" top="0.75" bottom="0.75" header="0.3" footer="0.3"/>
  <pageSetup paperSize="9" scale="93"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V125"/>
  <sheetViews>
    <sheetView topLeftCell="A53" zoomScaleNormal="100" workbookViewId="0">
      <selection activeCell="H112" sqref="H112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45231</v>
      </c>
    </row>
    <row r="3" spans="2:21" ht="25.5" customHeight="1" x14ac:dyDescent="0.35">
      <c r="B3" s="1431" t="s">
        <v>583</v>
      </c>
      <c r="C3" s="1431"/>
      <c r="D3" s="1431"/>
      <c r="E3" s="1431"/>
    </row>
    <row r="4" spans="2:21" s="939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771"/>
      <c r="T4" s="771"/>
      <c r="U4" s="771"/>
    </row>
    <row r="5" spans="2:21" ht="18" customHeight="1" x14ac:dyDescent="0.35">
      <c r="B5" s="772" t="s">
        <v>480</v>
      </c>
      <c r="C5" s="258">
        <v>185</v>
      </c>
      <c r="D5" s="227">
        <f>834.9*1.15</f>
        <v>960.13499999999988</v>
      </c>
      <c r="E5" s="598">
        <f>+C5*D5</f>
        <v>177624.97499999998</v>
      </c>
      <c r="F5" s="553" t="s">
        <v>365</v>
      </c>
      <c r="T5" s="939"/>
    </row>
    <row r="6" spans="2:21" ht="18" customHeight="1" x14ac:dyDescent="0.35">
      <c r="B6" s="772" t="s">
        <v>523</v>
      </c>
      <c r="C6" s="258">
        <v>8</v>
      </c>
      <c r="D6" s="227">
        <f>+D5</f>
        <v>960.13499999999988</v>
      </c>
      <c r="E6" s="598">
        <f>+C6*D6</f>
        <v>7681.079999999999</v>
      </c>
      <c r="F6" s="774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774" t="s">
        <v>63</v>
      </c>
      <c r="G7" s="771" t="s">
        <v>63</v>
      </c>
    </row>
    <row r="8" spans="2:21" ht="18" customHeight="1" x14ac:dyDescent="0.35">
      <c r="B8" s="772" t="s">
        <v>467</v>
      </c>
      <c r="C8" s="258">
        <v>0</v>
      </c>
      <c r="D8" s="194">
        <f>+D5*1.5</f>
        <v>1440.2024999999999</v>
      </c>
      <c r="E8" s="598">
        <f>+C8*D8</f>
        <v>0</v>
      </c>
      <c r="F8" s="774" t="s">
        <v>63</v>
      </c>
      <c r="G8" s="774"/>
    </row>
    <row r="9" spans="2:21" ht="18" customHeight="1" x14ac:dyDescent="0.35">
      <c r="B9" s="772" t="s">
        <v>489</v>
      </c>
      <c r="C9" s="258" t="s">
        <v>63</v>
      </c>
      <c r="D9" s="194"/>
      <c r="E9" s="598">
        <v>35000</v>
      </c>
      <c r="F9" s="553" t="s">
        <v>63</v>
      </c>
      <c r="G9" s="774" t="s">
        <v>63</v>
      </c>
      <c r="U9" s="939"/>
    </row>
    <row r="10" spans="2:21" ht="18" customHeight="1" x14ac:dyDescent="0.35">
      <c r="B10" s="772" t="s">
        <v>400</v>
      </c>
      <c r="C10" s="258">
        <v>1</v>
      </c>
      <c r="D10" s="194">
        <v>4000</v>
      </c>
      <c r="E10" s="598">
        <f>+C10*D10</f>
        <v>4000</v>
      </c>
      <c r="F10" s="774" t="s">
        <v>63</v>
      </c>
      <c r="U10" s="939"/>
    </row>
    <row r="11" spans="2:21" ht="18" customHeight="1" x14ac:dyDescent="0.35">
      <c r="B11" s="1432" t="s">
        <v>99</v>
      </c>
      <c r="C11" s="1432"/>
      <c r="D11" s="1432"/>
      <c r="E11" s="599">
        <f>+E5+E6+E7+E8+E9+E10</f>
        <v>239306.05499999996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939"/>
    </row>
    <row r="12" spans="2:21" ht="18" customHeight="1" x14ac:dyDescent="0.35">
      <c r="B12" s="943" t="s">
        <v>384</v>
      </c>
      <c r="C12" s="941"/>
      <c r="D12" s="941"/>
      <c r="E12" s="221">
        <v>-105957.03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939"/>
    </row>
    <row r="13" spans="2:21" ht="18" customHeight="1" x14ac:dyDescent="0.35">
      <c r="B13" s="800" t="s">
        <v>582</v>
      </c>
      <c r="C13" s="721" t="s">
        <v>477</v>
      </c>
      <c r="D13" s="905">
        <f>+E5+E6+E7+E9</f>
        <v>235306.05499999996</v>
      </c>
      <c r="E13" s="722">
        <f>-D13*0.1</f>
        <v>-23530.605499999998</v>
      </c>
      <c r="F13" s="774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939"/>
    </row>
    <row r="14" spans="2:21" ht="18" customHeight="1" x14ac:dyDescent="0.35">
      <c r="B14" s="1433" t="s">
        <v>11</v>
      </c>
      <c r="C14" s="1433"/>
      <c r="D14" s="1433"/>
      <c r="E14" s="603">
        <f>+E11+E12+E13</f>
        <v>109818.41949999996</v>
      </c>
      <c r="F14" s="774" t="s">
        <v>63</v>
      </c>
      <c r="H14" s="321"/>
      <c r="I14" s="321"/>
      <c r="J14" s="321"/>
      <c r="K14" s="473"/>
      <c r="L14" s="321"/>
      <c r="M14" s="321"/>
      <c r="T14" s="939"/>
    </row>
    <row r="15" spans="2:21" ht="18" customHeight="1" x14ac:dyDescent="0.35">
      <c r="E15" s="203" t="s">
        <v>63</v>
      </c>
      <c r="F15" s="106"/>
      <c r="G15" s="4"/>
      <c r="N15" s="4"/>
      <c r="T15" s="939"/>
    </row>
    <row r="16" spans="2:21" ht="18" customHeight="1" x14ac:dyDescent="0.35">
      <c r="B16" s="1442" t="s">
        <v>569</v>
      </c>
      <c r="C16" s="1443"/>
      <c r="D16" s="1443"/>
      <c r="E16" s="1444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939"/>
      <c r="K17" s="101"/>
      <c r="L17" s="101"/>
      <c r="M17" s="101"/>
    </row>
    <row r="18" spans="2:22" ht="18" customHeight="1" x14ac:dyDescent="0.35">
      <c r="B18" s="772" t="s">
        <v>3</v>
      </c>
      <c r="C18" s="315">
        <v>185</v>
      </c>
      <c r="D18" s="194">
        <f>1814.7*1.15</f>
        <v>2086.9049999999997</v>
      </c>
      <c r="E18" s="598">
        <f>+C18*D18</f>
        <v>386077.42499999993</v>
      </c>
      <c r="F18" s="774" t="s">
        <v>365</v>
      </c>
      <c r="K18" s="101"/>
      <c r="L18" s="101"/>
      <c r="M18" s="101"/>
    </row>
    <row r="19" spans="2:22" ht="18" customHeight="1" x14ac:dyDescent="0.35">
      <c r="B19" s="772" t="s">
        <v>519</v>
      </c>
      <c r="C19" s="258">
        <v>8</v>
      </c>
      <c r="D19" s="194">
        <f>+D18</f>
        <v>2086.9049999999997</v>
      </c>
      <c r="E19" s="598">
        <f>+C19*D19</f>
        <v>16695.239999999998</v>
      </c>
      <c r="F19" s="774" t="s">
        <v>63</v>
      </c>
      <c r="K19" s="101"/>
      <c r="L19" s="101"/>
      <c r="M19" s="101"/>
    </row>
    <row r="20" spans="2:22" ht="18" customHeight="1" x14ac:dyDescent="0.35">
      <c r="B20" s="772" t="s">
        <v>196</v>
      </c>
      <c r="C20" s="258"/>
      <c r="D20" s="194"/>
      <c r="E20" s="598">
        <v>15000</v>
      </c>
      <c r="F20" s="939"/>
      <c r="H20" s="940"/>
      <c r="N20" s="51"/>
      <c r="O20" s="51"/>
      <c r="P20" s="66"/>
      <c r="Q20" s="49"/>
      <c r="R20" s="49"/>
    </row>
    <row r="21" spans="2:22" ht="18" customHeight="1" x14ac:dyDescent="0.35">
      <c r="B21" s="772" t="s">
        <v>6</v>
      </c>
      <c r="C21" s="258"/>
      <c r="D21" s="194"/>
      <c r="E21" s="598">
        <v>35000</v>
      </c>
      <c r="F21" s="649" t="s">
        <v>63</v>
      </c>
      <c r="H21" s="940"/>
      <c r="N21" s="51"/>
      <c r="O21" s="51"/>
      <c r="P21" s="66"/>
      <c r="Q21" s="49"/>
      <c r="R21" s="49"/>
    </row>
    <row r="22" spans="2:22" ht="18" customHeight="1" x14ac:dyDescent="0.35">
      <c r="B22" s="772" t="s">
        <v>507</v>
      </c>
      <c r="C22" s="315">
        <v>2.5</v>
      </c>
      <c r="D22" s="194">
        <f>+D18*1.5</f>
        <v>3130.3574999999996</v>
      </c>
      <c r="E22" s="598">
        <f>+C22*D22</f>
        <v>7825.8937499999993</v>
      </c>
      <c r="F22" s="774"/>
      <c r="G22" s="4"/>
      <c r="L22" s="180"/>
      <c r="M22" s="184"/>
    </row>
    <row r="23" spans="2:22" s="939" customFormat="1" ht="18" customHeight="1" x14ac:dyDescent="0.35">
      <c r="B23" s="772" t="s">
        <v>539</v>
      </c>
      <c r="C23" s="258">
        <v>1</v>
      </c>
      <c r="D23" s="194">
        <v>4000</v>
      </c>
      <c r="E23" s="598">
        <f>+C23*D23</f>
        <v>4000</v>
      </c>
      <c r="F23" s="774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939" customFormat="1" ht="18" customHeight="1" x14ac:dyDescent="0.35">
      <c r="B24" s="772" t="s">
        <v>546</v>
      </c>
      <c r="C24" s="258"/>
      <c r="D24" s="194"/>
      <c r="E24" s="598">
        <v>65000</v>
      </c>
      <c r="F24" s="774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939" customFormat="1" ht="18" customHeight="1" x14ac:dyDescent="0.35">
      <c r="B25" s="1439" t="s">
        <v>389</v>
      </c>
      <c r="C25" s="1440"/>
      <c r="D25" s="1441"/>
      <c r="E25" s="599">
        <f>+E18+E19+E20+E21+E22+E23+E24</f>
        <v>529598.55874999985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908" customFormat="1" ht="18" customHeight="1" x14ac:dyDescent="0.35">
      <c r="B26" s="909" t="s">
        <v>515</v>
      </c>
      <c r="C26" s="720"/>
      <c r="D26" s="720"/>
      <c r="E26" s="920">
        <v>-270000</v>
      </c>
      <c r="F26" s="769" t="s">
        <v>63</v>
      </c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s="908" customFormat="1" ht="18" customHeight="1" x14ac:dyDescent="0.35">
      <c r="B27" s="909" t="s">
        <v>581</v>
      </c>
      <c r="C27" s="720"/>
      <c r="D27" s="720"/>
      <c r="E27" s="920">
        <v>-3250</v>
      </c>
      <c r="F27" s="769"/>
      <c r="G27" s="764"/>
      <c r="L27" s="910"/>
      <c r="M27" s="911"/>
      <c r="N27" s="912"/>
      <c r="O27" s="912"/>
      <c r="P27" s="910"/>
      <c r="Q27" s="910"/>
      <c r="R27" s="910"/>
      <c r="S27" s="764"/>
      <c r="V27" s="764"/>
    </row>
    <row r="28" spans="2:22" s="939" customFormat="1" ht="18" customHeight="1" x14ac:dyDescent="0.35">
      <c r="B28" s="772" t="s">
        <v>79</v>
      </c>
      <c r="C28" s="258"/>
      <c r="D28" s="194"/>
      <c r="E28" s="731">
        <v>-4270</v>
      </c>
      <c r="F28" s="774" t="s">
        <v>63</v>
      </c>
      <c r="G28" s="774" t="s">
        <v>63</v>
      </c>
      <c r="L28" s="181"/>
      <c r="M28" s="184"/>
      <c r="N28" s="180"/>
      <c r="O28" s="180"/>
      <c r="P28" s="181"/>
      <c r="Q28" s="181"/>
      <c r="R28" s="181"/>
      <c r="S28" s="771"/>
      <c r="V28" s="771"/>
    </row>
    <row r="29" spans="2:22" ht="18" customHeight="1" x14ac:dyDescent="0.35">
      <c r="B29" s="1435" t="s">
        <v>11</v>
      </c>
      <c r="C29" s="1435"/>
      <c r="D29" s="1435"/>
      <c r="E29" s="602">
        <f>+E25+E26+E27+E28</f>
        <v>252078.55874999985</v>
      </c>
      <c r="F29" s="796" t="s">
        <v>63</v>
      </c>
      <c r="G29" s="115"/>
      <c r="M29" s="189"/>
      <c r="N29" s="180"/>
      <c r="O29" s="180"/>
      <c r="P29" s="181"/>
      <c r="Q29" s="181"/>
      <c r="R29" s="181"/>
    </row>
    <row r="30" spans="2:22" ht="18" customHeight="1" x14ac:dyDescent="0.35">
      <c r="B30" s="455"/>
      <c r="C30" s="455"/>
      <c r="D30" s="455"/>
      <c r="E30" s="456"/>
      <c r="F30" s="409"/>
      <c r="G30" s="115"/>
      <c r="M30" s="189"/>
      <c r="N30" s="180"/>
      <c r="O30" s="180"/>
      <c r="P30" s="181"/>
      <c r="Q30" s="181"/>
      <c r="R30" s="181"/>
    </row>
    <row r="31" spans="2:22" ht="18" customHeight="1" x14ac:dyDescent="0.45">
      <c r="B31" s="1450" t="s">
        <v>585</v>
      </c>
      <c r="C31" s="1451"/>
      <c r="D31" s="1451"/>
      <c r="E31" s="1452"/>
      <c r="F31" s="409"/>
      <c r="G31" s="115"/>
      <c r="M31" s="185"/>
      <c r="N31" s="181"/>
      <c r="O31" s="181"/>
      <c r="P31" s="181"/>
      <c r="Q31" s="181"/>
    </row>
    <row r="32" spans="2:22" ht="18" customHeight="1" x14ac:dyDescent="0.35">
      <c r="B32" s="604" t="s">
        <v>7</v>
      </c>
      <c r="C32" s="605" t="s">
        <v>8</v>
      </c>
      <c r="D32" s="606" t="s">
        <v>4</v>
      </c>
      <c r="E32" s="606" t="s">
        <v>9</v>
      </c>
      <c r="M32" s="185"/>
      <c r="N32" s="181"/>
      <c r="O32" s="181"/>
      <c r="P32" s="184"/>
    </row>
    <row r="33" spans="2:15" ht="18" customHeight="1" x14ac:dyDescent="0.35">
      <c r="B33" s="607" t="s">
        <v>3</v>
      </c>
      <c r="C33" s="267">
        <v>185</v>
      </c>
      <c r="D33" s="211">
        <f>800*1.15</f>
        <v>919.99999999999989</v>
      </c>
      <c r="E33" s="211">
        <f>+C33*D33</f>
        <v>170199.99999999997</v>
      </c>
      <c r="F33" s="771" t="s">
        <v>365</v>
      </c>
      <c r="G33" s="774" t="s">
        <v>63</v>
      </c>
      <c r="M33" s="182"/>
    </row>
    <row r="34" spans="2:15" ht="18" customHeight="1" x14ac:dyDescent="0.35">
      <c r="B34" s="772" t="s">
        <v>519</v>
      </c>
      <c r="C34" s="267">
        <v>8</v>
      </c>
      <c r="D34" s="211">
        <f>+D33</f>
        <v>919.99999999999989</v>
      </c>
      <c r="E34" s="211">
        <f>+C34*D34</f>
        <v>7359.9999999999991</v>
      </c>
      <c r="F34" s="774"/>
      <c r="I34" s="939"/>
      <c r="J34" s="939"/>
      <c r="K34" s="939"/>
    </row>
    <row r="35" spans="2:15" ht="18" customHeight="1" x14ac:dyDescent="0.35">
      <c r="B35" s="772" t="s">
        <v>196</v>
      </c>
      <c r="C35" s="267"/>
      <c r="D35" s="211"/>
      <c r="E35" s="211">
        <v>15000</v>
      </c>
      <c r="F35" s="774"/>
      <c r="L35" s="939"/>
    </row>
    <row r="36" spans="2:15" ht="18" customHeight="1" x14ac:dyDescent="0.35">
      <c r="B36" s="772" t="s">
        <v>6</v>
      </c>
      <c r="C36" s="267"/>
      <c r="D36" s="211"/>
      <c r="E36" s="211">
        <v>20000</v>
      </c>
      <c r="F36" s="774"/>
      <c r="L36" s="939"/>
    </row>
    <row r="37" spans="2:15" ht="18" customHeight="1" x14ac:dyDescent="0.35">
      <c r="B37" s="772" t="s">
        <v>468</v>
      </c>
      <c r="C37" s="267">
        <v>6.15</v>
      </c>
      <c r="D37" s="211">
        <f>+D33*1.5</f>
        <v>1379.9999999999998</v>
      </c>
      <c r="E37" s="211">
        <f>C37*D37</f>
        <v>8487</v>
      </c>
      <c r="F37" s="649" t="s">
        <v>63</v>
      </c>
      <c r="G37" s="180"/>
      <c r="H37" s="180"/>
      <c r="I37" s="181"/>
      <c r="J37" s="187"/>
      <c r="K37" s="188"/>
      <c r="L37" s="939"/>
      <c r="O37" s="939"/>
    </row>
    <row r="38" spans="2:15" ht="18" customHeight="1" x14ac:dyDescent="0.35">
      <c r="B38" s="772" t="s">
        <v>591</v>
      </c>
      <c r="C38" s="267"/>
      <c r="D38" s="211"/>
      <c r="E38" s="211">
        <v>6000</v>
      </c>
      <c r="F38" s="649"/>
      <c r="G38" s="180"/>
      <c r="H38" s="180"/>
      <c r="I38" s="181"/>
      <c r="J38" s="187"/>
      <c r="K38" s="188"/>
      <c r="L38" s="955"/>
      <c r="O38" s="955"/>
    </row>
    <row r="39" spans="2:15" s="939" customFormat="1" ht="18" customHeight="1" x14ac:dyDescent="0.35">
      <c r="B39" s="1459" t="s">
        <v>99</v>
      </c>
      <c r="C39" s="1459"/>
      <c r="D39" s="1459"/>
      <c r="E39" s="599">
        <f>+E33+E34+E35+E36+E37+E38</f>
        <v>227046.99999999997</v>
      </c>
      <c r="F39" s="774" t="s">
        <v>63</v>
      </c>
      <c r="G39" s="180"/>
      <c r="H39" s="180"/>
      <c r="I39" s="181"/>
      <c r="J39" s="181"/>
      <c r="K39" s="184"/>
      <c r="L39" s="771"/>
      <c r="N39" s="771"/>
      <c r="O39" s="771"/>
    </row>
    <row r="40" spans="2:15" s="939" customFormat="1" ht="18" customHeight="1" x14ac:dyDescent="0.35">
      <c r="B40" s="825" t="s">
        <v>19</v>
      </c>
      <c r="C40" s="826" t="s">
        <v>63</v>
      </c>
      <c r="D40" s="823" t="s">
        <v>63</v>
      </c>
      <c r="E40" s="930">
        <v>-60000</v>
      </c>
      <c r="F40" s="774" t="s">
        <v>63</v>
      </c>
      <c r="G40" s="180"/>
      <c r="H40" s="180"/>
      <c r="I40" s="181"/>
      <c r="J40" s="181"/>
      <c r="K40" s="184"/>
      <c r="L40" s="771"/>
      <c r="N40" s="771"/>
      <c r="O40" s="771"/>
    </row>
    <row r="41" spans="2:15" s="939" customFormat="1" ht="18" customHeight="1" x14ac:dyDescent="0.35">
      <c r="B41" s="825" t="s">
        <v>581</v>
      </c>
      <c r="C41" s="826"/>
      <c r="D41" s="823"/>
      <c r="E41" s="930">
        <v>-3250</v>
      </c>
      <c r="F41" s="774"/>
      <c r="G41" s="180"/>
      <c r="H41" s="180"/>
      <c r="I41" s="181"/>
      <c r="J41" s="181"/>
      <c r="K41" s="184"/>
      <c r="L41" s="771"/>
      <c r="N41" s="771"/>
      <c r="O41" s="771"/>
    </row>
    <row r="42" spans="2:15" ht="18" customHeight="1" x14ac:dyDescent="0.35">
      <c r="B42" s="786" t="s">
        <v>11</v>
      </c>
      <c r="C42" s="783"/>
      <c r="D42" s="783"/>
      <c r="E42" s="784">
        <f>+E39+E40+E41</f>
        <v>163796.99999999997</v>
      </c>
      <c r="F42" s="774" t="s">
        <v>63</v>
      </c>
      <c r="G42" s="180"/>
      <c r="H42" s="180"/>
      <c r="I42" s="181"/>
      <c r="J42" s="181"/>
      <c r="K42" s="184"/>
    </row>
    <row r="43" spans="2:15" ht="18" customHeight="1" x14ac:dyDescent="0.35">
      <c r="B43" s="594"/>
      <c r="C43" s="594"/>
      <c r="D43" s="594"/>
      <c r="E43" s="595"/>
      <c r="G43" s="180"/>
      <c r="H43" s="180"/>
      <c r="I43" s="181"/>
      <c r="J43" s="181"/>
      <c r="K43" s="184"/>
    </row>
    <row r="44" spans="2:15" ht="18" customHeight="1" x14ac:dyDescent="0.35">
      <c r="B44" s="594"/>
      <c r="C44" s="594"/>
      <c r="D44" s="594"/>
      <c r="E44" s="595"/>
      <c r="G44" s="180"/>
      <c r="H44" s="180"/>
      <c r="I44" s="181"/>
      <c r="J44" s="181"/>
      <c r="K44" s="184"/>
    </row>
    <row r="45" spans="2:15" ht="18" customHeight="1" x14ac:dyDescent="0.35">
      <c r="B45" s="1431" t="s">
        <v>584</v>
      </c>
      <c r="C45" s="1431"/>
      <c r="D45" s="1431"/>
      <c r="E45" s="1431"/>
      <c r="G45" s="180"/>
      <c r="H45" s="180"/>
      <c r="I45" s="181"/>
      <c r="J45" s="181"/>
      <c r="K45" s="184"/>
    </row>
    <row r="46" spans="2:15" ht="18" customHeight="1" x14ac:dyDescent="0.35">
      <c r="B46" s="2" t="s">
        <v>7</v>
      </c>
      <c r="C46" s="270" t="s">
        <v>8</v>
      </c>
      <c r="D46" s="217" t="s">
        <v>4</v>
      </c>
      <c r="E46" s="597" t="s">
        <v>9</v>
      </c>
      <c r="G46" s="180"/>
      <c r="H46" s="180"/>
      <c r="I46" s="181"/>
      <c r="J46" s="181"/>
      <c r="K46" s="184"/>
    </row>
    <row r="47" spans="2:15" ht="18" customHeight="1" x14ac:dyDescent="0.35">
      <c r="B47" s="772" t="s">
        <v>253</v>
      </c>
      <c r="C47" s="258">
        <v>185</v>
      </c>
      <c r="D47" s="194">
        <f>1050*1.15</f>
        <v>1207.5</v>
      </c>
      <c r="E47" s="598">
        <f>+C47*D47</f>
        <v>223387.5</v>
      </c>
      <c r="F47" s="771" t="s">
        <v>365</v>
      </c>
      <c r="G47" s="906" t="s">
        <v>63</v>
      </c>
      <c r="H47" s="180"/>
      <c r="I47" s="181"/>
      <c r="J47" s="181"/>
      <c r="K47" s="184"/>
    </row>
    <row r="48" spans="2:15" ht="18" customHeight="1" x14ac:dyDescent="0.35">
      <c r="B48" s="772" t="s">
        <v>578</v>
      </c>
      <c r="C48" s="258">
        <v>8</v>
      </c>
      <c r="D48" s="194">
        <f>+D47</f>
        <v>1207.5</v>
      </c>
      <c r="E48" s="598">
        <f>+C48*D48</f>
        <v>9660</v>
      </c>
      <c r="F48" s="774" t="s">
        <v>63</v>
      </c>
      <c r="G48" s="180"/>
      <c r="H48" s="180"/>
      <c r="I48" s="181"/>
      <c r="J48" s="181"/>
      <c r="K48" s="184"/>
    </row>
    <row r="49" spans="2:22" ht="15" customHeight="1" x14ac:dyDescent="0.35">
      <c r="B49" s="772" t="s">
        <v>196</v>
      </c>
      <c r="C49" s="258"/>
      <c r="D49" s="194"/>
      <c r="E49" s="598">
        <v>15000</v>
      </c>
      <c r="G49" s="180"/>
      <c r="H49" s="180"/>
      <c r="I49" s="181"/>
      <c r="J49" s="181"/>
      <c r="K49" s="184"/>
      <c r="L49" s="939"/>
    </row>
    <row r="50" spans="2:22" ht="15" customHeight="1" x14ac:dyDescent="0.35">
      <c r="B50" s="772" t="s">
        <v>6</v>
      </c>
      <c r="C50" s="258"/>
      <c r="D50" s="194"/>
      <c r="E50" s="598">
        <v>35000</v>
      </c>
      <c r="G50" s="180"/>
      <c r="H50" s="180"/>
      <c r="I50" s="181"/>
      <c r="J50" s="181"/>
      <c r="K50" s="184"/>
      <c r="L50" s="939"/>
    </row>
    <row r="51" spans="2:22" ht="15" customHeight="1" x14ac:dyDescent="0.35">
      <c r="B51" s="772" t="s">
        <v>195</v>
      </c>
      <c r="C51" s="315">
        <v>0</v>
      </c>
      <c r="D51" s="194">
        <f>+D47*1.5</f>
        <v>1811.25</v>
      </c>
      <c r="E51" s="598">
        <f>+C51*D51</f>
        <v>0</v>
      </c>
      <c r="G51" s="180"/>
      <c r="H51" s="180"/>
      <c r="I51" s="181"/>
      <c r="J51" s="181"/>
      <c r="K51" s="184"/>
      <c r="L51" s="939"/>
    </row>
    <row r="52" spans="2:22" ht="15" customHeight="1" x14ac:dyDescent="0.35">
      <c r="B52" s="772" t="s">
        <v>449</v>
      </c>
      <c r="C52" s="315" t="s">
        <v>63</v>
      </c>
      <c r="D52" s="194" t="s">
        <v>63</v>
      </c>
      <c r="E52" s="598" t="s">
        <v>63</v>
      </c>
      <c r="G52" s="180"/>
      <c r="H52" s="180"/>
      <c r="I52" s="181"/>
      <c r="J52" s="181"/>
      <c r="K52" s="184"/>
      <c r="L52" s="939"/>
    </row>
    <row r="53" spans="2:22" ht="15" customHeight="1" x14ac:dyDescent="0.35">
      <c r="B53" s="772" t="s">
        <v>400</v>
      </c>
      <c r="C53" s="258">
        <v>1</v>
      </c>
      <c r="D53" s="194">
        <v>4000</v>
      </c>
      <c r="E53" s="598">
        <f>+C53*D53</f>
        <v>4000</v>
      </c>
      <c r="F53" s="774" t="s">
        <v>63</v>
      </c>
      <c r="M53" s="176"/>
      <c r="N53" s="180"/>
      <c r="O53" s="180"/>
      <c r="P53" s="181"/>
      <c r="Q53" s="181"/>
      <c r="R53" s="184"/>
    </row>
    <row r="54" spans="2:22" ht="15" customHeight="1" x14ac:dyDescent="0.35">
      <c r="B54" s="1432" t="s">
        <v>99</v>
      </c>
      <c r="C54" s="1432"/>
      <c r="D54" s="1432"/>
      <c r="E54" s="599">
        <f>+E47+E48+E49+E50+E53</f>
        <v>287047.5</v>
      </c>
      <c r="F54" s="774" t="s">
        <v>63</v>
      </c>
      <c r="G54" s="774" t="s">
        <v>63</v>
      </c>
      <c r="M54" s="176"/>
      <c r="N54" s="176"/>
      <c r="O54" s="176"/>
      <c r="P54" s="181"/>
      <c r="Q54" s="181"/>
      <c r="R54" s="184"/>
      <c r="T54" s="939"/>
    </row>
    <row r="55" spans="2:22" s="939" customFormat="1" ht="15" customHeight="1" x14ac:dyDescent="0.35">
      <c r="B55" s="723" t="s">
        <v>333</v>
      </c>
      <c r="C55" s="727" t="s">
        <v>63</v>
      </c>
      <c r="D55" s="727" t="s">
        <v>63</v>
      </c>
      <c r="E55" s="722">
        <v>-107958.1</v>
      </c>
      <c r="F55" s="649" t="s">
        <v>63</v>
      </c>
      <c r="G55" s="771"/>
      <c r="H55" s="771"/>
      <c r="I55" s="771"/>
      <c r="J55" s="771"/>
      <c r="K55" s="771"/>
      <c r="L55" s="771"/>
      <c r="M55" s="176"/>
      <c r="N55" s="176"/>
      <c r="O55" s="176"/>
      <c r="P55" s="176"/>
      <c r="Q55" s="176"/>
      <c r="R55" s="176"/>
      <c r="S55" s="771"/>
      <c r="T55" s="771"/>
      <c r="U55" s="771"/>
      <c r="V55" s="771"/>
    </row>
    <row r="56" spans="2:22" s="939" customFormat="1" ht="15" customHeight="1" x14ac:dyDescent="0.35">
      <c r="B56" s="672"/>
      <c r="C56" s="673" t="s">
        <v>11</v>
      </c>
      <c r="D56" s="674"/>
      <c r="E56" s="675">
        <f>+E54+E55</f>
        <v>179089.4</v>
      </c>
      <c r="F56" s="649" t="s">
        <v>63</v>
      </c>
      <c r="G56" s="771"/>
      <c r="H56" s="771"/>
      <c r="I56" s="771"/>
      <c r="J56" s="771"/>
      <c r="K56" s="771"/>
      <c r="L56" s="771"/>
      <c r="M56" s="176"/>
      <c r="N56" s="176"/>
      <c r="O56" s="176"/>
      <c r="P56" s="176"/>
      <c r="Q56" s="176"/>
      <c r="R56" s="176"/>
      <c r="S56" s="771"/>
      <c r="T56" s="771"/>
      <c r="U56" s="771"/>
      <c r="V56" s="771"/>
    </row>
    <row r="57" spans="2:22" ht="15" customHeight="1" x14ac:dyDescent="0.35">
      <c r="C57" s="771"/>
      <c r="D57" s="771"/>
      <c r="E57" s="771"/>
      <c r="N57" s="183"/>
      <c r="O57" s="183"/>
      <c r="P57" s="176"/>
      <c r="Q57" s="176"/>
      <c r="R57" s="176"/>
      <c r="T57" s="939"/>
    </row>
    <row r="58" spans="2:22" ht="15" customHeight="1" x14ac:dyDescent="0.35">
      <c r="C58" s="771"/>
      <c r="D58" s="771"/>
      <c r="E58" s="774" t="s">
        <v>63</v>
      </c>
    </row>
    <row r="59" spans="2:22" ht="15" customHeight="1" x14ac:dyDescent="0.35">
      <c r="B59" s="1442" t="s">
        <v>586</v>
      </c>
      <c r="C59" s="1443"/>
      <c r="D59" s="1443"/>
      <c r="E59" s="1444"/>
      <c r="V59" s="939"/>
    </row>
    <row r="60" spans="2:22" x14ac:dyDescent="0.35">
      <c r="B60" s="2" t="s">
        <v>7</v>
      </c>
      <c r="C60" s="270" t="s">
        <v>8</v>
      </c>
      <c r="D60" s="217" t="s">
        <v>4</v>
      </c>
      <c r="E60" s="597" t="s">
        <v>9</v>
      </c>
    </row>
    <row r="61" spans="2:22" x14ac:dyDescent="0.35">
      <c r="B61" s="772" t="s">
        <v>501</v>
      </c>
      <c r="C61" s="258">
        <v>185</v>
      </c>
      <c r="D61" s="227">
        <f>800*1.15</f>
        <v>919.99999999999989</v>
      </c>
      <c r="E61" s="598">
        <f>+C61*D61</f>
        <v>170199.99999999997</v>
      </c>
      <c r="F61" s="774" t="s">
        <v>365</v>
      </c>
    </row>
    <row r="62" spans="2:22" x14ac:dyDescent="0.35">
      <c r="B62" s="772" t="s">
        <v>526</v>
      </c>
      <c r="C62" s="258">
        <v>8</v>
      </c>
      <c r="D62" s="227">
        <f>+D61</f>
        <v>919.99999999999989</v>
      </c>
      <c r="E62" s="598">
        <f>+C62*D62</f>
        <v>7359.9999999999991</v>
      </c>
    </row>
    <row r="63" spans="2:22" x14ac:dyDescent="0.35">
      <c r="B63" s="772" t="s">
        <v>490</v>
      </c>
      <c r="C63" s="258"/>
      <c r="D63" s="227"/>
      <c r="E63" s="598">
        <v>15000</v>
      </c>
    </row>
    <row r="64" spans="2:22" x14ac:dyDescent="0.35">
      <c r="B64" s="772" t="s">
        <v>489</v>
      </c>
      <c r="C64" s="258"/>
      <c r="D64" s="227"/>
      <c r="E64" s="598">
        <v>20000</v>
      </c>
    </row>
    <row r="65" spans="1:7" x14ac:dyDescent="0.35">
      <c r="B65" s="772" t="s">
        <v>195</v>
      </c>
      <c r="C65" s="258">
        <v>0</v>
      </c>
      <c r="D65" s="194">
        <f>+D61*1.5</f>
        <v>1379.9999999999998</v>
      </c>
      <c r="E65" s="598">
        <f>+C65*D65</f>
        <v>0</v>
      </c>
      <c r="F65" s="774" t="s">
        <v>63</v>
      </c>
      <c r="G65" s="774" t="s">
        <v>63</v>
      </c>
    </row>
    <row r="66" spans="1:7" x14ac:dyDescent="0.35">
      <c r="B66" s="772" t="s">
        <v>449</v>
      </c>
      <c r="C66" s="258" t="s">
        <v>63</v>
      </c>
      <c r="D66" s="194" t="s">
        <v>63</v>
      </c>
      <c r="E66" s="598" t="s">
        <v>63</v>
      </c>
      <c r="F66" s="774" t="s">
        <v>63</v>
      </c>
      <c r="G66" s="774"/>
    </row>
    <row r="67" spans="1:7" x14ac:dyDescent="0.35">
      <c r="B67" s="1439" t="s">
        <v>99</v>
      </c>
      <c r="C67" s="1440"/>
      <c r="D67" s="1441"/>
      <c r="E67" s="599">
        <f>+E61+E62+E63+E64+E65</f>
        <v>212559.99999999997</v>
      </c>
      <c r="F67" s="774" t="s">
        <v>63</v>
      </c>
    </row>
    <row r="68" spans="1:7" x14ac:dyDescent="0.35">
      <c r="B68" s="921" t="s">
        <v>580</v>
      </c>
      <c r="C68" s="922">
        <f>+E61+E62+E63+E64</f>
        <v>212559.99999999997</v>
      </c>
      <c r="D68" s="720"/>
      <c r="E68" s="722">
        <f>-C68*0.1</f>
        <v>-21256</v>
      </c>
      <c r="F68" s="774" t="s">
        <v>63</v>
      </c>
    </row>
    <row r="69" spans="1:7" x14ac:dyDescent="0.35">
      <c r="B69" s="956" t="s">
        <v>581</v>
      </c>
      <c r="C69" s="957"/>
      <c r="D69" s="886"/>
      <c r="E69" s="722">
        <v>-3250</v>
      </c>
      <c r="F69" s="774"/>
    </row>
    <row r="70" spans="1:7" x14ac:dyDescent="0.35">
      <c r="B70" s="672"/>
      <c r="C70" s="673" t="s">
        <v>11</v>
      </c>
      <c r="D70" s="674"/>
      <c r="E70" s="675">
        <f>+E67+E68+E69</f>
        <v>188053.99999999997</v>
      </c>
      <c r="F70" s="774" t="s">
        <v>63</v>
      </c>
    </row>
    <row r="71" spans="1:7" x14ac:dyDescent="0.35">
      <c r="C71" s="771"/>
      <c r="D71" s="771"/>
      <c r="E71" s="771"/>
    </row>
    <row r="73" spans="1:7" ht="23.5" x14ac:dyDescent="0.35">
      <c r="B73" s="1442" t="s">
        <v>587</v>
      </c>
      <c r="C73" s="1443"/>
      <c r="D73" s="1443"/>
      <c r="E73" s="1444"/>
    </row>
    <row r="74" spans="1:7" x14ac:dyDescent="0.35">
      <c r="B74" s="2" t="s">
        <v>7</v>
      </c>
      <c r="C74" s="270" t="s">
        <v>8</v>
      </c>
      <c r="D74" s="217" t="s">
        <v>4</v>
      </c>
      <c r="E74" s="597" t="s">
        <v>9</v>
      </c>
      <c r="F74" s="771" t="s">
        <v>365</v>
      </c>
    </row>
    <row r="75" spans="1:7" x14ac:dyDescent="0.35">
      <c r="A75" s="771">
        <v>77</v>
      </c>
      <c r="B75" s="772" t="s">
        <v>3</v>
      </c>
      <c r="C75" s="258">
        <v>185</v>
      </c>
      <c r="D75" s="227">
        <f>750*1.15</f>
        <v>862.49999999999989</v>
      </c>
      <c r="E75" s="598">
        <f>+C75*D75</f>
        <v>159562.49999999997</v>
      </c>
      <c r="F75" s="771" t="s">
        <v>63</v>
      </c>
    </row>
    <row r="76" spans="1:7" x14ac:dyDescent="0.35">
      <c r="B76" s="772" t="s">
        <v>530</v>
      </c>
      <c r="C76" s="258">
        <v>8</v>
      </c>
      <c r="D76" s="227">
        <f>+D75</f>
        <v>862.49999999999989</v>
      </c>
      <c r="E76" s="598">
        <f>+C76*D76</f>
        <v>6899.9999999999991</v>
      </c>
    </row>
    <row r="77" spans="1:7" x14ac:dyDescent="0.35">
      <c r="B77" s="772" t="s">
        <v>196</v>
      </c>
      <c r="C77" s="258"/>
      <c r="D77" s="227"/>
      <c r="E77" s="598">
        <v>15000</v>
      </c>
    </row>
    <row r="78" spans="1:7" x14ac:dyDescent="0.35">
      <c r="B78" s="772" t="s">
        <v>6</v>
      </c>
      <c r="C78" s="258" t="s">
        <v>63</v>
      </c>
      <c r="D78" s="227" t="s">
        <v>63</v>
      </c>
      <c r="E78" s="598">
        <v>10000</v>
      </c>
    </row>
    <row r="79" spans="1:7" x14ac:dyDescent="0.35">
      <c r="B79" s="772" t="s">
        <v>270</v>
      </c>
      <c r="C79" s="258">
        <v>1</v>
      </c>
      <c r="D79" s="227">
        <f>+D75*1.5</f>
        <v>1293.7499999999998</v>
      </c>
      <c r="E79" s="598">
        <f>+C79*D79</f>
        <v>1293.7499999999998</v>
      </c>
      <c r="F79" s="774" t="s">
        <v>63</v>
      </c>
    </row>
    <row r="80" spans="1:7" x14ac:dyDescent="0.35">
      <c r="B80" s="772" t="s">
        <v>281</v>
      </c>
      <c r="C80" s="258" t="s">
        <v>63</v>
      </c>
      <c r="D80" s="227" t="s">
        <v>63</v>
      </c>
      <c r="E80" s="598" t="s">
        <v>63</v>
      </c>
    </row>
    <row r="81" spans="2:7" x14ac:dyDescent="0.35">
      <c r="B81" s="1439" t="s">
        <v>99</v>
      </c>
      <c r="C81" s="1440"/>
      <c r="D81" s="1441"/>
      <c r="E81" s="599">
        <f>+E75+E76+E77+E78+E79</f>
        <v>192756.24999999997</v>
      </c>
      <c r="F81" s="774" t="s">
        <v>63</v>
      </c>
    </row>
    <row r="82" spans="2:7" x14ac:dyDescent="0.35">
      <c r="B82" s="723" t="s">
        <v>50</v>
      </c>
      <c r="C82" s="721"/>
      <c r="D82" s="721"/>
      <c r="E82" s="722">
        <v>-20000</v>
      </c>
      <c r="F82" s="774" t="s">
        <v>63</v>
      </c>
      <c r="G82" s="774" t="s">
        <v>63</v>
      </c>
    </row>
    <row r="83" spans="2:7" x14ac:dyDescent="0.35">
      <c r="B83" s="872" t="s">
        <v>581</v>
      </c>
      <c r="C83" s="958"/>
      <c r="D83" s="959"/>
      <c r="E83" s="722">
        <v>-3250</v>
      </c>
      <c r="F83" s="774"/>
      <c r="G83" s="774"/>
    </row>
    <row r="84" spans="2:7" ht="15.5" x14ac:dyDescent="0.35">
      <c r="B84" s="1446" t="s">
        <v>11</v>
      </c>
      <c r="C84" s="1447"/>
      <c r="D84" s="1448"/>
      <c r="E84" s="603">
        <f>+E81+E82+E83</f>
        <v>169506.24999999997</v>
      </c>
      <c r="F84" s="774" t="s">
        <v>63</v>
      </c>
    </row>
    <row r="85" spans="2:7" x14ac:dyDescent="0.35">
      <c r="F85" s="774" t="s">
        <v>63</v>
      </c>
    </row>
    <row r="86" spans="2:7" x14ac:dyDescent="0.35">
      <c r="F86" s="774" t="s">
        <v>63</v>
      </c>
    </row>
    <row r="87" spans="2:7" ht="23.5" x14ac:dyDescent="0.35">
      <c r="B87" s="1442" t="s">
        <v>588</v>
      </c>
      <c r="C87" s="1443"/>
      <c r="D87" s="1443"/>
      <c r="E87" s="1444"/>
    </row>
    <row r="88" spans="2:7" x14ac:dyDescent="0.35">
      <c r="B88" s="801" t="s">
        <v>7</v>
      </c>
      <c r="C88" s="802" t="s">
        <v>388</v>
      </c>
      <c r="D88" s="803" t="s">
        <v>272</v>
      </c>
      <c r="E88" s="804" t="s">
        <v>9</v>
      </c>
    </row>
    <row r="89" spans="2:7" x14ac:dyDescent="0.35">
      <c r="B89" s="805" t="s">
        <v>3</v>
      </c>
      <c r="C89" s="806">
        <v>185</v>
      </c>
      <c r="D89" s="807">
        <f>750*1.15</f>
        <v>862.49999999999989</v>
      </c>
      <c r="E89" s="833">
        <f>+C89*D89</f>
        <v>159562.49999999997</v>
      </c>
      <c r="F89" s="771" t="s">
        <v>365</v>
      </c>
    </row>
    <row r="90" spans="2:7" x14ac:dyDescent="0.35">
      <c r="B90" s="805" t="s">
        <v>316</v>
      </c>
      <c r="C90" s="806">
        <v>8</v>
      </c>
      <c r="D90" s="807">
        <f>+D89</f>
        <v>862.49999999999989</v>
      </c>
      <c r="E90" s="833">
        <f>+C90*D90</f>
        <v>6899.9999999999991</v>
      </c>
    </row>
    <row r="91" spans="2:7" x14ac:dyDescent="0.35">
      <c r="B91" s="805" t="s">
        <v>6</v>
      </c>
      <c r="C91" s="806" t="s">
        <v>63</v>
      </c>
      <c r="D91" s="807" t="s">
        <v>63</v>
      </c>
      <c r="E91" s="834">
        <v>10000</v>
      </c>
    </row>
    <row r="92" spans="2:7" x14ac:dyDescent="0.35">
      <c r="B92" s="614" t="s">
        <v>200</v>
      </c>
      <c r="C92" s="617"/>
      <c r="D92" s="227"/>
      <c r="E92" s="598">
        <v>15000</v>
      </c>
    </row>
    <row r="93" spans="2:7" x14ac:dyDescent="0.35">
      <c r="B93" s="614" t="s">
        <v>475</v>
      </c>
      <c r="C93" s="617">
        <v>2.2000000000000002</v>
      </c>
      <c r="D93" s="227">
        <f>+D89*1.5</f>
        <v>1293.7499999999998</v>
      </c>
      <c r="E93" s="598">
        <f>+C93*D93</f>
        <v>2846.2499999999995</v>
      </c>
    </row>
    <row r="94" spans="2:7" x14ac:dyDescent="0.35">
      <c r="B94" s="614" t="s">
        <v>476</v>
      </c>
      <c r="C94" s="617" t="s">
        <v>63</v>
      </c>
      <c r="D94" s="227" t="s">
        <v>63</v>
      </c>
      <c r="E94" s="598" t="s">
        <v>63</v>
      </c>
    </row>
    <row r="95" spans="2:7" x14ac:dyDescent="0.35">
      <c r="B95" s="614" t="s">
        <v>517</v>
      </c>
      <c r="C95" s="617"/>
      <c r="D95" s="227"/>
      <c r="E95" s="598">
        <v>10000</v>
      </c>
    </row>
    <row r="96" spans="2:7" ht="15.5" x14ac:dyDescent="0.35">
      <c r="B96" s="1433" t="s">
        <v>389</v>
      </c>
      <c r="C96" s="1433"/>
      <c r="D96" s="1433"/>
      <c r="E96" s="603">
        <f>+E89+E90+E91+E92+E93+E95</f>
        <v>204308.74999999997</v>
      </c>
      <c r="F96" s="774" t="s">
        <v>63</v>
      </c>
    </row>
    <row r="97" spans="2:8" ht="15.5" x14ac:dyDescent="0.35">
      <c r="B97" s="723" t="s">
        <v>50</v>
      </c>
      <c r="C97" s="829"/>
      <c r="D97" s="829"/>
      <c r="E97" s="832">
        <v>0</v>
      </c>
      <c r="F97" s="771" t="s">
        <v>63</v>
      </c>
      <c r="G97" s="771" t="s">
        <v>63</v>
      </c>
      <c r="H97" s="771" t="s">
        <v>63</v>
      </c>
    </row>
    <row r="98" spans="2:8" ht="15.5" x14ac:dyDescent="0.35">
      <c r="B98" s="723" t="s">
        <v>581</v>
      </c>
      <c r="C98" s="829"/>
      <c r="D98" s="829"/>
      <c r="E98" s="832">
        <v>-3250</v>
      </c>
    </row>
    <row r="99" spans="2:8" ht="15.5" x14ac:dyDescent="0.35">
      <c r="B99" s="942" t="s">
        <v>63</v>
      </c>
      <c r="C99" s="942" t="s">
        <v>11</v>
      </c>
      <c r="D99" s="942"/>
      <c r="E99" s="603">
        <f>+E96+E98</f>
        <v>201058.74999999997</v>
      </c>
    </row>
    <row r="100" spans="2:8" x14ac:dyDescent="0.35">
      <c r="E100" s="203" t="s">
        <v>63</v>
      </c>
    </row>
    <row r="102" spans="2:8" ht="23.5" x14ac:dyDescent="0.35">
      <c r="B102" s="1442" t="s">
        <v>589</v>
      </c>
      <c r="C102" s="1443"/>
      <c r="D102" s="1443"/>
      <c r="E102" s="1444"/>
    </row>
    <row r="103" spans="2:8" x14ac:dyDescent="0.35">
      <c r="B103" s="2" t="s">
        <v>7</v>
      </c>
      <c r="C103" s="270" t="s">
        <v>8</v>
      </c>
      <c r="D103" s="217" t="s">
        <v>4</v>
      </c>
      <c r="E103" s="597" t="s">
        <v>9</v>
      </c>
    </row>
    <row r="104" spans="2:8" x14ac:dyDescent="0.35">
      <c r="B104" s="772" t="s">
        <v>3</v>
      </c>
      <c r="C104" s="258">
        <v>185</v>
      </c>
      <c r="D104" s="227">
        <f>700*1.15</f>
        <v>804.99999999999989</v>
      </c>
      <c r="E104" s="598">
        <f>+C104*D104</f>
        <v>148924.99999999997</v>
      </c>
      <c r="F104" s="771" t="s">
        <v>365</v>
      </c>
    </row>
    <row r="105" spans="2:8" x14ac:dyDescent="0.35">
      <c r="B105" s="772" t="s">
        <v>519</v>
      </c>
      <c r="C105" s="258">
        <v>8</v>
      </c>
      <c r="D105" s="227">
        <f>+D104</f>
        <v>804.99999999999989</v>
      </c>
      <c r="E105" s="598">
        <f>+C105*D105</f>
        <v>6439.9999999999991</v>
      </c>
    </row>
    <row r="106" spans="2:8" x14ac:dyDescent="0.35">
      <c r="B106" s="772" t="s">
        <v>200</v>
      </c>
      <c r="C106" s="258"/>
      <c r="D106" s="227"/>
      <c r="E106" s="598">
        <v>15000</v>
      </c>
    </row>
    <row r="107" spans="2:8" x14ac:dyDescent="0.35">
      <c r="B107" s="772" t="s">
        <v>6</v>
      </c>
      <c r="C107" s="258" t="s">
        <v>63</v>
      </c>
      <c r="D107" s="194" t="s">
        <v>63</v>
      </c>
      <c r="E107" s="598">
        <v>20000</v>
      </c>
    </row>
    <row r="108" spans="2:8" x14ac:dyDescent="0.35">
      <c r="B108" s="772" t="s">
        <v>270</v>
      </c>
      <c r="C108" s="258">
        <v>0</v>
      </c>
      <c r="D108" s="194">
        <f>+D104*1.5</f>
        <v>1207.4999999999998</v>
      </c>
      <c r="E108" s="598">
        <f>+C108*D108</f>
        <v>0</v>
      </c>
      <c r="F108" s="771" t="s">
        <v>63</v>
      </c>
    </row>
    <row r="109" spans="2:8" x14ac:dyDescent="0.35">
      <c r="B109" s="1439" t="s">
        <v>99</v>
      </c>
      <c r="C109" s="1440"/>
      <c r="D109" s="1441"/>
      <c r="E109" s="599">
        <f>+E104+E105+E106+E107</f>
        <v>190364.99999999997</v>
      </c>
      <c r="F109" s="774" t="s">
        <v>63</v>
      </c>
    </row>
    <row r="110" spans="2:8" x14ac:dyDescent="0.35">
      <c r="B110" s="724" t="s">
        <v>19</v>
      </c>
      <c r="C110" s="729" t="s">
        <v>63</v>
      </c>
      <c r="D110" s="730" t="s">
        <v>63</v>
      </c>
      <c r="E110" s="731">
        <v>-30000</v>
      </c>
      <c r="F110" s="774" t="s">
        <v>63</v>
      </c>
    </row>
    <row r="111" spans="2:8" x14ac:dyDescent="0.35">
      <c r="B111" s="724" t="s">
        <v>581</v>
      </c>
      <c r="C111" s="729"/>
      <c r="D111" s="730"/>
      <c r="E111" s="731">
        <v>-3250</v>
      </c>
      <c r="F111" s="774"/>
    </row>
    <row r="112" spans="2:8" ht="23.5" x14ac:dyDescent="0.55000000000000004">
      <c r="B112" s="751"/>
      <c r="C112" s="752" t="s">
        <v>11</v>
      </c>
      <c r="D112" s="753"/>
      <c r="E112" s="754">
        <f>+E109+E110+E111</f>
        <v>157114.99999999997</v>
      </c>
      <c r="F112" s="770" t="s">
        <v>63</v>
      </c>
    </row>
    <row r="115" spans="2:6" ht="23.5" x14ac:dyDescent="0.35">
      <c r="B115" s="1442" t="s">
        <v>590</v>
      </c>
      <c r="C115" s="1443"/>
      <c r="D115" s="1443"/>
      <c r="E115" s="1444"/>
    </row>
    <row r="116" spans="2:6" x14ac:dyDescent="0.35">
      <c r="B116" s="2" t="s">
        <v>7</v>
      </c>
      <c r="C116" s="270" t="s">
        <v>8</v>
      </c>
      <c r="D116" s="217" t="s">
        <v>4</v>
      </c>
      <c r="E116" s="597" t="s">
        <v>9</v>
      </c>
    </row>
    <row r="117" spans="2:6" x14ac:dyDescent="0.35">
      <c r="B117" s="772" t="s">
        <v>3</v>
      </c>
      <c r="C117" s="258">
        <v>140.5</v>
      </c>
      <c r="D117" s="194">
        <f>900*1.15</f>
        <v>1035</v>
      </c>
      <c r="E117" s="598">
        <f>+C117*D117</f>
        <v>145417.5</v>
      </c>
      <c r="F117" s="774" t="s">
        <v>365</v>
      </c>
    </row>
    <row r="118" spans="2:6" x14ac:dyDescent="0.35">
      <c r="B118" s="772" t="s">
        <v>530</v>
      </c>
      <c r="C118" s="258">
        <v>8</v>
      </c>
      <c r="D118" s="194">
        <f>+D117</f>
        <v>1035</v>
      </c>
      <c r="E118" s="609">
        <f>+C118*D118</f>
        <v>8280</v>
      </c>
    </row>
    <row r="119" spans="2:6" x14ac:dyDescent="0.35">
      <c r="B119" s="772" t="s">
        <v>579</v>
      </c>
      <c r="C119" s="258">
        <v>40</v>
      </c>
      <c r="D119" s="194">
        <f>+D117</f>
        <v>1035</v>
      </c>
      <c r="E119" s="609">
        <f>+C119*D119</f>
        <v>41400</v>
      </c>
    </row>
    <row r="120" spans="2:6" x14ac:dyDescent="0.35">
      <c r="B120" s="772" t="s">
        <v>6</v>
      </c>
      <c r="C120" s="258"/>
      <c r="D120" s="194"/>
      <c r="E120" s="609">
        <v>15000</v>
      </c>
    </row>
    <row r="121" spans="2:6" x14ac:dyDescent="0.35">
      <c r="B121" s="614" t="s">
        <v>200</v>
      </c>
      <c r="C121" s="617"/>
      <c r="D121" s="227"/>
      <c r="E121" s="609">
        <v>15000</v>
      </c>
      <c r="F121" s="774" t="s">
        <v>63</v>
      </c>
    </row>
    <row r="122" spans="2:6" s="764" customFormat="1" x14ac:dyDescent="0.35">
      <c r="B122" s="882" t="s">
        <v>99</v>
      </c>
      <c r="C122" s="883"/>
      <c r="D122" s="883"/>
      <c r="E122" s="884">
        <f>+E117+E118+E119+E120+E121</f>
        <v>225097.5</v>
      </c>
      <c r="F122" s="769" t="s">
        <v>63</v>
      </c>
    </row>
    <row r="123" spans="2:6" x14ac:dyDescent="0.35">
      <c r="B123" s="962" t="s">
        <v>374</v>
      </c>
      <c r="C123" s="709"/>
      <c r="D123" s="619"/>
      <c r="E123" s="730">
        <v>-60000</v>
      </c>
      <c r="F123" s="774" t="s">
        <v>63</v>
      </c>
    </row>
    <row r="124" spans="2:6" x14ac:dyDescent="0.35">
      <c r="B124" s="963" t="s">
        <v>581</v>
      </c>
      <c r="C124" s="960"/>
      <c r="D124" s="961"/>
      <c r="E124" s="730">
        <v>-3250</v>
      </c>
      <c r="F124" s="774"/>
    </row>
    <row r="125" spans="2:6" ht="15.5" x14ac:dyDescent="0.35">
      <c r="B125" s="944" t="s">
        <v>11</v>
      </c>
      <c r="C125" s="708"/>
      <c r="D125" s="706"/>
      <c r="E125" s="603">
        <f>+E122+E123+E124</f>
        <v>161847.5</v>
      </c>
      <c r="F125" s="774" t="s">
        <v>63</v>
      </c>
    </row>
  </sheetData>
  <mergeCells count="20">
    <mergeCell ref="B67:D67"/>
    <mergeCell ref="B3:E3"/>
    <mergeCell ref="B11:D11"/>
    <mergeCell ref="B14:D14"/>
    <mergeCell ref="B16:E16"/>
    <mergeCell ref="B25:D25"/>
    <mergeCell ref="B29:D29"/>
    <mergeCell ref="B31:E31"/>
    <mergeCell ref="B39:D39"/>
    <mergeCell ref="B45:E45"/>
    <mergeCell ref="B54:D54"/>
    <mergeCell ref="B59:E59"/>
    <mergeCell ref="B109:D109"/>
    <mergeCell ref="B115:E115"/>
    <mergeCell ref="B73:E73"/>
    <mergeCell ref="B81:D81"/>
    <mergeCell ref="B84:D84"/>
    <mergeCell ref="B87:E87"/>
    <mergeCell ref="B96:D96"/>
    <mergeCell ref="B102:E102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37"/>
  <sheetViews>
    <sheetView topLeftCell="A16" workbookViewId="0">
      <selection activeCell="E42" sqref="E42"/>
    </sheetView>
  </sheetViews>
  <sheetFormatPr baseColWidth="10" defaultRowHeight="14.5" x14ac:dyDescent="0.35"/>
  <cols>
    <col min="1" max="1" width="10.90625" style="771"/>
    <col min="2" max="2" width="22" style="771" customWidth="1"/>
    <col min="3" max="3" width="26.90625" style="49" customWidth="1"/>
    <col min="4" max="4" width="21.1796875" style="774" customWidth="1"/>
    <col min="5" max="5" width="14.08984375" style="771" customWidth="1"/>
    <col min="6" max="16384" width="10.90625" style="771"/>
  </cols>
  <sheetData>
    <row r="1" spans="1:4" s="658" customFormat="1" ht="28.5" x14ac:dyDescent="0.65">
      <c r="A1" s="946"/>
      <c r="B1" s="947" t="s">
        <v>614</v>
      </c>
      <c r="C1" s="945"/>
      <c r="D1" s="983"/>
    </row>
    <row r="2" spans="1:4" s="658" customFormat="1" ht="28.5" x14ac:dyDescent="0.65">
      <c r="A2" s="946"/>
      <c r="B2" s="947"/>
      <c r="C2" s="945"/>
      <c r="D2" s="983"/>
    </row>
    <row r="3" spans="1:4" ht="21" x14ac:dyDescent="0.5">
      <c r="A3" s="760"/>
      <c r="B3" s="981" t="s">
        <v>7</v>
      </c>
      <c r="C3" s="982" t="s">
        <v>3</v>
      </c>
      <c r="D3" s="984" t="s">
        <v>3</v>
      </c>
    </row>
    <row r="4" spans="1:4" ht="21" x14ac:dyDescent="0.5">
      <c r="A4" s="760">
        <v>1</v>
      </c>
      <c r="B4" s="949" t="s">
        <v>10</v>
      </c>
      <c r="C4" s="950" t="s">
        <v>63</v>
      </c>
      <c r="D4" s="985"/>
    </row>
    <row r="5" spans="1:4" ht="21" x14ac:dyDescent="0.5">
      <c r="A5" s="760">
        <v>2</v>
      </c>
      <c r="B5" s="949" t="s">
        <v>15</v>
      </c>
      <c r="C5" s="950">
        <v>350200</v>
      </c>
      <c r="D5" s="985"/>
    </row>
    <row r="6" spans="1:4" ht="21" x14ac:dyDescent="0.5">
      <c r="A6" s="760">
        <v>3</v>
      </c>
      <c r="B6" s="949" t="s">
        <v>16</v>
      </c>
      <c r="C6" s="950">
        <v>244600</v>
      </c>
      <c r="D6" s="985"/>
    </row>
    <row r="7" spans="1:4" ht="21" x14ac:dyDescent="0.5">
      <c r="A7" s="951">
        <v>4</v>
      </c>
      <c r="B7" s="949" t="s">
        <v>0</v>
      </c>
      <c r="C7" s="950">
        <v>228600</v>
      </c>
      <c r="D7" s="985"/>
    </row>
    <row r="8" spans="1:4" ht="21" x14ac:dyDescent="0.5">
      <c r="A8" s="951">
        <v>5</v>
      </c>
      <c r="B8" s="949" t="s">
        <v>245</v>
      </c>
      <c r="C8" s="950">
        <v>131200</v>
      </c>
      <c r="D8" s="985"/>
    </row>
    <row r="9" spans="1:4" ht="21" x14ac:dyDescent="0.5">
      <c r="A9" s="951">
        <v>6</v>
      </c>
      <c r="B9" s="949" t="s">
        <v>267</v>
      </c>
      <c r="C9" s="950" t="s">
        <v>63</v>
      </c>
      <c r="D9" s="985" t="s">
        <v>63</v>
      </c>
    </row>
    <row r="10" spans="1:4" ht="21" x14ac:dyDescent="0.5">
      <c r="A10" s="951">
        <v>7</v>
      </c>
      <c r="B10" s="949" t="s">
        <v>260</v>
      </c>
      <c r="C10" s="950">
        <v>202950</v>
      </c>
      <c r="D10" s="985"/>
    </row>
    <row r="11" spans="1:4" ht="21" x14ac:dyDescent="0.5">
      <c r="A11" s="951">
        <v>8</v>
      </c>
      <c r="B11" s="949" t="s">
        <v>553</v>
      </c>
      <c r="C11" s="950" t="s">
        <v>63</v>
      </c>
      <c r="D11" s="985"/>
    </row>
    <row r="12" spans="1:4" ht="21" x14ac:dyDescent="0.5">
      <c r="A12" s="951">
        <v>9</v>
      </c>
      <c r="B12" s="949" t="s">
        <v>463</v>
      </c>
      <c r="C12" s="950">
        <v>220550</v>
      </c>
      <c r="D12" s="985" t="s">
        <v>63</v>
      </c>
    </row>
    <row r="13" spans="1:4" ht="21" x14ac:dyDescent="0.5">
      <c r="A13" s="760">
        <v>10</v>
      </c>
      <c r="B13" s="949" t="s">
        <v>613</v>
      </c>
      <c r="C13" s="950">
        <v>240000</v>
      </c>
      <c r="D13" s="985"/>
    </row>
    <row r="14" spans="1:4" s="658" customFormat="1" ht="28.5" x14ac:dyDescent="0.65">
      <c r="A14" s="946"/>
      <c r="B14" s="952" t="s">
        <v>637</v>
      </c>
      <c r="C14" s="953">
        <f>+C5+C6+C7+C8+C10+C12+C13</f>
        <v>1618100</v>
      </c>
      <c r="D14" s="986" t="str">
        <f>+D9</f>
        <v xml:space="preserve"> </v>
      </c>
    </row>
    <row r="15" spans="1:4" ht="21" x14ac:dyDescent="0.5">
      <c r="A15" s="760"/>
      <c r="B15" s="760"/>
      <c r="C15" s="948" t="s">
        <v>63</v>
      </c>
      <c r="D15" s="797"/>
    </row>
    <row r="16" spans="1:4" ht="21" x14ac:dyDescent="0.5">
      <c r="A16" s="760"/>
      <c r="B16" s="760"/>
      <c r="C16" s="948" t="s">
        <v>63</v>
      </c>
      <c r="D16" s="797"/>
    </row>
    <row r="17" spans="1:4" s="648" customFormat="1" ht="46" x14ac:dyDescent="1">
      <c r="A17" s="760"/>
      <c r="B17" s="954" t="s">
        <v>592</v>
      </c>
      <c r="C17" s="948"/>
      <c r="D17" s="797"/>
    </row>
    <row r="18" spans="1:4" ht="18.5" x14ac:dyDescent="0.45">
      <c r="B18" s="643" t="s">
        <v>306</v>
      </c>
      <c r="C18" s="654" t="s">
        <v>272</v>
      </c>
      <c r="D18" s="987" t="s">
        <v>200</v>
      </c>
    </row>
    <row r="19" spans="1:4" ht="18.5" x14ac:dyDescent="0.45">
      <c r="B19" s="644" t="s">
        <v>10</v>
      </c>
      <c r="C19" s="655">
        <v>1056.1500000000001</v>
      </c>
      <c r="D19" s="988">
        <v>15000</v>
      </c>
    </row>
    <row r="20" spans="1:4" ht="18.5" x14ac:dyDescent="0.45">
      <c r="B20" s="644" t="s">
        <v>15</v>
      </c>
      <c r="C20" s="655">
        <v>2504.29</v>
      </c>
      <c r="D20" s="988">
        <v>15000</v>
      </c>
    </row>
    <row r="21" spans="1:4" ht="18.5" x14ac:dyDescent="0.45">
      <c r="B21" s="644" t="s">
        <v>16</v>
      </c>
      <c r="C21" s="655">
        <v>1104</v>
      </c>
      <c r="D21" s="988">
        <v>15000</v>
      </c>
    </row>
    <row r="22" spans="1:4" ht="18.5" x14ac:dyDescent="0.45">
      <c r="B22" s="644" t="s">
        <v>0</v>
      </c>
      <c r="C22" s="655">
        <v>1449</v>
      </c>
      <c r="D22" s="988">
        <v>15000</v>
      </c>
    </row>
    <row r="23" spans="1:4" ht="18.5" x14ac:dyDescent="0.45">
      <c r="B23" s="644" t="s">
        <v>245</v>
      </c>
      <c r="C23" s="655">
        <v>1035</v>
      </c>
      <c r="D23" s="988">
        <v>15000</v>
      </c>
    </row>
    <row r="24" spans="1:4" ht="18.5" x14ac:dyDescent="0.45">
      <c r="B24" s="644" t="s">
        <v>267</v>
      </c>
      <c r="C24" s="655">
        <v>1012</v>
      </c>
      <c r="D24" s="988">
        <v>15000</v>
      </c>
    </row>
    <row r="25" spans="1:4" ht="18.5" x14ac:dyDescent="0.45">
      <c r="B25" s="644" t="s">
        <v>260</v>
      </c>
      <c r="C25" s="655">
        <v>1300</v>
      </c>
      <c r="D25" s="988">
        <v>15000</v>
      </c>
    </row>
    <row r="26" spans="1:4" ht="18.5" x14ac:dyDescent="0.45">
      <c r="B26" s="645" t="s">
        <v>553</v>
      </c>
      <c r="C26" s="655">
        <v>805</v>
      </c>
      <c r="D26" s="989">
        <v>15000</v>
      </c>
    </row>
    <row r="27" spans="1:4" ht="18.5" x14ac:dyDescent="0.45">
      <c r="B27" s="645" t="s">
        <v>463</v>
      </c>
      <c r="C27" s="655">
        <v>1035</v>
      </c>
      <c r="D27" s="989">
        <v>15000</v>
      </c>
    </row>
    <row r="28" spans="1:4" ht="18.5" x14ac:dyDescent="0.45">
      <c r="B28" s="645" t="s">
        <v>613</v>
      </c>
      <c r="C28" s="655">
        <v>1300</v>
      </c>
      <c r="D28" s="989">
        <v>15000</v>
      </c>
    </row>
    <row r="29" spans="1:4" ht="18.5" x14ac:dyDescent="0.45">
      <c r="B29" s="798"/>
      <c r="C29" s="799"/>
      <c r="D29" s="990"/>
    </row>
    <row r="31" spans="1:4" x14ac:dyDescent="0.35">
      <c r="A31" s="701" t="s">
        <v>106</v>
      </c>
      <c r="B31" s="702" t="s">
        <v>107</v>
      </c>
      <c r="C31" s="702" t="s">
        <v>262</v>
      </c>
      <c r="D31" s="991"/>
    </row>
    <row r="32" spans="1:4" x14ac:dyDescent="0.35">
      <c r="A32" s="703">
        <v>15</v>
      </c>
      <c r="B32" s="703">
        <v>9</v>
      </c>
      <c r="C32" s="964">
        <f>+A32*B32</f>
        <v>135</v>
      </c>
      <c r="D32" s="593" t="s">
        <v>116</v>
      </c>
    </row>
    <row r="33" spans="1:4" x14ac:dyDescent="0.35">
      <c r="A33" s="703">
        <v>4</v>
      </c>
      <c r="B33" s="703">
        <v>8</v>
      </c>
      <c r="C33" s="568">
        <f>+A33*B33</f>
        <v>32</v>
      </c>
      <c r="D33" s="593" t="s">
        <v>638</v>
      </c>
    </row>
    <row r="34" spans="1:4" x14ac:dyDescent="0.35">
      <c r="A34" s="703">
        <v>2</v>
      </c>
      <c r="B34" s="703">
        <v>8</v>
      </c>
      <c r="C34" s="568">
        <f>+A34*B34</f>
        <v>16</v>
      </c>
      <c r="D34" s="593" t="s">
        <v>111</v>
      </c>
    </row>
    <row r="35" spans="1:4" x14ac:dyDescent="0.35">
      <c r="A35" s="568" t="s">
        <v>63</v>
      </c>
      <c r="B35" s="773"/>
      <c r="C35" s="568">
        <f>+C32+C33+C34</f>
        <v>183</v>
      </c>
      <c r="D35" s="593" t="s">
        <v>309</v>
      </c>
    </row>
    <row r="36" spans="1:4" x14ac:dyDescent="0.35">
      <c r="A36" s="901" t="s">
        <v>63</v>
      </c>
      <c r="B36" s="49"/>
      <c r="C36" s="771"/>
    </row>
    <row r="37" spans="1:4" x14ac:dyDescent="0.35">
      <c r="A37" s="345" t="s">
        <v>63</v>
      </c>
    </row>
  </sheetData>
  <pageMargins left="0.7" right="0.7" top="0.75" bottom="0.75" header="0.3" footer="0.3"/>
  <pageSetup paperSize="9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V145"/>
  <sheetViews>
    <sheetView topLeftCell="A79" zoomScaleNormal="100" workbookViewId="0">
      <selection activeCell="G140" sqref="G140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45261</v>
      </c>
    </row>
    <row r="3" spans="2:21" ht="25.5" customHeight="1" x14ac:dyDescent="0.35">
      <c r="B3" s="1431" t="s">
        <v>618</v>
      </c>
      <c r="C3" s="1431"/>
      <c r="D3" s="1431"/>
      <c r="E3" s="1431"/>
    </row>
    <row r="4" spans="2:21" s="965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771"/>
      <c r="T4" s="771"/>
      <c r="U4" s="771"/>
    </row>
    <row r="5" spans="2:21" ht="18" customHeight="1" x14ac:dyDescent="0.35">
      <c r="B5" s="772" t="s">
        <v>480</v>
      </c>
      <c r="C5" s="258">
        <v>167</v>
      </c>
      <c r="D5" s="227">
        <f>834.9*1.15*1.1</f>
        <v>1056.1485</v>
      </c>
      <c r="E5" s="598">
        <f>+C5*D5</f>
        <v>176376.79949999999</v>
      </c>
      <c r="F5" s="553" t="s">
        <v>362</v>
      </c>
      <c r="T5" s="965"/>
    </row>
    <row r="6" spans="2:21" ht="18" customHeight="1" x14ac:dyDescent="0.35">
      <c r="B6" s="772" t="s">
        <v>559</v>
      </c>
      <c r="C6" s="258">
        <v>16</v>
      </c>
      <c r="D6" s="227">
        <f>+D5</f>
        <v>1056.1485</v>
      </c>
      <c r="E6" s="598">
        <f>+C6*D6</f>
        <v>16898.376</v>
      </c>
      <c r="F6" s="774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774" t="s">
        <v>63</v>
      </c>
      <c r="G7" s="771" t="s">
        <v>63</v>
      </c>
    </row>
    <row r="8" spans="2:21" ht="18" customHeight="1" x14ac:dyDescent="0.35">
      <c r="B8" s="772" t="s">
        <v>467</v>
      </c>
      <c r="C8" s="258">
        <v>6.5</v>
      </c>
      <c r="D8" s="194">
        <f>+D5*1.5</f>
        <v>1584.2227499999999</v>
      </c>
      <c r="E8" s="598">
        <f>+C8*D8</f>
        <v>10297.447875</v>
      </c>
      <c r="F8" s="774" t="s">
        <v>63</v>
      </c>
      <c r="G8" s="774"/>
    </row>
    <row r="9" spans="2:21" ht="18" customHeight="1" x14ac:dyDescent="0.35">
      <c r="B9" s="772" t="s">
        <v>489</v>
      </c>
      <c r="C9" s="258" t="s">
        <v>63</v>
      </c>
      <c r="D9" s="194"/>
      <c r="E9" s="598">
        <v>35000</v>
      </c>
      <c r="F9" s="553" t="s">
        <v>63</v>
      </c>
      <c r="G9" s="774" t="s">
        <v>63</v>
      </c>
      <c r="U9" s="965"/>
    </row>
    <row r="10" spans="2:21" ht="18" customHeight="1" x14ac:dyDescent="0.35">
      <c r="B10" s="772" t="s">
        <v>400</v>
      </c>
      <c r="C10" s="258">
        <v>1</v>
      </c>
      <c r="D10" s="194">
        <v>4000</v>
      </c>
      <c r="E10" s="598">
        <f>+C10*D10</f>
        <v>4000</v>
      </c>
      <c r="F10" s="774" t="s">
        <v>63</v>
      </c>
      <c r="U10" s="965"/>
    </row>
    <row r="11" spans="2:21" ht="18" customHeight="1" x14ac:dyDescent="0.35">
      <c r="B11" s="772" t="s">
        <v>615</v>
      </c>
      <c r="C11" s="258">
        <v>112</v>
      </c>
      <c r="D11" s="194">
        <f>+D5</f>
        <v>1056.1485</v>
      </c>
      <c r="E11" s="598">
        <f>+C11*D11</f>
        <v>118288.632</v>
      </c>
      <c r="F11" s="774"/>
      <c r="U11" s="978"/>
    </row>
    <row r="12" spans="2:21" ht="18" customHeight="1" x14ac:dyDescent="0.35">
      <c r="B12" s="1432" t="s">
        <v>99</v>
      </c>
      <c r="C12" s="1432"/>
      <c r="D12" s="1432"/>
      <c r="E12" s="599">
        <f>+E5+E6+E7+E8+E9+E10+E11</f>
        <v>375861.25537500001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965"/>
    </row>
    <row r="13" spans="2:21" ht="18" customHeight="1" x14ac:dyDescent="0.35">
      <c r="B13" s="969" t="s">
        <v>384</v>
      </c>
      <c r="C13" s="967"/>
      <c r="D13" s="967"/>
      <c r="E13" s="221">
        <v>-105957.03</v>
      </c>
      <c r="F13" s="774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965"/>
    </row>
    <row r="14" spans="2:21" ht="18" customHeight="1" x14ac:dyDescent="0.35">
      <c r="B14" s="980" t="s">
        <v>617</v>
      </c>
      <c r="C14" s="979"/>
      <c r="D14" s="979"/>
      <c r="E14" s="221">
        <v>-59391.94</v>
      </c>
      <c r="F14" s="774" t="s">
        <v>63</v>
      </c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R14" s="978"/>
    </row>
    <row r="15" spans="2:21" ht="18" customHeight="1" x14ac:dyDescent="0.35">
      <c r="B15" s="800" t="s">
        <v>616</v>
      </c>
      <c r="C15" s="721" t="s">
        <v>477</v>
      </c>
      <c r="D15" s="905">
        <f>+E5+E6+E7+E9</f>
        <v>243275.17549999998</v>
      </c>
      <c r="E15" s="722">
        <f>-D15*0.1</f>
        <v>-24327.51755</v>
      </c>
      <c r="F15" s="774" t="s">
        <v>63</v>
      </c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R15" s="965"/>
    </row>
    <row r="16" spans="2:21" ht="18" customHeight="1" x14ac:dyDescent="0.35">
      <c r="B16" s="1433" t="s">
        <v>11</v>
      </c>
      <c r="C16" s="1433"/>
      <c r="D16" s="1433"/>
      <c r="E16" s="603">
        <f>+E12+E13+E14+E15</f>
        <v>186184.76782500005</v>
      </c>
      <c r="F16" s="774" t="s">
        <v>63</v>
      </c>
      <c r="H16" s="321"/>
      <c r="I16" s="321"/>
      <c r="J16" s="321"/>
      <c r="K16" s="473"/>
      <c r="L16" s="321"/>
      <c r="M16" s="321"/>
      <c r="T16" s="965"/>
    </row>
    <row r="17" spans="2:22" ht="18" customHeight="1" x14ac:dyDescent="0.35">
      <c r="E17" s="203" t="s">
        <v>63</v>
      </c>
      <c r="F17" s="106"/>
      <c r="G17" s="4"/>
      <c r="N17" s="4"/>
      <c r="T17" s="965"/>
    </row>
    <row r="18" spans="2:22" ht="18" customHeight="1" x14ac:dyDescent="0.35">
      <c r="B18" s="1442" t="s">
        <v>621</v>
      </c>
      <c r="C18" s="1443"/>
      <c r="D18" s="1443"/>
      <c r="E18" s="1444"/>
      <c r="F18" s="406"/>
      <c r="K18" s="465"/>
      <c r="L18" s="465"/>
      <c r="M18" s="465"/>
    </row>
    <row r="19" spans="2:22" ht="18" customHeight="1" x14ac:dyDescent="0.35">
      <c r="B19" s="2" t="s">
        <v>7</v>
      </c>
      <c r="C19" s="270" t="s">
        <v>8</v>
      </c>
      <c r="D19" s="217" t="s">
        <v>4</v>
      </c>
      <c r="E19" s="597" t="s">
        <v>9</v>
      </c>
      <c r="F19" s="965"/>
      <c r="K19" s="101"/>
      <c r="L19" s="101"/>
      <c r="M19" s="101"/>
    </row>
    <row r="20" spans="2:22" ht="18" customHeight="1" x14ac:dyDescent="0.35">
      <c r="B20" s="772" t="s">
        <v>3</v>
      </c>
      <c r="C20" s="315">
        <v>167</v>
      </c>
      <c r="D20" s="194">
        <f>1814.7*1.15*1.2</f>
        <v>2504.2859999999996</v>
      </c>
      <c r="E20" s="598">
        <f>+C20*D20</f>
        <v>418215.76199999993</v>
      </c>
      <c r="F20" s="774" t="s">
        <v>509</v>
      </c>
      <c r="K20" s="101"/>
      <c r="L20" s="101"/>
      <c r="M20" s="101"/>
    </row>
    <row r="21" spans="2:22" ht="18" customHeight="1" x14ac:dyDescent="0.35">
      <c r="B21" s="772" t="s">
        <v>560</v>
      </c>
      <c r="C21" s="258">
        <v>16</v>
      </c>
      <c r="D21" s="194">
        <f>+D20</f>
        <v>2504.2859999999996</v>
      </c>
      <c r="E21" s="598">
        <f>+C21*D21</f>
        <v>40068.575999999994</v>
      </c>
      <c r="F21" s="774" t="s">
        <v>63</v>
      </c>
      <c r="K21" s="101"/>
      <c r="L21" s="101"/>
      <c r="M21" s="101"/>
    </row>
    <row r="22" spans="2:22" ht="18" customHeight="1" x14ac:dyDescent="0.35">
      <c r="B22" s="772" t="s">
        <v>196</v>
      </c>
      <c r="C22" s="258"/>
      <c r="D22" s="194"/>
      <c r="E22" s="598">
        <v>15000</v>
      </c>
      <c r="F22" s="965"/>
      <c r="H22" s="966"/>
      <c r="N22" s="51"/>
      <c r="O22" s="51"/>
      <c r="P22" s="66"/>
      <c r="Q22" s="49"/>
      <c r="R22" s="49"/>
    </row>
    <row r="23" spans="2:22" ht="18" customHeight="1" x14ac:dyDescent="0.35">
      <c r="B23" s="772" t="s">
        <v>6</v>
      </c>
      <c r="C23" s="258"/>
      <c r="D23" s="194"/>
      <c r="E23" s="598">
        <v>35000</v>
      </c>
      <c r="F23" s="649" t="s">
        <v>63</v>
      </c>
      <c r="H23" s="966"/>
      <c r="N23" s="51"/>
      <c r="O23" s="51"/>
      <c r="P23" s="66"/>
      <c r="Q23" s="49"/>
      <c r="R23" s="49"/>
    </row>
    <row r="24" spans="2:22" ht="18" customHeight="1" x14ac:dyDescent="0.35">
      <c r="B24" s="772" t="s">
        <v>507</v>
      </c>
      <c r="C24" s="315">
        <v>6.5</v>
      </c>
      <c r="D24" s="194">
        <f>+D20*1.5</f>
        <v>3756.4289999999992</v>
      </c>
      <c r="E24" s="598">
        <f>+C24*D24</f>
        <v>24416.788499999995</v>
      </c>
      <c r="F24" s="774"/>
      <c r="G24" s="4"/>
      <c r="L24" s="180"/>
      <c r="M24" s="184"/>
    </row>
    <row r="25" spans="2:22" s="965" customFormat="1" ht="18" customHeight="1" x14ac:dyDescent="0.35">
      <c r="B25" s="772" t="s">
        <v>539</v>
      </c>
      <c r="C25" s="258">
        <v>1</v>
      </c>
      <c r="D25" s="194">
        <v>10000</v>
      </c>
      <c r="E25" s="598">
        <f>+C25*D25</f>
        <v>10000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965" customFormat="1" ht="18" customHeight="1" x14ac:dyDescent="0.35">
      <c r="B26" s="772" t="s">
        <v>546</v>
      </c>
      <c r="C26" s="258"/>
      <c r="D26" s="194"/>
      <c r="E26" s="598">
        <v>65000</v>
      </c>
      <c r="F26" s="774"/>
      <c r="G26" s="771"/>
      <c r="L26" s="181"/>
      <c r="M26" s="184"/>
      <c r="N26" s="180"/>
      <c r="O26" s="180"/>
      <c r="P26" s="181"/>
      <c r="Q26" s="181"/>
      <c r="R26" s="181"/>
      <c r="S26" s="771"/>
      <c r="V26" s="771"/>
    </row>
    <row r="27" spans="2:22" s="965" customFormat="1" ht="18" customHeight="1" x14ac:dyDescent="0.35">
      <c r="B27" s="1439" t="s">
        <v>389</v>
      </c>
      <c r="C27" s="1440"/>
      <c r="D27" s="1441"/>
      <c r="E27" s="599">
        <f>+E20+E21+E22+E23+E24+E25+E26</f>
        <v>607701.1264999999</v>
      </c>
      <c r="F27" s="774" t="s">
        <v>63</v>
      </c>
      <c r="G27" s="771"/>
      <c r="L27" s="181"/>
      <c r="M27" s="184"/>
      <c r="N27" s="180"/>
      <c r="O27" s="180"/>
      <c r="P27" s="181"/>
      <c r="Q27" s="181"/>
      <c r="R27" s="181"/>
      <c r="S27" s="771"/>
      <c r="V27" s="771"/>
    </row>
    <row r="28" spans="2:22" s="908" customFormat="1" ht="18" customHeight="1" x14ac:dyDescent="0.35">
      <c r="B28" s="909" t="s">
        <v>515</v>
      </c>
      <c r="C28" s="720"/>
      <c r="D28" s="720"/>
      <c r="E28" s="920">
        <v>-250000</v>
      </c>
      <c r="F28" s="769" t="s">
        <v>63</v>
      </c>
      <c r="G28" s="764"/>
      <c r="L28" s="910"/>
      <c r="M28" s="911"/>
      <c r="N28" s="912"/>
      <c r="O28" s="912"/>
      <c r="P28" s="910"/>
      <c r="Q28" s="910"/>
      <c r="R28" s="910"/>
      <c r="S28" s="764"/>
      <c r="V28" s="764"/>
    </row>
    <row r="29" spans="2:22" s="908" customFormat="1" ht="18" customHeight="1" x14ac:dyDescent="0.35">
      <c r="B29" s="909" t="s">
        <v>610</v>
      </c>
      <c r="C29" s="720"/>
      <c r="D29" s="720"/>
      <c r="E29" s="920">
        <v>-3250</v>
      </c>
      <c r="F29" s="769" t="s">
        <v>63</v>
      </c>
      <c r="G29" s="764"/>
      <c r="L29" s="910"/>
      <c r="M29" s="911"/>
      <c r="N29" s="912"/>
      <c r="O29" s="912"/>
      <c r="P29" s="910"/>
      <c r="Q29" s="910"/>
      <c r="R29" s="910"/>
      <c r="S29" s="764"/>
      <c r="V29" s="764"/>
    </row>
    <row r="30" spans="2:22" s="965" customFormat="1" ht="18" customHeight="1" x14ac:dyDescent="0.35">
      <c r="B30" s="772" t="s">
        <v>79</v>
      </c>
      <c r="C30" s="258"/>
      <c r="D30" s="194"/>
      <c r="E30" s="731">
        <v>-4270</v>
      </c>
      <c r="F30" s="774" t="s">
        <v>63</v>
      </c>
      <c r="G30" s="774" t="s">
        <v>63</v>
      </c>
      <c r="L30" s="181"/>
      <c r="M30" s="184"/>
      <c r="N30" s="180"/>
      <c r="O30" s="180"/>
      <c r="P30" s="181"/>
      <c r="Q30" s="181"/>
      <c r="R30" s="181"/>
      <c r="S30" s="771"/>
      <c r="V30" s="771"/>
    </row>
    <row r="31" spans="2:22" ht="18" customHeight="1" x14ac:dyDescent="0.35">
      <c r="B31" s="1435" t="s">
        <v>11</v>
      </c>
      <c r="C31" s="1435"/>
      <c r="D31" s="1435"/>
      <c r="E31" s="602">
        <f>+E27+E28+E29+E30</f>
        <v>350181.1264999999</v>
      </c>
      <c r="F31" s="796" t="s">
        <v>63</v>
      </c>
      <c r="G31" s="115"/>
      <c r="M31" s="189"/>
      <c r="N31" s="180"/>
      <c r="O31" s="180"/>
      <c r="P31" s="181"/>
      <c r="Q31" s="181"/>
      <c r="R31" s="181"/>
    </row>
    <row r="32" spans="2:22" ht="18" customHeight="1" x14ac:dyDescent="0.35">
      <c r="B32" s="455"/>
      <c r="C32" s="455"/>
      <c r="D32" s="455"/>
      <c r="E32" s="456"/>
      <c r="F32" s="409"/>
      <c r="G32" s="115"/>
      <c r="M32" s="189"/>
      <c r="N32" s="180"/>
      <c r="O32" s="180"/>
      <c r="P32" s="181"/>
      <c r="Q32" s="181"/>
      <c r="R32" s="181"/>
    </row>
    <row r="33" spans="2:17" ht="18" customHeight="1" x14ac:dyDescent="0.45">
      <c r="B33" s="1450" t="s">
        <v>622</v>
      </c>
      <c r="C33" s="1451"/>
      <c r="D33" s="1451"/>
      <c r="E33" s="1452"/>
      <c r="F33" s="409"/>
      <c r="G33" s="115"/>
      <c r="M33" s="185"/>
      <c r="N33" s="181"/>
      <c r="O33" s="181"/>
      <c r="P33" s="181"/>
      <c r="Q33" s="181"/>
    </row>
    <row r="34" spans="2:17" ht="18" customHeight="1" x14ac:dyDescent="0.35">
      <c r="B34" s="604" t="s">
        <v>7</v>
      </c>
      <c r="C34" s="605" t="s">
        <v>8</v>
      </c>
      <c r="D34" s="606" t="s">
        <v>4</v>
      </c>
      <c r="E34" s="606" t="s">
        <v>9</v>
      </c>
      <c r="M34" s="185"/>
      <c r="N34" s="181"/>
      <c r="O34" s="181"/>
      <c r="P34" s="184"/>
    </row>
    <row r="35" spans="2:17" ht="18" customHeight="1" x14ac:dyDescent="0.35">
      <c r="B35" s="607" t="s">
        <v>3</v>
      </c>
      <c r="C35" s="267">
        <v>167</v>
      </c>
      <c r="D35" s="211">
        <f>800*1.15*1.2</f>
        <v>1103.9999999999998</v>
      </c>
      <c r="E35" s="211">
        <f>+C35*D35</f>
        <v>184367.99999999997</v>
      </c>
      <c r="F35" s="771" t="s">
        <v>509</v>
      </c>
      <c r="G35" s="774" t="s">
        <v>63</v>
      </c>
      <c r="M35" s="182"/>
    </row>
    <row r="36" spans="2:17" ht="18" customHeight="1" x14ac:dyDescent="0.35">
      <c r="B36" s="772" t="s">
        <v>560</v>
      </c>
      <c r="C36" s="267">
        <v>16</v>
      </c>
      <c r="D36" s="211">
        <f>+D35</f>
        <v>1103.9999999999998</v>
      </c>
      <c r="E36" s="211">
        <f>+C36*D36</f>
        <v>17663.999999999996</v>
      </c>
      <c r="F36" s="774"/>
      <c r="I36" s="965"/>
      <c r="J36" s="965"/>
      <c r="K36" s="965"/>
    </row>
    <row r="37" spans="2:17" ht="18" customHeight="1" x14ac:dyDescent="0.35">
      <c r="B37" s="772" t="s">
        <v>196</v>
      </c>
      <c r="C37" s="267"/>
      <c r="D37" s="211"/>
      <c r="E37" s="211">
        <v>15000</v>
      </c>
      <c r="F37" s="774"/>
      <c r="L37" s="965"/>
    </row>
    <row r="38" spans="2:17" ht="18" customHeight="1" x14ac:dyDescent="0.35">
      <c r="B38" s="772" t="s">
        <v>6</v>
      </c>
      <c r="C38" s="267"/>
      <c r="D38" s="211"/>
      <c r="E38" s="211">
        <v>20000</v>
      </c>
      <c r="F38" s="774"/>
      <c r="L38" s="965"/>
    </row>
    <row r="39" spans="2:17" ht="18" customHeight="1" x14ac:dyDescent="0.35">
      <c r="B39" s="772" t="s">
        <v>468</v>
      </c>
      <c r="C39" s="267">
        <v>6.5</v>
      </c>
      <c r="D39" s="211">
        <f>+D35*1.5</f>
        <v>1655.9999999999995</v>
      </c>
      <c r="E39" s="211">
        <f>C39*D39</f>
        <v>10763.999999999996</v>
      </c>
      <c r="F39" s="649" t="s">
        <v>63</v>
      </c>
      <c r="G39" s="180"/>
      <c r="H39" s="180"/>
      <c r="I39" s="181"/>
      <c r="J39" s="187"/>
      <c r="K39" s="188"/>
      <c r="L39" s="965"/>
      <c r="O39" s="965"/>
    </row>
    <row r="40" spans="2:17" ht="18" customHeight="1" x14ac:dyDescent="0.35">
      <c r="B40" s="772" t="s">
        <v>591</v>
      </c>
      <c r="C40" s="267"/>
      <c r="D40" s="211"/>
      <c r="E40" s="211">
        <v>0</v>
      </c>
      <c r="F40" s="649"/>
      <c r="G40" s="180"/>
      <c r="H40" s="180"/>
      <c r="I40" s="181"/>
      <c r="J40" s="187"/>
      <c r="K40" s="188"/>
      <c r="L40" s="965"/>
      <c r="O40" s="965"/>
    </row>
    <row r="41" spans="2:17" s="965" customFormat="1" ht="18" customHeight="1" x14ac:dyDescent="0.35">
      <c r="B41" s="1459" t="s">
        <v>99</v>
      </c>
      <c r="C41" s="1459"/>
      <c r="D41" s="1459"/>
      <c r="E41" s="599">
        <f>+E35+E36+E37+E38+E39+E40</f>
        <v>247795.99999999997</v>
      </c>
      <c r="F41" s="774" t="s">
        <v>63</v>
      </c>
      <c r="G41" s="180"/>
      <c r="H41" s="180"/>
      <c r="I41" s="181"/>
      <c r="J41" s="181"/>
      <c r="K41" s="184"/>
      <c r="L41" s="771"/>
      <c r="N41" s="771"/>
      <c r="O41" s="771"/>
    </row>
    <row r="42" spans="2:17" s="965" customFormat="1" ht="18" customHeight="1" x14ac:dyDescent="0.35">
      <c r="B42" s="825" t="s">
        <v>19</v>
      </c>
      <c r="C42" s="826" t="s">
        <v>63</v>
      </c>
      <c r="D42" s="823" t="s">
        <v>63</v>
      </c>
      <c r="E42" s="930">
        <v>0</v>
      </c>
      <c r="F42" s="774" t="s">
        <v>63</v>
      </c>
      <c r="G42" s="180"/>
      <c r="H42" s="180"/>
      <c r="I42" s="181"/>
      <c r="J42" s="181"/>
      <c r="K42" s="184"/>
      <c r="L42" s="771"/>
      <c r="N42" s="771"/>
      <c r="O42" s="771"/>
    </row>
    <row r="43" spans="2:17" s="965" customFormat="1" ht="18" customHeight="1" x14ac:dyDescent="0.35">
      <c r="B43" s="825" t="s">
        <v>610</v>
      </c>
      <c r="C43" s="826"/>
      <c r="D43" s="823"/>
      <c r="E43" s="930">
        <v>-3250</v>
      </c>
      <c r="F43" s="774" t="s">
        <v>63</v>
      </c>
      <c r="G43" s="180"/>
      <c r="H43" s="180"/>
      <c r="I43" s="181"/>
      <c r="J43" s="181"/>
      <c r="K43" s="184"/>
      <c r="L43" s="771"/>
      <c r="N43" s="771"/>
      <c r="O43" s="771"/>
    </row>
    <row r="44" spans="2:17" ht="18" customHeight="1" x14ac:dyDescent="0.35">
      <c r="B44" s="786" t="s">
        <v>11</v>
      </c>
      <c r="C44" s="783"/>
      <c r="D44" s="783"/>
      <c r="E44" s="784">
        <f>+E41+E42+E43</f>
        <v>244545.99999999997</v>
      </c>
      <c r="F44" s="774" t="s">
        <v>63</v>
      </c>
      <c r="G44" s="180"/>
      <c r="H44" s="180"/>
      <c r="I44" s="181"/>
      <c r="J44" s="181"/>
      <c r="K44" s="184"/>
    </row>
    <row r="45" spans="2:17" ht="18" customHeight="1" x14ac:dyDescent="0.35">
      <c r="B45" s="594"/>
      <c r="C45" s="594"/>
      <c r="D45" s="594"/>
      <c r="E45" s="595"/>
      <c r="G45" s="180"/>
      <c r="H45" s="180"/>
      <c r="I45" s="181"/>
      <c r="J45" s="181"/>
      <c r="K45" s="184"/>
    </row>
    <row r="46" spans="2:17" ht="18" customHeight="1" x14ac:dyDescent="0.35">
      <c r="B46" s="594"/>
      <c r="C46" s="594"/>
      <c r="D46" s="594"/>
      <c r="E46" s="595"/>
      <c r="G46" s="180"/>
      <c r="H46" s="180"/>
      <c r="I46" s="181"/>
      <c r="J46" s="181"/>
      <c r="K46" s="184"/>
    </row>
    <row r="47" spans="2:17" ht="18" customHeight="1" x14ac:dyDescent="0.35">
      <c r="B47" s="1431" t="s">
        <v>636</v>
      </c>
      <c r="C47" s="1431"/>
      <c r="D47" s="1431"/>
      <c r="E47" s="1431"/>
      <c r="G47" s="180"/>
      <c r="H47" s="180"/>
      <c r="I47" s="181"/>
      <c r="J47" s="181"/>
      <c r="K47" s="184"/>
    </row>
    <row r="48" spans="2:17" ht="18" customHeight="1" x14ac:dyDescent="0.35">
      <c r="B48" s="2" t="s">
        <v>7</v>
      </c>
      <c r="C48" s="270" t="s">
        <v>8</v>
      </c>
      <c r="D48" s="217" t="s">
        <v>4</v>
      </c>
      <c r="E48" s="597" t="s">
        <v>9</v>
      </c>
      <c r="G48" s="180"/>
      <c r="H48" s="180"/>
      <c r="I48" s="181"/>
      <c r="J48" s="181"/>
      <c r="K48" s="184"/>
    </row>
    <row r="49" spans="2:22" ht="18" customHeight="1" x14ac:dyDescent="0.35">
      <c r="B49" s="772" t="s">
        <v>253</v>
      </c>
      <c r="C49" s="258">
        <v>167</v>
      </c>
      <c r="D49" s="194">
        <f>1050*1.15*1.2</f>
        <v>1449</v>
      </c>
      <c r="E49" s="598">
        <f>+C49*D49</f>
        <v>241983</v>
      </c>
      <c r="F49" s="771" t="s">
        <v>509</v>
      </c>
      <c r="G49" s="906" t="s">
        <v>63</v>
      </c>
      <c r="H49" s="180"/>
      <c r="I49" s="181"/>
      <c r="J49" s="181"/>
      <c r="K49" s="184"/>
    </row>
    <row r="50" spans="2:22" ht="18" customHeight="1" x14ac:dyDescent="0.35">
      <c r="B50" s="772" t="s">
        <v>623</v>
      </c>
      <c r="C50" s="258">
        <v>16</v>
      </c>
      <c r="D50" s="194">
        <f>+D49</f>
        <v>1449</v>
      </c>
      <c r="E50" s="598">
        <f>+C50*D50</f>
        <v>23184</v>
      </c>
      <c r="F50" s="774" t="s">
        <v>63</v>
      </c>
      <c r="G50" s="180"/>
      <c r="H50" s="180"/>
      <c r="I50" s="181"/>
      <c r="J50" s="181"/>
      <c r="K50" s="184"/>
    </row>
    <row r="51" spans="2:22" ht="15" customHeight="1" x14ac:dyDescent="0.35">
      <c r="B51" s="772" t="s">
        <v>196</v>
      </c>
      <c r="C51" s="258"/>
      <c r="D51" s="194"/>
      <c r="E51" s="598">
        <v>15000</v>
      </c>
      <c r="G51" s="180"/>
      <c r="H51" s="180"/>
      <c r="I51" s="181"/>
      <c r="J51" s="181"/>
      <c r="K51" s="184"/>
      <c r="L51" s="965"/>
    </row>
    <row r="52" spans="2:22" ht="15" customHeight="1" x14ac:dyDescent="0.35">
      <c r="B52" s="772" t="s">
        <v>6</v>
      </c>
      <c r="C52" s="258"/>
      <c r="D52" s="194"/>
      <c r="E52" s="598">
        <v>35000</v>
      </c>
      <c r="G52" s="180"/>
      <c r="H52" s="180"/>
      <c r="I52" s="181"/>
      <c r="J52" s="181"/>
      <c r="K52" s="184"/>
      <c r="L52" s="965"/>
    </row>
    <row r="53" spans="2:22" ht="15" customHeight="1" x14ac:dyDescent="0.35">
      <c r="B53" s="772" t="s">
        <v>195</v>
      </c>
      <c r="C53" s="315">
        <v>8</v>
      </c>
      <c r="D53" s="194">
        <f>+D49*1.5</f>
        <v>2173.5</v>
      </c>
      <c r="E53" s="598">
        <f>+C53*D53</f>
        <v>17388</v>
      </c>
      <c r="G53" s="180"/>
      <c r="H53" s="180"/>
      <c r="I53" s="181"/>
      <c r="J53" s="181"/>
      <c r="K53" s="184"/>
      <c r="L53" s="965"/>
    </row>
    <row r="54" spans="2:22" ht="15" customHeight="1" x14ac:dyDescent="0.35">
      <c r="B54" s="772" t="s">
        <v>449</v>
      </c>
      <c r="C54" s="315" t="s">
        <v>63</v>
      </c>
      <c r="D54" s="194" t="s">
        <v>63</v>
      </c>
      <c r="E54" s="598" t="s">
        <v>63</v>
      </c>
      <c r="G54" s="180"/>
      <c r="H54" s="180"/>
      <c r="I54" s="181"/>
      <c r="J54" s="181"/>
      <c r="K54" s="184"/>
      <c r="L54" s="965"/>
    </row>
    <row r="55" spans="2:22" ht="15" customHeight="1" x14ac:dyDescent="0.35">
      <c r="B55" s="772" t="s">
        <v>400</v>
      </c>
      <c r="C55" s="258">
        <v>1</v>
      </c>
      <c r="D55" s="194">
        <v>4000</v>
      </c>
      <c r="E55" s="598">
        <f>+C55*D55</f>
        <v>4000</v>
      </c>
      <c r="F55" s="774" t="s">
        <v>63</v>
      </c>
      <c r="M55" s="176"/>
      <c r="N55" s="180"/>
      <c r="O55" s="180"/>
      <c r="P55" s="181"/>
      <c r="Q55" s="181"/>
      <c r="R55" s="184"/>
    </row>
    <row r="56" spans="2:22" ht="15" customHeight="1" x14ac:dyDescent="0.35">
      <c r="B56" s="1432" t="s">
        <v>99</v>
      </c>
      <c r="C56" s="1432"/>
      <c r="D56" s="1432"/>
      <c r="E56" s="599">
        <f>+E49+E50+E51+E52+E53+E55</f>
        <v>336555</v>
      </c>
      <c r="F56" s="774" t="s">
        <v>63</v>
      </c>
      <c r="G56" s="774" t="s">
        <v>63</v>
      </c>
      <c r="M56" s="176"/>
      <c r="N56" s="176"/>
      <c r="O56" s="176"/>
      <c r="P56" s="181"/>
      <c r="Q56" s="181"/>
      <c r="R56" s="184"/>
      <c r="T56" s="965"/>
    </row>
    <row r="57" spans="2:22" s="965" customFormat="1" ht="15" customHeight="1" x14ac:dyDescent="0.35">
      <c r="B57" s="723" t="s">
        <v>630</v>
      </c>
      <c r="C57" s="727" t="s">
        <v>63</v>
      </c>
      <c r="D57" s="727" t="s">
        <v>63</v>
      </c>
      <c r="E57" s="722">
        <v>-107958.1</v>
      </c>
      <c r="F57" s="649" t="s">
        <v>63</v>
      </c>
      <c r="G57" s="771"/>
      <c r="H57" s="771"/>
      <c r="I57" s="771"/>
      <c r="J57" s="771"/>
      <c r="K57" s="771"/>
      <c r="L57" s="771"/>
      <c r="M57" s="176"/>
      <c r="N57" s="176"/>
      <c r="O57" s="176"/>
      <c r="P57" s="176"/>
      <c r="Q57" s="176"/>
      <c r="R57" s="176"/>
      <c r="S57" s="771"/>
      <c r="T57" s="771"/>
      <c r="U57" s="771"/>
      <c r="V57" s="771"/>
    </row>
    <row r="58" spans="2:22" s="998" customFormat="1" ht="15" customHeight="1" x14ac:dyDescent="0.35">
      <c r="B58" s="872" t="s">
        <v>63</v>
      </c>
      <c r="C58" s="873"/>
      <c r="D58" s="874"/>
      <c r="E58" s="722" t="s">
        <v>63</v>
      </c>
      <c r="F58" s="649"/>
      <c r="G58" s="771"/>
      <c r="H58" s="771"/>
      <c r="I58" s="771"/>
      <c r="J58" s="771"/>
      <c r="K58" s="771"/>
      <c r="L58" s="771"/>
      <c r="M58" s="176"/>
      <c r="N58" s="176"/>
      <c r="O58" s="176"/>
      <c r="P58" s="176"/>
      <c r="Q58" s="176"/>
      <c r="R58" s="176"/>
      <c r="S58" s="771"/>
      <c r="T58" s="771"/>
      <c r="U58" s="771"/>
      <c r="V58" s="771"/>
    </row>
    <row r="59" spans="2:22" s="965" customFormat="1" ht="15" customHeight="1" x14ac:dyDescent="0.35">
      <c r="B59" s="672"/>
      <c r="C59" s="673" t="s">
        <v>11</v>
      </c>
      <c r="D59" s="674"/>
      <c r="E59" s="675">
        <f>+E56+E57</f>
        <v>228596.9</v>
      </c>
      <c r="F59" s="649" t="s">
        <v>63</v>
      </c>
      <c r="G59" s="771"/>
      <c r="H59" s="771"/>
      <c r="I59" s="771"/>
      <c r="J59" s="771"/>
      <c r="K59" s="771"/>
      <c r="L59" s="771"/>
      <c r="M59" s="176"/>
      <c r="N59" s="176"/>
      <c r="O59" s="176"/>
      <c r="P59" s="176"/>
      <c r="Q59" s="176"/>
      <c r="R59" s="176"/>
      <c r="S59" s="771"/>
      <c r="T59" s="771"/>
      <c r="U59" s="771"/>
      <c r="V59" s="771"/>
    </row>
    <row r="60" spans="2:22" ht="15" customHeight="1" x14ac:dyDescent="0.35">
      <c r="C60" s="771"/>
      <c r="D60" s="771"/>
      <c r="E60" s="771"/>
      <c r="F60" s="774" t="s">
        <v>63</v>
      </c>
      <c r="N60" s="183"/>
      <c r="O60" s="183"/>
      <c r="P60" s="176"/>
      <c r="Q60" s="176"/>
      <c r="R60" s="176"/>
      <c r="T60" s="965"/>
    </row>
    <row r="61" spans="2:22" ht="15" customHeight="1" x14ac:dyDescent="0.35">
      <c r="C61" s="771"/>
      <c r="D61" s="771"/>
      <c r="E61" s="774" t="s">
        <v>63</v>
      </c>
    </row>
    <row r="62" spans="2:22" ht="15" customHeight="1" x14ac:dyDescent="0.35">
      <c r="B62" s="1442" t="s">
        <v>611</v>
      </c>
      <c r="C62" s="1443"/>
      <c r="D62" s="1443"/>
      <c r="E62" s="1444"/>
      <c r="V62" s="965"/>
    </row>
    <row r="63" spans="2:22" x14ac:dyDescent="0.35">
      <c r="B63" s="2" t="s">
        <v>7</v>
      </c>
      <c r="C63" s="270" t="s">
        <v>8</v>
      </c>
      <c r="D63" s="217" t="s">
        <v>4</v>
      </c>
      <c r="E63" s="597" t="s">
        <v>9</v>
      </c>
    </row>
    <row r="64" spans="2:22" x14ac:dyDescent="0.35">
      <c r="B64" s="772" t="s">
        <v>501</v>
      </c>
      <c r="C64" s="258">
        <v>132</v>
      </c>
      <c r="D64" s="227">
        <f>800*1.15*1.1</f>
        <v>1012</v>
      </c>
      <c r="E64" s="598">
        <f>+C64*D64</f>
        <v>133584</v>
      </c>
      <c r="F64" s="774" t="s">
        <v>362</v>
      </c>
    </row>
    <row r="65" spans="1:7" x14ac:dyDescent="0.35">
      <c r="B65" s="772" t="s">
        <v>608</v>
      </c>
      <c r="C65" s="258">
        <v>16</v>
      </c>
      <c r="D65" s="227">
        <f>+D64</f>
        <v>1012</v>
      </c>
      <c r="E65" s="598">
        <f>+C65*D65</f>
        <v>16192</v>
      </c>
    </row>
    <row r="66" spans="1:7" x14ac:dyDescent="0.35">
      <c r="B66" s="772" t="s">
        <v>490</v>
      </c>
      <c r="C66" s="258"/>
      <c r="D66" s="227"/>
      <c r="E66" s="598">
        <v>15000</v>
      </c>
    </row>
    <row r="67" spans="1:7" x14ac:dyDescent="0.35">
      <c r="B67" s="772" t="s">
        <v>489</v>
      </c>
      <c r="C67" s="258"/>
      <c r="D67" s="227"/>
      <c r="E67" s="598">
        <v>20000</v>
      </c>
    </row>
    <row r="68" spans="1:7" x14ac:dyDescent="0.35">
      <c r="B68" s="772" t="s">
        <v>195</v>
      </c>
      <c r="C68" s="258">
        <v>2.5</v>
      </c>
      <c r="D68" s="194">
        <f>+D64*1.5</f>
        <v>1518</v>
      </c>
      <c r="E68" s="598">
        <f>+C68*D68</f>
        <v>3795</v>
      </c>
      <c r="F68" s="774" t="s">
        <v>63</v>
      </c>
      <c r="G68" s="774" t="s">
        <v>63</v>
      </c>
    </row>
    <row r="69" spans="1:7" x14ac:dyDescent="0.35">
      <c r="B69" s="772" t="s">
        <v>449</v>
      </c>
      <c r="C69" s="258" t="s">
        <v>63</v>
      </c>
      <c r="D69" s="194" t="s">
        <v>63</v>
      </c>
      <c r="E69" s="598" t="s">
        <v>63</v>
      </c>
      <c r="F69" s="774" t="s">
        <v>63</v>
      </c>
      <c r="G69" s="774"/>
    </row>
    <row r="70" spans="1:7" x14ac:dyDescent="0.35">
      <c r="B70" s="889" t="s">
        <v>357</v>
      </c>
      <c r="C70" s="890">
        <v>112</v>
      </c>
      <c r="D70" s="977">
        <f>+D64</f>
        <v>1012</v>
      </c>
      <c r="E70" s="598">
        <f>+C70*D70</f>
        <v>113344</v>
      </c>
      <c r="F70" s="774" t="s">
        <v>63</v>
      </c>
      <c r="G70" s="774"/>
    </row>
    <row r="71" spans="1:7" x14ac:dyDescent="0.35">
      <c r="B71" s="889" t="s">
        <v>612</v>
      </c>
      <c r="C71" s="890">
        <v>8</v>
      </c>
      <c r="D71" s="977">
        <v>1012</v>
      </c>
      <c r="E71" s="598">
        <f>-C71*D71</f>
        <v>-8096</v>
      </c>
      <c r="F71" s="774"/>
      <c r="G71" s="774"/>
    </row>
    <row r="72" spans="1:7" x14ac:dyDescent="0.35">
      <c r="B72" s="1439" t="s">
        <v>99</v>
      </c>
      <c r="C72" s="1440"/>
      <c r="D72" s="1441"/>
      <c r="E72" s="599">
        <f>+E64+E65+E66+E67+E68+E70+E71</f>
        <v>293819</v>
      </c>
      <c r="F72" s="774" t="s">
        <v>63</v>
      </c>
    </row>
    <row r="73" spans="1:7" x14ac:dyDescent="0.35">
      <c r="B73" s="921" t="s">
        <v>609</v>
      </c>
      <c r="C73" s="922">
        <f>+E64+E65+E66+E67</f>
        <v>184776</v>
      </c>
      <c r="D73" s="720"/>
      <c r="E73" s="722">
        <f>-C73*0.1</f>
        <v>-18477.600000000002</v>
      </c>
      <c r="F73" s="774" t="s">
        <v>63</v>
      </c>
    </row>
    <row r="74" spans="1:7" x14ac:dyDescent="0.35">
      <c r="B74" s="956" t="s">
        <v>610</v>
      </c>
      <c r="C74" s="957"/>
      <c r="D74" s="886"/>
      <c r="E74" s="722">
        <v>-3250</v>
      </c>
      <c r="F74" s="774"/>
    </row>
    <row r="75" spans="1:7" x14ac:dyDescent="0.35">
      <c r="B75" s="672"/>
      <c r="C75" s="673" t="s">
        <v>11</v>
      </c>
      <c r="D75" s="674"/>
      <c r="E75" s="675">
        <f>+E72+E73+E74</f>
        <v>272091.40000000002</v>
      </c>
      <c r="F75" s="774"/>
    </row>
    <row r="76" spans="1:7" x14ac:dyDescent="0.35">
      <c r="C76" s="771"/>
      <c r="D76" s="771"/>
      <c r="E76" s="771"/>
    </row>
    <row r="78" spans="1:7" ht="23.5" x14ac:dyDescent="0.35">
      <c r="B78" s="1442" t="s">
        <v>625</v>
      </c>
      <c r="C78" s="1443"/>
      <c r="D78" s="1443"/>
      <c r="E78" s="1444"/>
    </row>
    <row r="79" spans="1:7" x14ac:dyDescent="0.35">
      <c r="B79" s="2" t="s">
        <v>7</v>
      </c>
      <c r="C79" s="270" t="s">
        <v>8</v>
      </c>
      <c r="D79" s="217" t="s">
        <v>4</v>
      </c>
      <c r="E79" s="597" t="s">
        <v>63</v>
      </c>
      <c r="F79" s="771" t="s">
        <v>63</v>
      </c>
    </row>
    <row r="80" spans="1:7" x14ac:dyDescent="0.35">
      <c r="A80" s="771" t="s">
        <v>63</v>
      </c>
      <c r="B80" s="772" t="s">
        <v>3</v>
      </c>
      <c r="C80" s="258">
        <v>88</v>
      </c>
      <c r="D80" s="227">
        <f>750*1.15*1.2</f>
        <v>1034.9999999999998</v>
      </c>
      <c r="E80" s="598">
        <f>+C80*D80</f>
        <v>91079.999999999985</v>
      </c>
      <c r="F80" s="771" t="s">
        <v>509</v>
      </c>
    </row>
    <row r="81" spans="2:7" x14ac:dyDescent="0.35">
      <c r="B81" s="772" t="s">
        <v>530</v>
      </c>
      <c r="C81" s="258">
        <v>8</v>
      </c>
      <c r="D81" s="227">
        <f>+D80</f>
        <v>1034.9999999999998</v>
      </c>
      <c r="E81" s="598">
        <f>+C81*D81</f>
        <v>8279.9999999999982</v>
      </c>
    </row>
    <row r="82" spans="2:7" x14ac:dyDescent="0.35">
      <c r="B82" s="772" t="s">
        <v>196</v>
      </c>
      <c r="C82" s="258"/>
      <c r="D82" s="227"/>
      <c r="E82" s="598">
        <v>15000</v>
      </c>
    </row>
    <row r="83" spans="2:7" x14ac:dyDescent="0.35">
      <c r="B83" s="772" t="s">
        <v>6</v>
      </c>
      <c r="C83" s="258" t="s">
        <v>63</v>
      </c>
      <c r="D83" s="227" t="s">
        <v>63</v>
      </c>
      <c r="E83" s="598">
        <v>10000</v>
      </c>
    </row>
    <row r="84" spans="2:7" x14ac:dyDescent="0.35">
      <c r="B84" s="772" t="s">
        <v>270</v>
      </c>
      <c r="C84" s="258">
        <v>6.5</v>
      </c>
      <c r="D84" s="227">
        <f>+D80*1.5</f>
        <v>1552.4999999999995</v>
      </c>
      <c r="E84" s="598">
        <f>+C84*D84</f>
        <v>10091.249999999996</v>
      </c>
      <c r="F84" s="774" t="s">
        <v>63</v>
      </c>
    </row>
    <row r="85" spans="2:7" x14ac:dyDescent="0.35">
      <c r="B85" s="772" t="s">
        <v>281</v>
      </c>
      <c r="C85" s="258" t="s">
        <v>63</v>
      </c>
      <c r="D85" s="227" t="s">
        <v>63</v>
      </c>
      <c r="E85" s="598" t="s">
        <v>63</v>
      </c>
    </row>
    <row r="86" spans="2:7" x14ac:dyDescent="0.35">
      <c r="B86" s="1439" t="s">
        <v>99</v>
      </c>
      <c r="C86" s="1440"/>
      <c r="D86" s="1441"/>
      <c r="E86" s="599">
        <f>+E80+E81+E82+E83+E84</f>
        <v>134451.24999999997</v>
      </c>
      <c r="F86" s="774" t="s">
        <v>63</v>
      </c>
    </row>
    <row r="87" spans="2:7" x14ac:dyDescent="0.35">
      <c r="B87" s="723" t="s">
        <v>63</v>
      </c>
      <c r="C87" s="721"/>
      <c r="D87" s="721"/>
      <c r="E87" s="722" t="s">
        <v>63</v>
      </c>
      <c r="F87" s="774" t="s">
        <v>63</v>
      </c>
      <c r="G87" s="774" t="s">
        <v>63</v>
      </c>
    </row>
    <row r="88" spans="2:7" x14ac:dyDescent="0.35">
      <c r="B88" s="872" t="s">
        <v>624</v>
      </c>
      <c r="C88" s="958"/>
      <c r="D88" s="959"/>
      <c r="E88" s="722">
        <v>-3250</v>
      </c>
      <c r="F88" s="774"/>
      <c r="G88" s="774"/>
    </row>
    <row r="89" spans="2:7" ht="15.5" x14ac:dyDescent="0.35">
      <c r="B89" s="1446" t="s">
        <v>11</v>
      </c>
      <c r="C89" s="1447"/>
      <c r="D89" s="1448"/>
      <c r="E89" s="603">
        <f>+E86+E88</f>
        <v>131201.24999999997</v>
      </c>
      <c r="F89" s="774" t="s">
        <v>63</v>
      </c>
    </row>
    <row r="90" spans="2:7" x14ac:dyDescent="0.35">
      <c r="F90" s="774" t="s">
        <v>63</v>
      </c>
    </row>
    <row r="91" spans="2:7" x14ac:dyDescent="0.35">
      <c r="F91" s="774" t="s">
        <v>63</v>
      </c>
    </row>
    <row r="92" spans="2:7" ht="23.5" x14ac:dyDescent="0.35">
      <c r="B92" s="1442" t="s">
        <v>634</v>
      </c>
      <c r="C92" s="1443"/>
      <c r="D92" s="1443"/>
      <c r="E92" s="1444"/>
    </row>
    <row r="93" spans="2:7" x14ac:dyDescent="0.35">
      <c r="B93" s="801" t="s">
        <v>7</v>
      </c>
      <c r="C93" s="802" t="s">
        <v>388</v>
      </c>
      <c r="D93" s="803" t="s">
        <v>272</v>
      </c>
      <c r="E93" s="804" t="s">
        <v>9</v>
      </c>
    </row>
    <row r="94" spans="2:7" x14ac:dyDescent="0.35">
      <c r="B94" s="805" t="s">
        <v>3</v>
      </c>
      <c r="C94" s="806">
        <v>88</v>
      </c>
      <c r="D94" s="807">
        <f>750*1.15*1.2</f>
        <v>1034.9999999999998</v>
      </c>
      <c r="E94" s="833">
        <f>+C94*D94</f>
        <v>91079.999999999985</v>
      </c>
      <c r="F94" s="771" t="s">
        <v>509</v>
      </c>
    </row>
    <row r="95" spans="2:7" x14ac:dyDescent="0.35">
      <c r="B95" s="805" t="s">
        <v>316</v>
      </c>
      <c r="C95" s="806">
        <v>8</v>
      </c>
      <c r="D95" s="807">
        <f>+D94</f>
        <v>1034.9999999999998</v>
      </c>
      <c r="E95" s="833">
        <f>+C95*D95</f>
        <v>8279.9999999999982</v>
      </c>
      <c r="F95" s="774" t="s">
        <v>63</v>
      </c>
    </row>
    <row r="96" spans="2:7" x14ac:dyDescent="0.35">
      <c r="B96" s="805" t="s">
        <v>6</v>
      </c>
      <c r="C96" s="806" t="s">
        <v>63</v>
      </c>
      <c r="D96" s="807" t="s">
        <v>63</v>
      </c>
      <c r="E96" s="834">
        <v>10000</v>
      </c>
    </row>
    <row r="97" spans="2:8" x14ac:dyDescent="0.35">
      <c r="B97" s="614" t="s">
        <v>200</v>
      </c>
      <c r="C97" s="617"/>
      <c r="D97" s="227"/>
      <c r="E97" s="598">
        <v>15000</v>
      </c>
    </row>
    <row r="98" spans="2:8" x14ac:dyDescent="0.35">
      <c r="B98" s="614" t="s">
        <v>475</v>
      </c>
      <c r="C98" s="617">
        <v>6.5</v>
      </c>
      <c r="D98" s="227">
        <f>+D94*1.5</f>
        <v>1552.4999999999995</v>
      </c>
      <c r="E98" s="598">
        <f>+C98*D98</f>
        <v>10091.249999999996</v>
      </c>
      <c r="F98" s="774" t="s">
        <v>63</v>
      </c>
    </row>
    <row r="99" spans="2:8" x14ac:dyDescent="0.35">
      <c r="B99" s="614" t="s">
        <v>357</v>
      </c>
      <c r="C99" s="617">
        <v>112</v>
      </c>
      <c r="D99" s="227">
        <f>+D94</f>
        <v>1034.9999999999998</v>
      </c>
      <c r="E99" s="598">
        <f>+C99*D99</f>
        <v>115919.99999999997</v>
      </c>
    </row>
    <row r="100" spans="2:8" x14ac:dyDescent="0.35">
      <c r="B100" s="614" t="s">
        <v>632</v>
      </c>
      <c r="C100" s="617">
        <v>112</v>
      </c>
      <c r="D100" s="227">
        <f>+D94</f>
        <v>1034.9999999999998</v>
      </c>
      <c r="E100" s="598">
        <f>+C100*D100</f>
        <v>115919.99999999997</v>
      </c>
    </row>
    <row r="101" spans="2:8" ht="15.5" x14ac:dyDescent="0.35">
      <c r="B101" s="1433" t="s">
        <v>389</v>
      </c>
      <c r="C101" s="1433"/>
      <c r="D101" s="1433"/>
      <c r="E101" s="603">
        <f>+E94+E95+E96+E97+E98+E99+E100</f>
        <v>366291.24999999988</v>
      </c>
      <c r="F101" s="774" t="s">
        <v>63</v>
      </c>
    </row>
    <row r="102" spans="2:8" ht="15.5" x14ac:dyDescent="0.35">
      <c r="B102" s="723" t="s">
        <v>633</v>
      </c>
      <c r="C102" s="1000">
        <f>+E94+E95+E96++E100</f>
        <v>225279.99999999994</v>
      </c>
      <c r="D102" s="1000">
        <f>+C102*10/100</f>
        <v>22527.999999999996</v>
      </c>
      <c r="E102" s="832">
        <f>-D102</f>
        <v>-22527.999999999996</v>
      </c>
      <c r="F102" s="771" t="s">
        <v>63</v>
      </c>
      <c r="G102" s="771" t="s">
        <v>63</v>
      </c>
      <c r="H102" s="771" t="s">
        <v>63</v>
      </c>
    </row>
    <row r="103" spans="2:8" ht="15.5" x14ac:dyDescent="0.35">
      <c r="B103" s="723" t="s">
        <v>631</v>
      </c>
      <c r="C103" s="1000"/>
      <c r="D103" s="1000"/>
      <c r="E103" s="832">
        <v>-120000</v>
      </c>
    </row>
    <row r="104" spans="2:8" ht="15.5" x14ac:dyDescent="0.35">
      <c r="B104" s="723" t="s">
        <v>610</v>
      </c>
      <c r="C104" s="829"/>
      <c r="D104" s="829"/>
      <c r="E104" s="832">
        <v>-3250</v>
      </c>
      <c r="F104" s="774" t="s">
        <v>63</v>
      </c>
    </row>
    <row r="105" spans="2:8" ht="15.5" x14ac:dyDescent="0.35">
      <c r="B105" s="968" t="s">
        <v>63</v>
      </c>
      <c r="C105" s="968" t="s">
        <v>11</v>
      </c>
      <c r="D105" s="968"/>
      <c r="E105" s="603">
        <f>+E101+E102+E103+E104</f>
        <v>220513.24999999988</v>
      </c>
    </row>
    <row r="106" spans="2:8" x14ac:dyDescent="0.35">
      <c r="E106" s="203" t="s">
        <v>63</v>
      </c>
    </row>
    <row r="108" spans="2:8" ht="23.5" x14ac:dyDescent="0.35">
      <c r="B108" s="1442" t="s">
        <v>620</v>
      </c>
      <c r="C108" s="1443"/>
      <c r="D108" s="1443"/>
      <c r="E108" s="1444"/>
    </row>
    <row r="109" spans="2:8" x14ac:dyDescent="0.35">
      <c r="B109" s="2" t="s">
        <v>7</v>
      </c>
      <c r="C109" s="270" t="s">
        <v>8</v>
      </c>
      <c r="D109" s="217" t="s">
        <v>4</v>
      </c>
      <c r="E109" s="597" t="s">
        <v>9</v>
      </c>
    </row>
    <row r="110" spans="2:8" x14ac:dyDescent="0.35">
      <c r="B110" s="772" t="s">
        <v>3</v>
      </c>
      <c r="C110" s="258">
        <v>167</v>
      </c>
      <c r="D110" s="227">
        <f>700*1.15*1.1</f>
        <v>885.5</v>
      </c>
      <c r="E110" s="598">
        <f>+C110*D110</f>
        <v>147878.5</v>
      </c>
      <c r="F110" s="771" t="s">
        <v>362</v>
      </c>
    </row>
    <row r="111" spans="2:8" x14ac:dyDescent="0.35">
      <c r="B111" s="772" t="s">
        <v>561</v>
      </c>
      <c r="C111" s="258">
        <v>16</v>
      </c>
      <c r="D111" s="227">
        <f>+D110</f>
        <v>885.5</v>
      </c>
      <c r="E111" s="598">
        <f>+C111*D111</f>
        <v>14168</v>
      </c>
    </row>
    <row r="112" spans="2:8" x14ac:dyDescent="0.35">
      <c r="B112" s="772" t="s">
        <v>200</v>
      </c>
      <c r="C112" s="258"/>
      <c r="D112" s="227"/>
      <c r="E112" s="598">
        <v>15000</v>
      </c>
    </row>
    <row r="113" spans="2:6" x14ac:dyDescent="0.35">
      <c r="B113" s="772" t="s">
        <v>6</v>
      </c>
      <c r="C113" s="258" t="s">
        <v>63</v>
      </c>
      <c r="D113" s="194" t="s">
        <v>63</v>
      </c>
      <c r="E113" s="598">
        <v>20000</v>
      </c>
    </row>
    <row r="114" spans="2:6" x14ac:dyDescent="0.35">
      <c r="B114" s="772" t="s">
        <v>270</v>
      </c>
      <c r="C114" s="258">
        <v>6.5</v>
      </c>
      <c r="D114" s="194">
        <f>+D110*1.5</f>
        <v>1328.25</v>
      </c>
      <c r="E114" s="598">
        <f>+C114*D114</f>
        <v>8633.625</v>
      </c>
      <c r="F114" s="771" t="s">
        <v>63</v>
      </c>
    </row>
    <row r="115" spans="2:6" x14ac:dyDescent="0.35">
      <c r="B115" s="889" t="s">
        <v>619</v>
      </c>
      <c r="C115" s="890">
        <v>32</v>
      </c>
      <c r="D115" s="977">
        <f>+D110</f>
        <v>885.5</v>
      </c>
      <c r="E115" s="598">
        <f>+C115*D115</f>
        <v>28336</v>
      </c>
    </row>
    <row r="116" spans="2:6" x14ac:dyDescent="0.35">
      <c r="B116" s="1439" t="s">
        <v>99</v>
      </c>
      <c r="C116" s="1440"/>
      <c r="D116" s="1441"/>
      <c r="E116" s="599">
        <f>+E110+E111+E112+E113+E114+E115</f>
        <v>234016.125</v>
      </c>
      <c r="F116" s="774" t="s">
        <v>63</v>
      </c>
    </row>
    <row r="117" spans="2:6" x14ac:dyDescent="0.35">
      <c r="B117" s="724" t="s">
        <v>19</v>
      </c>
      <c r="C117" s="729" t="s">
        <v>63</v>
      </c>
      <c r="D117" s="730" t="s">
        <v>63</v>
      </c>
      <c r="E117" s="731" t="s">
        <v>63</v>
      </c>
      <c r="F117" s="774" t="s">
        <v>63</v>
      </c>
    </row>
    <row r="118" spans="2:6" x14ac:dyDescent="0.35">
      <c r="B118" s="724" t="s">
        <v>610</v>
      </c>
      <c r="C118" s="729"/>
      <c r="D118" s="730"/>
      <c r="E118" s="731">
        <v>-3250</v>
      </c>
      <c r="F118" s="774"/>
    </row>
    <row r="119" spans="2:6" s="997" customFormat="1" ht="15.5" x14ac:dyDescent="0.35">
      <c r="B119" s="992"/>
      <c r="C119" s="993" t="s">
        <v>11</v>
      </c>
      <c r="D119" s="994"/>
      <c r="E119" s="995">
        <f>+E116+E118</f>
        <v>230766.125</v>
      </c>
      <c r="F119" s="996" t="s">
        <v>63</v>
      </c>
    </row>
    <row r="122" spans="2:6" ht="23.5" x14ac:dyDescent="0.35">
      <c r="B122" s="1442" t="s">
        <v>626</v>
      </c>
      <c r="C122" s="1443"/>
      <c r="D122" s="1443"/>
      <c r="E122" s="1444"/>
    </row>
    <row r="123" spans="2:6" x14ac:dyDescent="0.35">
      <c r="B123" s="2" t="s">
        <v>7</v>
      </c>
      <c r="C123" s="270" t="s">
        <v>8</v>
      </c>
      <c r="D123" s="217" t="s">
        <v>4</v>
      </c>
      <c r="E123" s="597" t="s">
        <v>9</v>
      </c>
    </row>
    <row r="124" spans="2:6" x14ac:dyDescent="0.35">
      <c r="B124" s="772" t="s">
        <v>3</v>
      </c>
      <c r="C124" s="258">
        <v>158</v>
      </c>
      <c r="D124" s="194">
        <v>1300</v>
      </c>
      <c r="E124" s="598">
        <f>+C124*D124</f>
        <v>205400</v>
      </c>
      <c r="F124" s="774" t="s">
        <v>635</v>
      </c>
    </row>
    <row r="125" spans="2:6" x14ac:dyDescent="0.35">
      <c r="B125" s="772" t="s">
        <v>353</v>
      </c>
      <c r="C125" s="258">
        <v>16</v>
      </c>
      <c r="D125" s="194">
        <f>+D124</f>
        <v>1300</v>
      </c>
      <c r="E125" s="609">
        <f>+C125*D125</f>
        <v>20800</v>
      </c>
    </row>
    <row r="126" spans="2:6" x14ac:dyDescent="0.35">
      <c r="B126" s="772" t="s">
        <v>63</v>
      </c>
      <c r="C126" s="258" t="s">
        <v>63</v>
      </c>
      <c r="D126" s="194" t="s">
        <v>63</v>
      </c>
      <c r="E126" s="609" t="s">
        <v>63</v>
      </c>
    </row>
    <row r="127" spans="2:6" x14ac:dyDescent="0.35">
      <c r="B127" s="772" t="s">
        <v>6</v>
      </c>
      <c r="C127" s="258"/>
      <c r="D127" s="194"/>
      <c r="E127" s="609">
        <v>15000</v>
      </c>
    </row>
    <row r="128" spans="2:6" x14ac:dyDescent="0.35">
      <c r="B128" s="614" t="s">
        <v>200</v>
      </c>
      <c r="C128" s="617"/>
      <c r="D128" s="227"/>
      <c r="E128" s="609">
        <v>15000</v>
      </c>
      <c r="F128" s="774" t="s">
        <v>63</v>
      </c>
    </row>
    <row r="129" spans="2:6" s="764" customFormat="1" x14ac:dyDescent="0.35">
      <c r="B129" s="882" t="s">
        <v>99</v>
      </c>
      <c r="C129" s="883"/>
      <c r="D129" s="883"/>
      <c r="E129" s="884">
        <f>+E124+E125+E127+E128</f>
        <v>256200</v>
      </c>
      <c r="F129" s="769" t="s">
        <v>63</v>
      </c>
    </row>
    <row r="130" spans="2:6" x14ac:dyDescent="0.35">
      <c r="B130" s="962" t="s">
        <v>374</v>
      </c>
      <c r="C130" s="709"/>
      <c r="D130" s="619"/>
      <c r="E130" s="730">
        <v>-50000</v>
      </c>
      <c r="F130" s="774" t="s">
        <v>63</v>
      </c>
    </row>
    <row r="131" spans="2:6" x14ac:dyDescent="0.35">
      <c r="B131" s="963" t="s">
        <v>610</v>
      </c>
      <c r="C131" s="960"/>
      <c r="D131" s="961"/>
      <c r="E131" s="730">
        <v>-3250</v>
      </c>
      <c r="F131" s="774" t="s">
        <v>63</v>
      </c>
    </row>
    <row r="132" spans="2:6" ht="15.5" x14ac:dyDescent="0.35">
      <c r="B132" s="970" t="s">
        <v>11</v>
      </c>
      <c r="C132" s="708"/>
      <c r="D132" s="706"/>
      <c r="E132" s="603">
        <f>+E129+E130+E131</f>
        <v>202950</v>
      </c>
      <c r="F132" s="774" t="s">
        <v>63</v>
      </c>
    </row>
    <row r="135" spans="2:6" ht="23.5" x14ac:dyDescent="0.35">
      <c r="B135" s="1442" t="s">
        <v>627</v>
      </c>
      <c r="C135" s="1443"/>
      <c r="D135" s="1443"/>
      <c r="E135" s="1444"/>
    </row>
    <row r="136" spans="2:6" x14ac:dyDescent="0.35">
      <c r="B136" s="2" t="s">
        <v>7</v>
      </c>
      <c r="C136" s="270" t="s">
        <v>388</v>
      </c>
      <c r="D136" s="217" t="s">
        <v>629</v>
      </c>
      <c r="E136" s="597" t="s">
        <v>9</v>
      </c>
    </row>
    <row r="137" spans="2:6" x14ac:dyDescent="0.35">
      <c r="B137" s="772" t="s">
        <v>3</v>
      </c>
      <c r="C137" s="258">
        <v>141</v>
      </c>
      <c r="D137" s="194">
        <v>1300</v>
      </c>
      <c r="E137" s="598">
        <f>+C137*D137</f>
        <v>183300</v>
      </c>
    </row>
    <row r="138" spans="2:6" x14ac:dyDescent="0.35">
      <c r="B138" s="772" t="s">
        <v>379</v>
      </c>
      <c r="C138" s="258">
        <v>16</v>
      </c>
      <c r="D138" s="194">
        <f>+D137</f>
        <v>1300</v>
      </c>
      <c r="E138" s="609">
        <f>+C138*D138</f>
        <v>20800</v>
      </c>
    </row>
    <row r="139" spans="2:6" x14ac:dyDescent="0.35">
      <c r="B139" s="772" t="s">
        <v>200</v>
      </c>
      <c r="C139" s="258"/>
      <c r="D139" s="194"/>
      <c r="E139" s="609">
        <v>15000</v>
      </c>
    </row>
    <row r="140" spans="2:6" x14ac:dyDescent="0.35">
      <c r="B140" s="772" t="s">
        <v>6</v>
      </c>
      <c r="C140" s="258"/>
      <c r="D140" s="194"/>
      <c r="E140" s="609">
        <v>15000</v>
      </c>
    </row>
    <row r="141" spans="2:6" x14ac:dyDescent="0.35">
      <c r="B141" s="614" t="s">
        <v>628</v>
      </c>
      <c r="C141" s="617">
        <v>3</v>
      </c>
      <c r="D141" s="227">
        <f>+D137*1.5</f>
        <v>1950</v>
      </c>
      <c r="E141" s="609">
        <f>+C141*D141</f>
        <v>5850</v>
      </c>
    </row>
    <row r="142" spans="2:6" x14ac:dyDescent="0.35">
      <c r="B142" s="882" t="s">
        <v>99</v>
      </c>
      <c r="C142" s="883"/>
      <c r="D142" s="883"/>
      <c r="E142" s="884">
        <f>+E137+E138+E139+E140+E141</f>
        <v>239950</v>
      </c>
    </row>
    <row r="143" spans="2:6" x14ac:dyDescent="0.35">
      <c r="B143" s="962"/>
      <c r="C143" s="709"/>
      <c r="D143" s="619"/>
      <c r="E143" s="730" t="s">
        <v>63</v>
      </c>
    </row>
    <row r="144" spans="2:6" x14ac:dyDescent="0.35">
      <c r="B144" s="963"/>
      <c r="C144" s="960"/>
      <c r="D144" s="961"/>
      <c r="E144" s="730"/>
    </row>
    <row r="145" spans="2:5" ht="15.5" x14ac:dyDescent="0.35">
      <c r="B145" s="999" t="s">
        <v>11</v>
      </c>
      <c r="C145" s="708"/>
      <c r="D145" s="706"/>
      <c r="E145" s="603">
        <f>+E142</f>
        <v>239950</v>
      </c>
    </row>
  </sheetData>
  <mergeCells count="21">
    <mergeCell ref="B135:E135"/>
    <mergeCell ref="B72:D72"/>
    <mergeCell ref="B3:E3"/>
    <mergeCell ref="B12:D12"/>
    <mergeCell ref="B16:D16"/>
    <mergeCell ref="B18:E18"/>
    <mergeCell ref="B27:D27"/>
    <mergeCell ref="B31:D31"/>
    <mergeCell ref="B33:E33"/>
    <mergeCell ref="B41:D41"/>
    <mergeCell ref="B47:E47"/>
    <mergeCell ref="B56:D56"/>
    <mergeCell ref="B62:E62"/>
    <mergeCell ref="B116:D116"/>
    <mergeCell ref="B122:E122"/>
    <mergeCell ref="B78:E78"/>
    <mergeCell ref="B86:D86"/>
    <mergeCell ref="B89:D89"/>
    <mergeCell ref="B92:E92"/>
    <mergeCell ref="B101:D101"/>
    <mergeCell ref="B108:E108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V132"/>
  <sheetViews>
    <sheetView topLeftCell="A28" zoomScaleNormal="100" workbookViewId="0">
      <selection activeCell="F134" sqref="F134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 t="s">
        <v>593</v>
      </c>
    </row>
    <row r="3" spans="2:21" ht="25.5" customHeight="1" x14ac:dyDescent="0.35">
      <c r="B3" s="1431" t="s">
        <v>594</v>
      </c>
      <c r="C3" s="1431"/>
      <c r="D3" s="1431"/>
      <c r="E3" s="1431"/>
    </row>
    <row r="4" spans="2:21" s="971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771"/>
      <c r="T4" s="771"/>
      <c r="U4" s="771"/>
    </row>
    <row r="5" spans="2:21" ht="18" customHeight="1" x14ac:dyDescent="0.35">
      <c r="B5" s="772" t="s">
        <v>595</v>
      </c>
      <c r="C5" s="258"/>
      <c r="D5" s="227"/>
      <c r="E5" s="598">
        <f>239306.06/12*6</f>
        <v>119653.03</v>
      </c>
      <c r="F5" s="553" t="s">
        <v>63</v>
      </c>
      <c r="T5" s="971"/>
    </row>
    <row r="6" spans="2:21" ht="18" customHeight="1" x14ac:dyDescent="0.35">
      <c r="B6" s="772"/>
      <c r="C6" s="258"/>
      <c r="D6" s="227"/>
      <c r="E6" s="598"/>
      <c r="F6" s="774" t="s">
        <v>63</v>
      </c>
      <c r="T6" s="774"/>
    </row>
    <row r="7" spans="2:21" ht="18" customHeight="1" x14ac:dyDescent="0.35">
      <c r="B7" s="772"/>
      <c r="C7" s="258"/>
      <c r="D7" s="227"/>
      <c r="E7" s="598"/>
      <c r="F7" s="774" t="s">
        <v>63</v>
      </c>
      <c r="G7" s="771" t="s">
        <v>63</v>
      </c>
    </row>
    <row r="8" spans="2:21" ht="18" customHeight="1" x14ac:dyDescent="0.35">
      <c r="B8" s="772"/>
      <c r="C8" s="258"/>
      <c r="D8" s="194"/>
      <c r="E8" s="598"/>
      <c r="F8" s="774" t="s">
        <v>63</v>
      </c>
      <c r="G8" s="774"/>
    </row>
    <row r="9" spans="2:21" ht="18" customHeight="1" x14ac:dyDescent="0.35">
      <c r="B9" s="772"/>
      <c r="C9" s="258"/>
      <c r="D9" s="194"/>
      <c r="E9" s="598"/>
      <c r="F9" s="553" t="s">
        <v>63</v>
      </c>
      <c r="G9" s="774" t="s">
        <v>63</v>
      </c>
      <c r="U9" s="971"/>
    </row>
    <row r="10" spans="2:21" ht="18" customHeight="1" x14ac:dyDescent="0.35">
      <c r="B10" s="772"/>
      <c r="C10" s="258"/>
      <c r="D10" s="194"/>
      <c r="E10" s="598"/>
      <c r="F10" s="774" t="s">
        <v>63</v>
      </c>
      <c r="G10" s="771" t="s">
        <v>63</v>
      </c>
      <c r="U10" s="971"/>
    </row>
    <row r="11" spans="2:21" ht="18" customHeight="1" x14ac:dyDescent="0.35">
      <c r="B11" s="1432" t="s">
        <v>99</v>
      </c>
      <c r="C11" s="1432"/>
      <c r="D11" s="1432"/>
      <c r="E11" s="599">
        <f>+E5+E6+E7+E8+E9+E10</f>
        <v>119653.03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971"/>
    </row>
    <row r="12" spans="2:21" ht="18" customHeight="1" x14ac:dyDescent="0.35">
      <c r="B12" s="975" t="s">
        <v>384</v>
      </c>
      <c r="C12" s="973"/>
      <c r="D12" s="973"/>
      <c r="E12" s="221">
        <v>-52928.51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971"/>
    </row>
    <row r="13" spans="2:21" ht="18" customHeight="1" x14ac:dyDescent="0.35">
      <c r="B13" s="800"/>
      <c r="C13" s="721"/>
      <c r="D13" s="905"/>
      <c r="E13" s="722"/>
      <c r="F13" s="774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971"/>
    </row>
    <row r="14" spans="2:21" ht="18" customHeight="1" x14ac:dyDescent="0.35">
      <c r="B14" s="1433" t="s">
        <v>11</v>
      </c>
      <c r="C14" s="1433"/>
      <c r="D14" s="1433"/>
      <c r="E14" s="603">
        <f>+E11+E12+E13</f>
        <v>66724.51999999999</v>
      </c>
      <c r="F14" s="774" t="s">
        <v>63</v>
      </c>
      <c r="H14" s="321"/>
      <c r="I14" s="321"/>
      <c r="J14" s="321"/>
      <c r="K14" s="473"/>
      <c r="L14" s="321"/>
      <c r="M14" s="321"/>
      <c r="T14" s="971"/>
    </row>
    <row r="15" spans="2:21" ht="18" customHeight="1" x14ac:dyDescent="0.35">
      <c r="E15" s="203" t="s">
        <v>63</v>
      </c>
      <c r="F15" s="106"/>
      <c r="G15" s="4"/>
      <c r="N15" s="4"/>
      <c r="T15" s="971"/>
    </row>
    <row r="16" spans="2:21" ht="18" customHeight="1" x14ac:dyDescent="0.35">
      <c r="B16" s="1442" t="s">
        <v>596</v>
      </c>
      <c r="C16" s="1443"/>
      <c r="D16" s="1443"/>
      <c r="E16" s="1444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971"/>
      <c r="K17" s="101"/>
      <c r="L17" s="101"/>
      <c r="M17" s="101"/>
    </row>
    <row r="18" spans="2:22" ht="18" customHeight="1" x14ac:dyDescent="0.35">
      <c r="B18" s="772" t="s">
        <v>595</v>
      </c>
      <c r="C18" s="315"/>
      <c r="D18" s="194"/>
      <c r="E18" s="598">
        <f>529598.56/12*6</f>
        <v>264799.28000000003</v>
      </c>
      <c r="F18" s="774" t="s">
        <v>63</v>
      </c>
      <c r="K18" s="101"/>
      <c r="L18" s="101"/>
      <c r="M18" s="101"/>
    </row>
    <row r="19" spans="2:22" ht="18" customHeight="1" x14ac:dyDescent="0.35">
      <c r="B19" s="772"/>
      <c r="C19" s="258"/>
      <c r="D19" s="194"/>
      <c r="E19" s="598"/>
      <c r="F19" s="774" t="s">
        <v>63</v>
      </c>
      <c r="K19" s="101"/>
      <c r="L19" s="101"/>
      <c r="M19" s="101"/>
    </row>
    <row r="20" spans="2:22" ht="18" customHeight="1" x14ac:dyDescent="0.35">
      <c r="B20" s="772"/>
      <c r="C20" s="258"/>
      <c r="D20" s="194"/>
      <c r="E20" s="598"/>
      <c r="F20" s="971"/>
      <c r="H20" s="972"/>
      <c r="N20" s="51"/>
      <c r="O20" s="51"/>
      <c r="P20" s="66"/>
      <c r="Q20" s="49"/>
      <c r="R20" s="49"/>
    </row>
    <row r="21" spans="2:22" ht="18" customHeight="1" x14ac:dyDescent="0.35">
      <c r="B21" s="772"/>
      <c r="C21" s="258"/>
      <c r="D21" s="194"/>
      <c r="E21" s="598"/>
      <c r="F21" s="649" t="s">
        <v>63</v>
      </c>
      <c r="H21" s="972"/>
      <c r="N21" s="51"/>
      <c r="O21" s="51"/>
      <c r="P21" s="66"/>
      <c r="Q21" s="49"/>
      <c r="R21" s="49"/>
    </row>
    <row r="22" spans="2:22" ht="18" customHeight="1" x14ac:dyDescent="0.35">
      <c r="B22" s="772"/>
      <c r="C22" s="315"/>
      <c r="D22" s="194"/>
      <c r="E22" s="598"/>
      <c r="F22" s="774"/>
      <c r="G22" s="4"/>
      <c r="L22" s="180"/>
      <c r="M22" s="184"/>
    </row>
    <row r="23" spans="2:22" s="971" customFormat="1" ht="18" customHeight="1" x14ac:dyDescent="0.35">
      <c r="B23" s="772"/>
      <c r="C23" s="258"/>
      <c r="D23" s="194"/>
      <c r="E23" s="598"/>
      <c r="F23" s="774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971" customFormat="1" ht="18" customHeight="1" x14ac:dyDescent="0.35">
      <c r="B24" s="772"/>
      <c r="C24" s="258"/>
      <c r="D24" s="194"/>
      <c r="E24" s="598"/>
      <c r="F24" s="774" t="s">
        <v>63</v>
      </c>
      <c r="G24" s="771" t="s">
        <v>63</v>
      </c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971" customFormat="1" ht="18" customHeight="1" x14ac:dyDescent="0.35">
      <c r="B25" s="1439" t="s">
        <v>389</v>
      </c>
      <c r="C25" s="1440"/>
      <c r="D25" s="1441"/>
      <c r="E25" s="599">
        <f>+E18+E19+E20+E21+E22+E23+E24</f>
        <v>264799.28000000003</v>
      </c>
      <c r="F25" s="774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908" customFormat="1" ht="18" customHeight="1" x14ac:dyDescent="0.35">
      <c r="B26" s="909" t="s">
        <v>515</v>
      </c>
      <c r="C26" s="720"/>
      <c r="D26" s="720"/>
      <c r="E26" s="920" t="s">
        <v>63</v>
      </c>
      <c r="F26" s="769" t="s">
        <v>63</v>
      </c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ht="18" customHeight="1" x14ac:dyDescent="0.35">
      <c r="B27" s="1435" t="s">
        <v>11</v>
      </c>
      <c r="C27" s="1435"/>
      <c r="D27" s="1435"/>
      <c r="E27" s="602">
        <f>+E25</f>
        <v>264799.28000000003</v>
      </c>
      <c r="F27" s="796" t="s">
        <v>63</v>
      </c>
      <c r="G27" s="115"/>
      <c r="M27" s="189"/>
      <c r="N27" s="180"/>
      <c r="O27" s="180"/>
      <c r="P27" s="181"/>
      <c r="Q27" s="181"/>
      <c r="R27" s="181"/>
    </row>
    <row r="28" spans="2:22" ht="18" customHeight="1" x14ac:dyDescent="0.35">
      <c r="B28" s="455"/>
      <c r="C28" s="455"/>
      <c r="D28" s="455"/>
      <c r="E28" s="456"/>
      <c r="F28" s="409"/>
      <c r="G28" s="115"/>
      <c r="M28" s="189"/>
      <c r="N28" s="180"/>
      <c r="O28" s="180"/>
      <c r="P28" s="181"/>
      <c r="Q28" s="181"/>
      <c r="R28" s="181"/>
    </row>
    <row r="29" spans="2:22" ht="18" customHeight="1" x14ac:dyDescent="0.45">
      <c r="B29" s="1450" t="s">
        <v>597</v>
      </c>
      <c r="C29" s="1451"/>
      <c r="D29" s="1451"/>
      <c r="E29" s="1452"/>
      <c r="F29" s="409"/>
      <c r="G29" s="115"/>
      <c r="M29" s="185"/>
      <c r="N29" s="181"/>
      <c r="O29" s="181"/>
      <c r="P29" s="181"/>
      <c r="Q29" s="181"/>
    </row>
    <row r="30" spans="2:22" ht="18" customHeight="1" x14ac:dyDescent="0.35">
      <c r="B30" s="604" t="s">
        <v>7</v>
      </c>
      <c r="C30" s="605" t="s">
        <v>8</v>
      </c>
      <c r="D30" s="606" t="s">
        <v>4</v>
      </c>
      <c r="E30" s="606" t="s">
        <v>9</v>
      </c>
      <c r="M30" s="185"/>
      <c r="N30" s="181"/>
      <c r="O30" s="181"/>
      <c r="P30" s="184"/>
    </row>
    <row r="31" spans="2:22" ht="18" customHeight="1" x14ac:dyDescent="0.35">
      <c r="B31" s="607" t="s">
        <v>595</v>
      </c>
      <c r="C31" s="267"/>
      <c r="D31" s="211"/>
      <c r="E31" s="211">
        <f>227047/12*6</f>
        <v>113523.5</v>
      </c>
      <c r="F31" s="771" t="s">
        <v>63</v>
      </c>
      <c r="G31" s="774" t="s">
        <v>63</v>
      </c>
      <c r="M31" s="182"/>
    </row>
    <row r="32" spans="2:22" ht="18" customHeight="1" x14ac:dyDescent="0.35">
      <c r="B32" s="772"/>
      <c r="C32" s="267"/>
      <c r="D32" s="211"/>
      <c r="E32" s="211"/>
      <c r="F32" s="774"/>
      <c r="I32" s="971"/>
      <c r="J32" s="971"/>
      <c r="K32" s="971"/>
    </row>
    <row r="33" spans="2:15" ht="18" customHeight="1" x14ac:dyDescent="0.35">
      <c r="B33" s="772"/>
      <c r="C33" s="267"/>
      <c r="D33" s="211"/>
      <c r="E33" s="211"/>
      <c r="F33" s="774"/>
      <c r="L33" s="971"/>
    </row>
    <row r="34" spans="2:15" ht="18" customHeight="1" x14ac:dyDescent="0.35">
      <c r="B34" s="772"/>
      <c r="C34" s="267"/>
      <c r="D34" s="211"/>
      <c r="E34" s="211"/>
      <c r="F34" s="774"/>
      <c r="L34" s="971"/>
    </row>
    <row r="35" spans="2:15" ht="18" customHeight="1" x14ac:dyDescent="0.35">
      <c r="B35" s="772"/>
      <c r="C35" s="267"/>
      <c r="D35" s="211"/>
      <c r="E35" s="211"/>
      <c r="F35" s="649" t="s">
        <v>63</v>
      </c>
      <c r="G35" s="180"/>
      <c r="H35" s="180"/>
      <c r="I35" s="181"/>
      <c r="J35" s="187"/>
      <c r="K35" s="188"/>
      <c r="L35" s="971"/>
      <c r="O35" s="971"/>
    </row>
    <row r="36" spans="2:15" ht="18" customHeight="1" x14ac:dyDescent="0.35">
      <c r="B36" s="772"/>
      <c r="C36" s="267"/>
      <c r="D36" s="211"/>
      <c r="E36" s="211"/>
      <c r="F36" s="649"/>
      <c r="G36" s="180"/>
      <c r="H36" s="180"/>
      <c r="I36" s="181"/>
      <c r="J36" s="187"/>
      <c r="K36" s="188"/>
      <c r="L36" s="971"/>
      <c r="O36" s="971"/>
    </row>
    <row r="37" spans="2:15" s="971" customFormat="1" ht="18" customHeight="1" x14ac:dyDescent="0.35">
      <c r="B37" s="1459" t="s">
        <v>99</v>
      </c>
      <c r="C37" s="1459"/>
      <c r="D37" s="1459"/>
      <c r="E37" s="599">
        <f>+E31+E32+E33+E34+E35+E36</f>
        <v>113523.5</v>
      </c>
      <c r="F37" s="774" t="s">
        <v>63</v>
      </c>
      <c r="G37" s="180"/>
      <c r="H37" s="180"/>
      <c r="I37" s="181"/>
      <c r="J37" s="181"/>
      <c r="K37" s="184"/>
      <c r="L37" s="771"/>
      <c r="N37" s="771"/>
      <c r="O37" s="771"/>
    </row>
    <row r="38" spans="2:15" s="971" customFormat="1" ht="18" customHeight="1" x14ac:dyDescent="0.35">
      <c r="B38" s="825" t="s">
        <v>19</v>
      </c>
      <c r="C38" s="826" t="s">
        <v>63</v>
      </c>
      <c r="D38" s="823" t="s">
        <v>63</v>
      </c>
      <c r="E38" s="930" t="s">
        <v>63</v>
      </c>
      <c r="F38" s="774" t="s">
        <v>63</v>
      </c>
      <c r="G38" s="180"/>
      <c r="H38" s="180"/>
      <c r="I38" s="181"/>
      <c r="J38" s="181"/>
      <c r="K38" s="184"/>
      <c r="L38" s="771"/>
      <c r="N38" s="771"/>
      <c r="O38" s="771"/>
    </row>
    <row r="39" spans="2:15" ht="18" customHeight="1" x14ac:dyDescent="0.35">
      <c r="B39" s="786" t="s">
        <v>11</v>
      </c>
      <c r="C39" s="783"/>
      <c r="D39" s="783"/>
      <c r="E39" s="784">
        <f>+E37</f>
        <v>113523.5</v>
      </c>
      <c r="F39" s="774" t="s">
        <v>63</v>
      </c>
      <c r="G39" s="180"/>
      <c r="H39" s="180"/>
      <c r="I39" s="181"/>
      <c r="J39" s="181"/>
      <c r="K39" s="184"/>
    </row>
    <row r="40" spans="2:15" ht="18" customHeight="1" x14ac:dyDescent="0.35">
      <c r="B40" s="594"/>
      <c r="C40" s="594"/>
      <c r="D40" s="594"/>
      <c r="E40" s="595"/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1431" t="s">
        <v>598</v>
      </c>
      <c r="C42" s="1431"/>
      <c r="D42" s="1431"/>
      <c r="E42" s="1431"/>
      <c r="G42" s="180"/>
      <c r="H42" s="180"/>
      <c r="I42" s="181"/>
      <c r="J42" s="181"/>
      <c r="K42" s="184"/>
    </row>
    <row r="43" spans="2:15" ht="18" customHeight="1" x14ac:dyDescent="0.35">
      <c r="B43" s="2" t="s">
        <v>7</v>
      </c>
      <c r="C43" s="270" t="s">
        <v>8</v>
      </c>
      <c r="D43" s="217" t="s">
        <v>4</v>
      </c>
      <c r="E43" s="597" t="s">
        <v>9</v>
      </c>
      <c r="G43" s="180"/>
      <c r="H43" s="180"/>
      <c r="I43" s="181"/>
      <c r="J43" s="181"/>
      <c r="K43" s="184"/>
    </row>
    <row r="44" spans="2:15" ht="18" customHeight="1" x14ac:dyDescent="0.35">
      <c r="B44" s="772" t="s">
        <v>593</v>
      </c>
      <c r="C44" s="258"/>
      <c r="D44" s="194"/>
      <c r="E44" s="598">
        <f>287047.5/12*6</f>
        <v>143523.75</v>
      </c>
      <c r="F44" s="771" t="s">
        <v>63</v>
      </c>
      <c r="G44" s="906" t="s">
        <v>63</v>
      </c>
      <c r="H44" s="180"/>
      <c r="I44" s="181"/>
      <c r="J44" s="181"/>
      <c r="K44" s="184"/>
    </row>
    <row r="45" spans="2:15" ht="18" customHeight="1" x14ac:dyDescent="0.35">
      <c r="B45" s="772"/>
      <c r="C45" s="258"/>
      <c r="D45" s="194"/>
      <c r="E45" s="598"/>
      <c r="F45" s="774" t="s">
        <v>63</v>
      </c>
      <c r="G45" s="180"/>
      <c r="H45" s="180"/>
      <c r="I45" s="181"/>
      <c r="J45" s="181"/>
      <c r="K45" s="184"/>
    </row>
    <row r="46" spans="2:15" ht="15" customHeight="1" x14ac:dyDescent="0.35">
      <c r="B46" s="772"/>
      <c r="C46" s="258"/>
      <c r="D46" s="194"/>
      <c r="E46" s="598"/>
      <c r="G46" s="180"/>
      <c r="H46" s="180"/>
      <c r="I46" s="181"/>
      <c r="J46" s="181"/>
      <c r="K46" s="184"/>
      <c r="L46" s="971"/>
    </row>
    <row r="47" spans="2:15" ht="15" customHeight="1" x14ac:dyDescent="0.35">
      <c r="B47" s="772"/>
      <c r="C47" s="258"/>
      <c r="D47" s="194"/>
      <c r="E47" s="598"/>
      <c r="G47" s="180"/>
      <c r="H47" s="180"/>
      <c r="I47" s="181"/>
      <c r="J47" s="181"/>
      <c r="K47" s="184"/>
      <c r="L47" s="971"/>
    </row>
    <row r="48" spans="2:15" ht="15" customHeight="1" x14ac:dyDescent="0.35">
      <c r="B48" s="772"/>
      <c r="C48" s="315"/>
      <c r="D48" s="194"/>
      <c r="E48" s="598"/>
      <c r="G48" s="180"/>
      <c r="H48" s="180"/>
      <c r="I48" s="181"/>
      <c r="J48" s="181"/>
      <c r="K48" s="184"/>
      <c r="L48" s="971"/>
    </row>
    <row r="49" spans="2:22" ht="15" customHeight="1" x14ac:dyDescent="0.35">
      <c r="B49" s="772"/>
      <c r="C49" s="315"/>
      <c r="D49" s="194"/>
      <c r="E49" s="598"/>
      <c r="G49" s="180"/>
      <c r="H49" s="180"/>
      <c r="I49" s="181"/>
      <c r="J49" s="181"/>
      <c r="K49" s="184"/>
      <c r="L49" s="971"/>
    </row>
    <row r="50" spans="2:22" ht="15" customHeight="1" x14ac:dyDescent="0.35">
      <c r="B50" s="772"/>
      <c r="C50" s="258"/>
      <c r="D50" s="194"/>
      <c r="E50" s="598"/>
      <c r="F50" s="774" t="s">
        <v>63</v>
      </c>
      <c r="M50" s="176"/>
      <c r="N50" s="180"/>
      <c r="O50" s="180"/>
      <c r="P50" s="181"/>
      <c r="Q50" s="181"/>
      <c r="R50" s="184"/>
    </row>
    <row r="51" spans="2:22" ht="15" customHeight="1" x14ac:dyDescent="0.35">
      <c r="B51" s="1432" t="s">
        <v>99</v>
      </c>
      <c r="C51" s="1432"/>
      <c r="D51" s="1432"/>
      <c r="E51" s="599">
        <f>+E44+E45+E46+E47+E50</f>
        <v>143523.75</v>
      </c>
      <c r="F51" s="774" t="s">
        <v>63</v>
      </c>
      <c r="G51" s="774" t="s">
        <v>63</v>
      </c>
      <c r="M51" s="176"/>
      <c r="N51" s="176"/>
      <c r="O51" s="176"/>
      <c r="P51" s="181"/>
      <c r="Q51" s="181"/>
      <c r="R51" s="184"/>
      <c r="T51" s="971"/>
    </row>
    <row r="52" spans="2:22" s="971" customFormat="1" ht="15" customHeight="1" x14ac:dyDescent="0.35">
      <c r="B52" s="723" t="s">
        <v>333</v>
      </c>
      <c r="C52" s="727" t="s">
        <v>63</v>
      </c>
      <c r="D52" s="727" t="s">
        <v>63</v>
      </c>
      <c r="E52" s="722">
        <v>-53929.05</v>
      </c>
      <c r="F52" s="649" t="s">
        <v>63</v>
      </c>
      <c r="G52" s="771"/>
      <c r="H52" s="771"/>
      <c r="I52" s="771"/>
      <c r="J52" s="771"/>
      <c r="K52" s="771"/>
      <c r="L52" s="771"/>
      <c r="M52" s="176"/>
      <c r="N52" s="176"/>
      <c r="O52" s="176"/>
      <c r="P52" s="176"/>
      <c r="Q52" s="176"/>
      <c r="R52" s="176"/>
      <c r="S52" s="771"/>
      <c r="T52" s="771"/>
      <c r="U52" s="771"/>
      <c r="V52" s="771"/>
    </row>
    <row r="53" spans="2:22" s="971" customFormat="1" ht="15" customHeight="1" x14ac:dyDescent="0.35">
      <c r="B53" s="672"/>
      <c r="C53" s="673" t="s">
        <v>11</v>
      </c>
      <c r="D53" s="674"/>
      <c r="E53" s="675">
        <f>+E51+E52</f>
        <v>89594.7</v>
      </c>
      <c r="F53" s="649" t="s">
        <v>63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ht="15" customHeight="1" x14ac:dyDescent="0.35">
      <c r="C54" s="771"/>
      <c r="D54" s="771"/>
      <c r="E54" s="771"/>
      <c r="N54" s="183"/>
      <c r="O54" s="183"/>
      <c r="P54" s="176"/>
      <c r="Q54" s="176"/>
      <c r="R54" s="176"/>
      <c r="T54" s="971"/>
    </row>
    <row r="55" spans="2:22" ht="15" customHeight="1" x14ac:dyDescent="0.35">
      <c r="C55" s="771"/>
      <c r="D55" s="771"/>
      <c r="E55" s="774" t="s">
        <v>63</v>
      </c>
    </row>
    <row r="56" spans="2:22" ht="15" customHeight="1" x14ac:dyDescent="0.35">
      <c r="B56" s="1442" t="s">
        <v>604</v>
      </c>
      <c r="C56" s="1443"/>
      <c r="D56" s="1443"/>
      <c r="E56" s="1444"/>
      <c r="V56" s="971"/>
    </row>
    <row r="57" spans="2:22" x14ac:dyDescent="0.35">
      <c r="B57" s="2" t="s">
        <v>7</v>
      </c>
      <c r="C57" s="270" t="s">
        <v>8</v>
      </c>
      <c r="D57" s="217" t="s">
        <v>4</v>
      </c>
      <c r="E57" s="597" t="s">
        <v>9</v>
      </c>
    </row>
    <row r="58" spans="2:22" x14ac:dyDescent="0.35">
      <c r="B58" s="772" t="s">
        <v>593</v>
      </c>
      <c r="C58" s="258"/>
      <c r="D58" s="227"/>
      <c r="E58" s="598">
        <f>212560/12*6</f>
        <v>106280</v>
      </c>
      <c r="F58" s="774" t="s">
        <v>63</v>
      </c>
    </row>
    <row r="59" spans="2:22" x14ac:dyDescent="0.35">
      <c r="B59" s="772"/>
      <c r="C59" s="258"/>
      <c r="D59" s="227"/>
      <c r="E59" s="598"/>
    </row>
    <row r="60" spans="2:22" x14ac:dyDescent="0.35">
      <c r="B60" s="772"/>
      <c r="C60" s="258"/>
      <c r="D60" s="227"/>
      <c r="E60" s="598"/>
    </row>
    <row r="61" spans="2:22" x14ac:dyDescent="0.35">
      <c r="B61" s="772"/>
      <c r="C61" s="258"/>
      <c r="D61" s="227"/>
      <c r="E61" s="598"/>
    </row>
    <row r="62" spans="2:22" x14ac:dyDescent="0.35">
      <c r="B62" s="772"/>
      <c r="C62" s="258"/>
      <c r="D62" s="194"/>
      <c r="E62" s="598"/>
      <c r="F62" s="774" t="s">
        <v>63</v>
      </c>
      <c r="G62" s="774" t="s">
        <v>63</v>
      </c>
    </row>
    <row r="63" spans="2:22" x14ac:dyDescent="0.35">
      <c r="B63" s="772"/>
      <c r="C63" s="258"/>
      <c r="D63" s="194"/>
      <c r="E63" s="598"/>
      <c r="F63" s="774" t="s">
        <v>63</v>
      </c>
      <c r="G63" s="774"/>
    </row>
    <row r="64" spans="2:22" x14ac:dyDescent="0.35">
      <c r="B64" s="1439" t="s">
        <v>99</v>
      </c>
      <c r="C64" s="1440"/>
      <c r="D64" s="1441"/>
      <c r="E64" s="599">
        <f>+E58+E59+E60+E61+E62</f>
        <v>106280</v>
      </c>
      <c r="F64" s="774" t="s">
        <v>63</v>
      </c>
    </row>
    <row r="65" spans="1:7" x14ac:dyDescent="0.35">
      <c r="B65" s="921" t="s">
        <v>63</v>
      </c>
      <c r="C65" s="922" t="s">
        <v>63</v>
      </c>
      <c r="D65" s="720"/>
      <c r="E65" s="722" t="s">
        <v>63</v>
      </c>
      <c r="F65" s="774" t="s">
        <v>63</v>
      </c>
    </row>
    <row r="66" spans="1:7" x14ac:dyDescent="0.35">
      <c r="B66" s="956" t="s">
        <v>63</v>
      </c>
      <c r="C66" s="957"/>
      <c r="D66" s="886"/>
      <c r="E66" s="722" t="s">
        <v>63</v>
      </c>
      <c r="F66" s="774"/>
    </row>
    <row r="67" spans="1:7" x14ac:dyDescent="0.35">
      <c r="B67" s="672"/>
      <c r="C67" s="673" t="s">
        <v>11</v>
      </c>
      <c r="D67" s="674"/>
      <c r="E67" s="675">
        <f>+E64</f>
        <v>106280</v>
      </c>
      <c r="F67" s="774" t="s">
        <v>63</v>
      </c>
    </row>
    <row r="68" spans="1:7" x14ac:dyDescent="0.35">
      <c r="C68" s="771"/>
      <c r="D68" s="771"/>
      <c r="E68" s="771"/>
    </row>
    <row r="70" spans="1:7" ht="23.5" x14ac:dyDescent="0.35">
      <c r="B70" s="1442" t="s">
        <v>599</v>
      </c>
      <c r="C70" s="1443"/>
      <c r="D70" s="1443"/>
      <c r="E70" s="1444"/>
    </row>
    <row r="71" spans="1:7" x14ac:dyDescent="0.35">
      <c r="B71" s="2" t="s">
        <v>7</v>
      </c>
      <c r="C71" s="270" t="s">
        <v>8</v>
      </c>
      <c r="D71" s="217" t="s">
        <v>4</v>
      </c>
      <c r="E71" s="597" t="s">
        <v>63</v>
      </c>
      <c r="F71" s="771" t="s">
        <v>63</v>
      </c>
    </row>
    <row r="72" spans="1:7" x14ac:dyDescent="0.35">
      <c r="A72" s="771" t="s">
        <v>63</v>
      </c>
      <c r="B72" s="772" t="s">
        <v>593</v>
      </c>
      <c r="C72" s="258"/>
      <c r="D72" s="227"/>
      <c r="E72" s="598">
        <f>192756.25/12*6</f>
        <v>96378.125</v>
      </c>
      <c r="F72" s="771" t="s">
        <v>63</v>
      </c>
    </row>
    <row r="73" spans="1:7" x14ac:dyDescent="0.35">
      <c r="B73" s="772"/>
      <c r="C73" s="258"/>
      <c r="D73" s="227"/>
      <c r="E73" s="598"/>
    </row>
    <row r="74" spans="1:7" x14ac:dyDescent="0.35">
      <c r="B74" s="772"/>
      <c r="C74" s="258"/>
      <c r="D74" s="227"/>
      <c r="E74" s="598"/>
    </row>
    <row r="75" spans="1:7" x14ac:dyDescent="0.35">
      <c r="B75" s="772"/>
      <c r="C75" s="258"/>
      <c r="D75" s="227"/>
      <c r="E75" s="598"/>
    </row>
    <row r="76" spans="1:7" x14ac:dyDescent="0.35">
      <c r="B76" s="772"/>
      <c r="C76" s="258"/>
      <c r="D76" s="227"/>
      <c r="E76" s="598"/>
      <c r="F76" s="774" t="s">
        <v>63</v>
      </c>
    </row>
    <row r="77" spans="1:7" x14ac:dyDescent="0.35">
      <c r="B77" s="772"/>
      <c r="C77" s="258"/>
      <c r="D77" s="227"/>
      <c r="E77" s="598"/>
    </row>
    <row r="78" spans="1:7" x14ac:dyDescent="0.35">
      <c r="B78" s="772"/>
      <c r="C78" s="258"/>
      <c r="D78" s="227"/>
      <c r="E78" s="598"/>
    </row>
    <row r="79" spans="1:7" x14ac:dyDescent="0.35">
      <c r="B79" s="1439" t="s">
        <v>99</v>
      </c>
      <c r="C79" s="1440"/>
      <c r="D79" s="1441"/>
      <c r="E79" s="599">
        <f>+E72+E78</f>
        <v>96378.125</v>
      </c>
      <c r="F79" s="774" t="s">
        <v>63</v>
      </c>
    </row>
    <row r="80" spans="1:7" x14ac:dyDescent="0.35">
      <c r="B80" s="723" t="s">
        <v>63</v>
      </c>
      <c r="C80" s="721"/>
      <c r="D80" s="721"/>
      <c r="E80" s="722" t="s">
        <v>63</v>
      </c>
      <c r="F80" s="774" t="s">
        <v>63</v>
      </c>
      <c r="G80" s="774" t="s">
        <v>63</v>
      </c>
    </row>
    <row r="81" spans="2:8" ht="15.5" x14ac:dyDescent="0.35">
      <c r="B81" s="1446" t="s">
        <v>11</v>
      </c>
      <c r="C81" s="1447"/>
      <c r="D81" s="1448"/>
      <c r="E81" s="603">
        <f>+E79</f>
        <v>96378.125</v>
      </c>
      <c r="F81" s="774" t="s">
        <v>63</v>
      </c>
    </row>
    <row r="82" spans="2:8" x14ac:dyDescent="0.35">
      <c r="F82" s="774" t="s">
        <v>63</v>
      </c>
    </row>
    <row r="83" spans="2:8" x14ac:dyDescent="0.35">
      <c r="F83" s="774" t="s">
        <v>63</v>
      </c>
    </row>
    <row r="84" spans="2:8" ht="23.5" x14ac:dyDescent="0.35">
      <c r="B84" s="1442" t="s">
        <v>600</v>
      </c>
      <c r="C84" s="1443"/>
      <c r="D84" s="1443"/>
      <c r="E84" s="1444"/>
    </row>
    <row r="85" spans="2:8" x14ac:dyDescent="0.35">
      <c r="B85" s="801" t="s">
        <v>7</v>
      </c>
      <c r="C85" s="802" t="s">
        <v>388</v>
      </c>
      <c r="D85" s="803" t="s">
        <v>272</v>
      </c>
      <c r="E85" s="804" t="s">
        <v>9</v>
      </c>
    </row>
    <row r="86" spans="2:8" x14ac:dyDescent="0.35">
      <c r="B86" s="805" t="s">
        <v>593</v>
      </c>
      <c r="C86" s="806"/>
      <c r="D86" s="807"/>
      <c r="E86" s="833">
        <f>204308.75/12*6</f>
        <v>102154.375</v>
      </c>
      <c r="F86" s="771" t="s">
        <v>63</v>
      </c>
    </row>
    <row r="87" spans="2:8" x14ac:dyDescent="0.35">
      <c r="B87" s="805"/>
      <c r="C87" s="806"/>
      <c r="D87" s="807"/>
      <c r="E87" s="833"/>
    </row>
    <row r="88" spans="2:8" x14ac:dyDescent="0.35">
      <c r="B88" s="805"/>
      <c r="C88" s="806"/>
      <c r="D88" s="807"/>
      <c r="E88" s="834"/>
    </row>
    <row r="89" spans="2:8" x14ac:dyDescent="0.35">
      <c r="B89" s="614"/>
      <c r="C89" s="617"/>
      <c r="D89" s="227"/>
      <c r="E89" s="598"/>
    </row>
    <row r="90" spans="2:8" x14ac:dyDescent="0.35">
      <c r="B90" s="614"/>
      <c r="C90" s="617"/>
      <c r="D90" s="227"/>
      <c r="E90" s="598"/>
    </row>
    <row r="91" spans="2:8" x14ac:dyDescent="0.35">
      <c r="B91" s="614"/>
      <c r="C91" s="617"/>
      <c r="D91" s="227"/>
      <c r="E91" s="598"/>
    </row>
    <row r="92" spans="2:8" x14ac:dyDescent="0.35">
      <c r="B92" s="614"/>
      <c r="C92" s="617"/>
      <c r="D92" s="227"/>
      <c r="E92" s="598"/>
      <c r="F92" s="771" t="s">
        <v>63</v>
      </c>
    </row>
    <row r="93" spans="2:8" ht="15.5" x14ac:dyDescent="0.35">
      <c r="B93" s="1433" t="s">
        <v>389</v>
      </c>
      <c r="C93" s="1433"/>
      <c r="D93" s="1433"/>
      <c r="E93" s="603">
        <f>+E86+E87+E88+E89+E90+E92</f>
        <v>102154.375</v>
      </c>
      <c r="F93" s="774" t="s">
        <v>63</v>
      </c>
    </row>
    <row r="94" spans="2:8" ht="15.5" x14ac:dyDescent="0.35">
      <c r="B94" s="723" t="s">
        <v>50</v>
      </c>
      <c r="C94" s="829"/>
      <c r="D94" s="829"/>
      <c r="E94" s="832">
        <v>0</v>
      </c>
      <c r="F94" s="771" t="s">
        <v>63</v>
      </c>
      <c r="G94" s="771" t="s">
        <v>63</v>
      </c>
      <c r="H94" s="771" t="s">
        <v>63</v>
      </c>
    </row>
    <row r="95" spans="2:8" ht="15.5" x14ac:dyDescent="0.35">
      <c r="B95" s="974" t="s">
        <v>63</v>
      </c>
      <c r="C95" s="974" t="s">
        <v>11</v>
      </c>
      <c r="D95" s="974"/>
      <c r="E95" s="603">
        <f>+E93</f>
        <v>102154.375</v>
      </c>
    </row>
    <row r="96" spans="2:8" x14ac:dyDescent="0.35">
      <c r="E96" s="203" t="s">
        <v>63</v>
      </c>
    </row>
    <row r="98" spans="2:6" ht="23.5" x14ac:dyDescent="0.35">
      <c r="B98" s="1442" t="s">
        <v>601</v>
      </c>
      <c r="C98" s="1443"/>
      <c r="D98" s="1443"/>
      <c r="E98" s="1444"/>
    </row>
    <row r="99" spans="2:6" x14ac:dyDescent="0.35">
      <c r="B99" s="2" t="s">
        <v>7</v>
      </c>
      <c r="C99" s="270" t="s">
        <v>8</v>
      </c>
      <c r="D99" s="217" t="s">
        <v>4</v>
      </c>
      <c r="E99" s="597" t="s">
        <v>9</v>
      </c>
    </row>
    <row r="100" spans="2:6" x14ac:dyDescent="0.35">
      <c r="B100" s="772" t="s">
        <v>593</v>
      </c>
      <c r="C100" s="258"/>
      <c r="D100" s="227"/>
      <c r="E100" s="598">
        <f>190365/12*4</f>
        <v>63455</v>
      </c>
      <c r="F100" s="771" t="s">
        <v>63</v>
      </c>
    </row>
    <row r="101" spans="2:6" x14ac:dyDescent="0.35">
      <c r="B101" s="772" t="s">
        <v>605</v>
      </c>
      <c r="C101" s="258"/>
      <c r="D101" s="227"/>
      <c r="E101" s="598"/>
    </row>
    <row r="102" spans="2:6" x14ac:dyDescent="0.35">
      <c r="B102" s="772"/>
      <c r="C102" s="258"/>
      <c r="D102" s="227"/>
      <c r="E102" s="598"/>
    </row>
    <row r="103" spans="2:6" x14ac:dyDescent="0.35">
      <c r="B103" s="772"/>
      <c r="C103" s="258"/>
      <c r="D103" s="194"/>
      <c r="E103" s="598"/>
    </row>
    <row r="104" spans="2:6" x14ac:dyDescent="0.35">
      <c r="B104" s="772"/>
      <c r="C104" s="258"/>
      <c r="D104" s="194"/>
      <c r="E104" s="598"/>
      <c r="F104" s="771" t="s">
        <v>63</v>
      </c>
    </row>
    <row r="105" spans="2:6" x14ac:dyDescent="0.35">
      <c r="B105" s="1439" t="s">
        <v>99</v>
      </c>
      <c r="C105" s="1440"/>
      <c r="D105" s="1441"/>
      <c r="E105" s="599">
        <f>+E100+E101+E102+E103</f>
        <v>63455</v>
      </c>
      <c r="F105" s="774" t="s">
        <v>63</v>
      </c>
    </row>
    <row r="106" spans="2:6" x14ac:dyDescent="0.35">
      <c r="B106" s="724" t="s">
        <v>19</v>
      </c>
      <c r="C106" s="729" t="s">
        <v>63</v>
      </c>
      <c r="D106" s="730" t="s">
        <v>63</v>
      </c>
      <c r="E106" s="731" t="s">
        <v>63</v>
      </c>
      <c r="F106" s="774" t="s">
        <v>63</v>
      </c>
    </row>
    <row r="107" spans="2:6" ht="23.5" x14ac:dyDescent="0.55000000000000004">
      <c r="B107" s="751"/>
      <c r="C107" s="752" t="s">
        <v>11</v>
      </c>
      <c r="D107" s="753"/>
      <c r="E107" s="754">
        <f>+E105</f>
        <v>63455</v>
      </c>
      <c r="F107" s="770" t="s">
        <v>63</v>
      </c>
    </row>
    <row r="110" spans="2:6" ht="23.5" x14ac:dyDescent="0.35">
      <c r="B110" s="1442" t="s">
        <v>602</v>
      </c>
      <c r="C110" s="1443"/>
      <c r="D110" s="1443"/>
      <c r="E110" s="1444"/>
    </row>
    <row r="111" spans="2:6" x14ac:dyDescent="0.35">
      <c r="B111" s="2" t="s">
        <v>7</v>
      </c>
      <c r="C111" s="270" t="s">
        <v>8</v>
      </c>
      <c r="D111" s="217" t="s">
        <v>4</v>
      </c>
      <c r="E111" s="597" t="s">
        <v>9</v>
      </c>
    </row>
    <row r="112" spans="2:6" x14ac:dyDescent="0.35">
      <c r="B112" s="772" t="s">
        <v>593</v>
      </c>
      <c r="C112" s="258"/>
      <c r="D112" s="194"/>
      <c r="E112" s="598">
        <f>225097.5/12*6</f>
        <v>112548.75</v>
      </c>
      <c r="F112" s="774" t="s">
        <v>63</v>
      </c>
    </row>
    <row r="113" spans="2:6" x14ac:dyDescent="0.35">
      <c r="B113" s="772"/>
      <c r="C113" s="258"/>
      <c r="D113" s="194"/>
      <c r="E113" s="609"/>
    </row>
    <row r="114" spans="2:6" x14ac:dyDescent="0.35">
      <c r="B114" s="772"/>
      <c r="C114" s="258"/>
      <c r="D114" s="194"/>
      <c r="E114" s="609"/>
    </row>
    <row r="115" spans="2:6" x14ac:dyDescent="0.35">
      <c r="B115" s="772"/>
      <c r="C115" s="258"/>
      <c r="D115" s="194"/>
      <c r="E115" s="609"/>
    </row>
    <row r="116" spans="2:6" x14ac:dyDescent="0.35">
      <c r="B116" s="614"/>
      <c r="C116" s="617"/>
      <c r="D116" s="227"/>
      <c r="E116" s="609"/>
      <c r="F116" s="774" t="s">
        <v>63</v>
      </c>
    </row>
    <row r="117" spans="2:6" s="764" customFormat="1" x14ac:dyDescent="0.35">
      <c r="B117" s="882" t="s">
        <v>99</v>
      </c>
      <c r="C117" s="883"/>
      <c r="D117" s="883"/>
      <c r="E117" s="884">
        <f>+E112+E113+E114+E115+E116</f>
        <v>112548.75</v>
      </c>
      <c r="F117" s="769" t="s">
        <v>63</v>
      </c>
    </row>
    <row r="118" spans="2:6" x14ac:dyDescent="0.35">
      <c r="B118" s="962" t="s">
        <v>374</v>
      </c>
      <c r="C118" s="709"/>
      <c r="D118" s="619"/>
      <c r="E118" s="730">
        <v>-33500</v>
      </c>
      <c r="F118" s="774" t="s">
        <v>63</v>
      </c>
    </row>
    <row r="119" spans="2:6" x14ac:dyDescent="0.35">
      <c r="B119" s="963" t="s">
        <v>63</v>
      </c>
      <c r="C119" s="960"/>
      <c r="D119" s="961"/>
      <c r="E119" s="730" t="s">
        <v>63</v>
      </c>
      <c r="F119" s="774"/>
    </row>
    <row r="120" spans="2:6" ht="15.5" x14ac:dyDescent="0.35">
      <c r="B120" s="976" t="s">
        <v>11</v>
      </c>
      <c r="C120" s="708"/>
      <c r="D120" s="706"/>
      <c r="E120" s="603">
        <f>+E117+E118</f>
        <v>79048.75</v>
      </c>
      <c r="F120" s="774" t="s">
        <v>63</v>
      </c>
    </row>
    <row r="122" spans="2:6" ht="23.5" x14ac:dyDescent="0.35">
      <c r="B122" s="1442" t="s">
        <v>603</v>
      </c>
      <c r="C122" s="1443"/>
      <c r="D122" s="1443"/>
      <c r="E122" s="1444"/>
    </row>
    <row r="123" spans="2:6" x14ac:dyDescent="0.35">
      <c r="B123" s="2"/>
      <c r="C123" s="270"/>
      <c r="D123" s="217"/>
      <c r="E123" s="597"/>
    </row>
    <row r="124" spans="2:6" x14ac:dyDescent="0.35">
      <c r="B124" s="772" t="s">
        <v>606</v>
      </c>
      <c r="C124" s="258"/>
      <c r="D124" s="194"/>
      <c r="E124" s="598">
        <v>20833</v>
      </c>
    </row>
    <row r="125" spans="2:6" x14ac:dyDescent="0.35">
      <c r="B125" s="772" t="s">
        <v>607</v>
      </c>
      <c r="C125" s="258"/>
      <c r="D125" s="194"/>
      <c r="E125" s="609">
        <v>25000</v>
      </c>
    </row>
    <row r="126" spans="2:6" x14ac:dyDescent="0.35">
      <c r="B126" s="772"/>
      <c r="C126" s="258"/>
      <c r="D126" s="194"/>
      <c r="E126" s="609"/>
    </row>
    <row r="127" spans="2:6" x14ac:dyDescent="0.35">
      <c r="B127" s="772"/>
      <c r="C127" s="258"/>
      <c r="D127" s="194"/>
      <c r="E127" s="609"/>
    </row>
    <row r="128" spans="2:6" x14ac:dyDescent="0.35">
      <c r="B128" s="614"/>
      <c r="C128" s="617"/>
      <c r="D128" s="227"/>
      <c r="E128" s="609"/>
    </row>
    <row r="129" spans="2:6" x14ac:dyDescent="0.35">
      <c r="B129" s="882" t="s">
        <v>389</v>
      </c>
      <c r="C129" s="883"/>
      <c r="D129" s="883"/>
      <c r="E129" s="884">
        <f>+E124+E125</f>
        <v>45833</v>
      </c>
    </row>
    <row r="130" spans="2:6" x14ac:dyDescent="0.35">
      <c r="B130" s="962"/>
      <c r="C130" s="709"/>
      <c r="D130" s="619"/>
      <c r="E130" s="730"/>
      <c r="F130" s="771" t="s">
        <v>63</v>
      </c>
    </row>
    <row r="131" spans="2:6" x14ac:dyDescent="0.35">
      <c r="B131" s="963"/>
      <c r="C131" s="960"/>
      <c r="D131" s="961"/>
      <c r="E131" s="730"/>
      <c r="F131" s="771" t="s">
        <v>63</v>
      </c>
    </row>
    <row r="132" spans="2:6" ht="15.5" x14ac:dyDescent="0.35">
      <c r="B132" s="976" t="s">
        <v>11</v>
      </c>
      <c r="C132" s="708"/>
      <c r="D132" s="706"/>
      <c r="E132" s="603">
        <f>+E129</f>
        <v>45833</v>
      </c>
    </row>
  </sheetData>
  <mergeCells count="21">
    <mergeCell ref="B105:D105"/>
    <mergeCell ref="B110:E110"/>
    <mergeCell ref="B122:E122"/>
    <mergeCell ref="B70:E70"/>
    <mergeCell ref="B79:D79"/>
    <mergeCell ref="B81:D81"/>
    <mergeCell ref="B84:E84"/>
    <mergeCell ref="B93:D93"/>
    <mergeCell ref="B98:E98"/>
    <mergeCell ref="B64:D64"/>
    <mergeCell ref="B3:E3"/>
    <mergeCell ref="B11:D11"/>
    <mergeCell ref="B14:D14"/>
    <mergeCell ref="B16:E16"/>
    <mergeCell ref="B25:D25"/>
    <mergeCell ref="B27:D27"/>
    <mergeCell ref="B29:E29"/>
    <mergeCell ref="B37:D37"/>
    <mergeCell ref="B42:E42"/>
    <mergeCell ref="B51:D51"/>
    <mergeCell ref="B56:E56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V135"/>
  <sheetViews>
    <sheetView zoomScaleNormal="100" workbookViewId="0">
      <selection activeCell="E11" sqref="E11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45292</v>
      </c>
    </row>
    <row r="3" spans="2:21" ht="25.5" customHeight="1" x14ac:dyDescent="0.35">
      <c r="B3" s="1431" t="s">
        <v>639</v>
      </c>
      <c r="C3" s="1431"/>
      <c r="D3" s="1431"/>
      <c r="E3" s="1431"/>
    </row>
    <row r="4" spans="2:21" s="1001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771"/>
      <c r="T4" s="771"/>
      <c r="U4" s="771"/>
    </row>
    <row r="5" spans="2:21" ht="18" customHeight="1" x14ac:dyDescent="0.35">
      <c r="B5" s="772" t="s">
        <v>480</v>
      </c>
      <c r="C5" s="258">
        <v>106</v>
      </c>
      <c r="D5" s="227">
        <f>834.9*1.15*1.1*1.4</f>
        <v>1478.6079</v>
      </c>
      <c r="E5" s="598">
        <f>+C5*D5</f>
        <v>156732.4374</v>
      </c>
      <c r="F5" s="553" t="s">
        <v>640</v>
      </c>
      <c r="T5" s="1001"/>
    </row>
    <row r="6" spans="2:21" ht="18" customHeight="1" x14ac:dyDescent="0.35">
      <c r="B6" s="772" t="s">
        <v>523</v>
      </c>
      <c r="C6" s="258">
        <v>8</v>
      </c>
      <c r="D6" s="227">
        <f>+D5</f>
        <v>1478.6079</v>
      </c>
      <c r="E6" s="598">
        <f>+C6*D6</f>
        <v>11828.8632</v>
      </c>
      <c r="F6" s="774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774" t="s">
        <v>63</v>
      </c>
      <c r="G7" s="771" t="s">
        <v>63</v>
      </c>
    </row>
    <row r="8" spans="2:21" ht="18" customHeight="1" x14ac:dyDescent="0.35">
      <c r="B8" s="772" t="s">
        <v>467</v>
      </c>
      <c r="C8" s="258">
        <v>0</v>
      </c>
      <c r="D8" s="194">
        <f>+D5*1.5</f>
        <v>2217.91185</v>
      </c>
      <c r="E8" s="598">
        <f>+C8*D8</f>
        <v>0</v>
      </c>
      <c r="F8" s="774" t="s">
        <v>63</v>
      </c>
      <c r="G8" s="774"/>
    </row>
    <row r="9" spans="2:21" ht="18" customHeight="1" x14ac:dyDescent="0.35">
      <c r="B9" s="772" t="s">
        <v>489</v>
      </c>
      <c r="C9" s="258" t="s">
        <v>63</v>
      </c>
      <c r="D9" s="194"/>
      <c r="E9" s="598">
        <v>35000</v>
      </c>
      <c r="F9" s="553" t="s">
        <v>63</v>
      </c>
      <c r="G9" s="774" t="s">
        <v>63</v>
      </c>
      <c r="U9" s="1001"/>
    </row>
    <row r="10" spans="2:21" ht="18" customHeight="1" x14ac:dyDescent="0.35">
      <c r="B10" s="772" t="s">
        <v>641</v>
      </c>
      <c r="C10" s="258">
        <v>2</v>
      </c>
      <c r="D10" s="194">
        <v>4000</v>
      </c>
      <c r="E10" s="598">
        <f>+C10*D10</f>
        <v>8000</v>
      </c>
      <c r="F10" s="774" t="s">
        <v>63</v>
      </c>
      <c r="U10" s="1001"/>
    </row>
    <row r="11" spans="2:21" ht="18" customHeight="1" x14ac:dyDescent="0.35">
      <c r="B11" s="1432" t="s">
        <v>99</v>
      </c>
      <c r="C11" s="1432"/>
      <c r="D11" s="1432"/>
      <c r="E11" s="599">
        <f>+E5+E6+E7+E9+E10</f>
        <v>226561.30059999999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1001"/>
    </row>
    <row r="12" spans="2:21" ht="18" customHeight="1" x14ac:dyDescent="0.35">
      <c r="B12" s="1004" t="s">
        <v>384</v>
      </c>
      <c r="C12" s="1003"/>
      <c r="D12" s="1003"/>
      <c r="E12" s="221">
        <v>-96242.6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1001"/>
    </row>
    <row r="13" spans="2:21" ht="18" customHeight="1" x14ac:dyDescent="0.35">
      <c r="B13" s="800" t="s">
        <v>642</v>
      </c>
      <c r="C13" s="721" t="s">
        <v>477</v>
      </c>
      <c r="D13" s="905">
        <f>+E5+E6+E7+E9</f>
        <v>218561.30059999999</v>
      </c>
      <c r="E13" s="722">
        <f>-D13*0.1</f>
        <v>-21856.13006</v>
      </c>
      <c r="F13" s="774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1001"/>
    </row>
    <row r="14" spans="2:21" ht="18" customHeight="1" x14ac:dyDescent="0.35">
      <c r="B14" s="1433" t="s">
        <v>11</v>
      </c>
      <c r="C14" s="1433"/>
      <c r="D14" s="1433"/>
      <c r="E14" s="603">
        <f>+E11+E12+E13</f>
        <v>108462.57053999999</v>
      </c>
      <c r="F14" s="774" t="s">
        <v>63</v>
      </c>
      <c r="H14" s="321"/>
      <c r="I14" s="321"/>
      <c r="J14" s="321"/>
      <c r="K14" s="473"/>
      <c r="L14" s="321"/>
      <c r="M14" s="321"/>
      <c r="T14" s="1001"/>
    </row>
    <row r="15" spans="2:21" ht="18" customHeight="1" x14ac:dyDescent="0.35">
      <c r="E15" s="203" t="s">
        <v>63</v>
      </c>
      <c r="F15" s="106"/>
      <c r="G15" s="4"/>
      <c r="N15" s="4"/>
      <c r="T15" s="1001"/>
    </row>
    <row r="16" spans="2:21" ht="18" customHeight="1" x14ac:dyDescent="0.35">
      <c r="B16" s="1442" t="s">
        <v>643</v>
      </c>
      <c r="C16" s="1443"/>
      <c r="D16" s="1443"/>
      <c r="E16" s="1444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1001"/>
      <c r="K17" s="101"/>
      <c r="L17" s="101"/>
      <c r="M17" s="101"/>
    </row>
    <row r="18" spans="2:22" ht="18" customHeight="1" x14ac:dyDescent="0.35">
      <c r="B18" s="772" t="s">
        <v>3</v>
      </c>
      <c r="C18" s="315">
        <v>79</v>
      </c>
      <c r="D18" s="194">
        <f>1814.7*1.15*1.2*1.2</f>
        <v>3005.1431999999995</v>
      </c>
      <c r="E18" s="598">
        <f>+C18*D18</f>
        <v>237406.31279999996</v>
      </c>
      <c r="F18" s="774" t="s">
        <v>509</v>
      </c>
      <c r="K18" s="101"/>
      <c r="L18" s="101"/>
      <c r="M18" s="101"/>
    </row>
    <row r="19" spans="2:22" ht="18" customHeight="1" x14ac:dyDescent="0.35">
      <c r="B19" s="772" t="s">
        <v>525</v>
      </c>
      <c r="C19" s="258">
        <v>8</v>
      </c>
      <c r="D19" s="194">
        <f>+D18</f>
        <v>3005.1431999999995</v>
      </c>
      <c r="E19" s="598">
        <f>+C19*D19</f>
        <v>24041.145599999996</v>
      </c>
      <c r="F19" s="774" t="s">
        <v>63</v>
      </c>
      <c r="K19" s="101"/>
      <c r="L19" s="101"/>
      <c r="M19" s="101"/>
    </row>
    <row r="20" spans="2:22" ht="18" customHeight="1" x14ac:dyDescent="0.35">
      <c r="B20" s="772" t="s">
        <v>196</v>
      </c>
      <c r="C20" s="258"/>
      <c r="D20" s="194"/>
      <c r="E20" s="598">
        <v>15000</v>
      </c>
      <c r="F20" s="1001"/>
      <c r="H20" s="1002"/>
      <c r="N20" s="51"/>
      <c r="O20" s="51"/>
      <c r="P20" s="66"/>
      <c r="Q20" s="49"/>
      <c r="R20" s="49"/>
    </row>
    <row r="21" spans="2:22" ht="18" customHeight="1" x14ac:dyDescent="0.35">
      <c r="B21" s="772" t="s">
        <v>6</v>
      </c>
      <c r="C21" s="258"/>
      <c r="D21" s="194"/>
      <c r="E21" s="598">
        <v>35000</v>
      </c>
      <c r="F21" s="649" t="s">
        <v>63</v>
      </c>
      <c r="H21" s="1002"/>
      <c r="N21" s="51"/>
      <c r="O21" s="51"/>
      <c r="P21" s="66"/>
      <c r="Q21" s="49"/>
      <c r="R21" s="49"/>
    </row>
    <row r="22" spans="2:22" ht="18" customHeight="1" x14ac:dyDescent="0.35">
      <c r="B22" s="772" t="s">
        <v>507</v>
      </c>
      <c r="C22" s="315">
        <v>0</v>
      </c>
      <c r="D22" s="194">
        <f>+D18*1.5</f>
        <v>4507.7147999999997</v>
      </c>
      <c r="E22" s="598">
        <f>+C22*D22</f>
        <v>0</v>
      </c>
      <c r="F22" s="774"/>
      <c r="G22" s="4"/>
      <c r="L22" s="180"/>
      <c r="M22" s="184"/>
    </row>
    <row r="23" spans="2:22" s="1001" customFormat="1" ht="18" customHeight="1" x14ac:dyDescent="0.35">
      <c r="B23" s="772" t="s">
        <v>644</v>
      </c>
      <c r="C23" s="258">
        <v>0</v>
      </c>
      <c r="D23" s="194">
        <v>10000</v>
      </c>
      <c r="E23" s="598">
        <f>+C23*D23</f>
        <v>0</v>
      </c>
      <c r="F23" s="774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1001" customFormat="1" ht="18" customHeight="1" x14ac:dyDescent="0.35">
      <c r="B24" s="772" t="s">
        <v>546</v>
      </c>
      <c r="C24" s="258"/>
      <c r="D24" s="194"/>
      <c r="E24" s="598">
        <v>65000</v>
      </c>
      <c r="F24" s="774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1001" customFormat="1" ht="18" customHeight="1" x14ac:dyDescent="0.35">
      <c r="B25" s="772" t="s">
        <v>332</v>
      </c>
      <c r="C25" s="258">
        <v>168</v>
      </c>
      <c r="D25" s="194">
        <f>+D18</f>
        <v>3005.1431999999995</v>
      </c>
      <c r="E25" s="598">
        <f>+C25*D25</f>
        <v>504864.05759999994</v>
      </c>
      <c r="F25" s="774"/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1001" customFormat="1" ht="18" customHeight="1" x14ac:dyDescent="0.35">
      <c r="B26" s="1439" t="s">
        <v>389</v>
      </c>
      <c r="C26" s="1440"/>
      <c r="D26" s="1441"/>
      <c r="E26" s="599">
        <f>+E18+E19+E20+E21+E24+E25</f>
        <v>881311.51599999983</v>
      </c>
      <c r="F26" s="774" t="s">
        <v>63</v>
      </c>
      <c r="G26" s="771"/>
      <c r="L26" s="181"/>
      <c r="M26" s="184"/>
      <c r="N26" s="180"/>
      <c r="O26" s="180"/>
      <c r="P26" s="181"/>
      <c r="Q26" s="181"/>
      <c r="R26" s="181"/>
      <c r="S26" s="771"/>
      <c r="V26" s="771"/>
    </row>
    <row r="27" spans="2:22" s="908" customFormat="1" ht="18" customHeight="1" x14ac:dyDescent="0.35">
      <c r="B27" s="909" t="s">
        <v>515</v>
      </c>
      <c r="C27" s="720"/>
      <c r="D27" s="720"/>
      <c r="E27" s="920">
        <v>-300000</v>
      </c>
      <c r="F27" s="769" t="s">
        <v>63</v>
      </c>
      <c r="G27" s="764"/>
      <c r="L27" s="910"/>
      <c r="M27" s="911"/>
      <c r="N27" s="912"/>
      <c r="O27" s="912"/>
      <c r="P27" s="910"/>
      <c r="Q27" s="910"/>
      <c r="R27" s="910"/>
      <c r="S27" s="764"/>
      <c r="V27" s="764"/>
    </row>
    <row r="28" spans="2:22" s="1001" customFormat="1" ht="18" customHeight="1" x14ac:dyDescent="0.35">
      <c r="B28" s="772" t="s">
        <v>79</v>
      </c>
      <c r="C28" s="258"/>
      <c r="D28" s="194"/>
      <c r="E28" s="731">
        <v>-4270</v>
      </c>
      <c r="F28" s="774" t="s">
        <v>63</v>
      </c>
      <c r="G28" s="774" t="s">
        <v>63</v>
      </c>
      <c r="L28" s="181"/>
      <c r="M28" s="184"/>
      <c r="N28" s="180"/>
      <c r="O28" s="180"/>
      <c r="P28" s="181"/>
      <c r="Q28" s="181"/>
      <c r="R28" s="181"/>
      <c r="S28" s="771"/>
      <c r="V28" s="771"/>
    </row>
    <row r="29" spans="2:22" ht="18" customHeight="1" x14ac:dyDescent="0.35">
      <c r="B29" s="1435" t="s">
        <v>11</v>
      </c>
      <c r="C29" s="1435"/>
      <c r="D29" s="1435"/>
      <c r="E29" s="602">
        <f>+E26+E27+E28</f>
        <v>577041.51599999983</v>
      </c>
      <c r="F29" s="796" t="s">
        <v>63</v>
      </c>
      <c r="G29" s="115"/>
      <c r="M29" s="189"/>
      <c r="N29" s="180"/>
      <c r="O29" s="180"/>
      <c r="P29" s="181"/>
      <c r="Q29" s="181"/>
      <c r="R29" s="181"/>
    </row>
    <row r="30" spans="2:22" ht="18" customHeight="1" x14ac:dyDescent="0.35">
      <c r="B30" s="455"/>
      <c r="C30" s="455"/>
      <c r="D30" s="455"/>
      <c r="E30" s="456"/>
      <c r="F30" s="409"/>
      <c r="G30" s="115"/>
      <c r="M30" s="189"/>
      <c r="N30" s="180"/>
      <c r="O30" s="180"/>
      <c r="P30" s="181"/>
      <c r="Q30" s="181"/>
      <c r="R30" s="181"/>
    </row>
    <row r="31" spans="2:22" ht="18" customHeight="1" x14ac:dyDescent="0.45">
      <c r="B31" s="1450" t="s">
        <v>645</v>
      </c>
      <c r="C31" s="1451"/>
      <c r="D31" s="1451"/>
      <c r="E31" s="1452"/>
      <c r="F31" s="409"/>
      <c r="G31" s="115"/>
      <c r="M31" s="185"/>
      <c r="N31" s="181"/>
      <c r="O31" s="181"/>
      <c r="P31" s="181"/>
      <c r="Q31" s="181"/>
    </row>
    <row r="32" spans="2:22" ht="18" customHeight="1" x14ac:dyDescent="0.35">
      <c r="B32" s="604" t="s">
        <v>7</v>
      </c>
      <c r="C32" s="605" t="s">
        <v>8</v>
      </c>
      <c r="D32" s="606" t="s">
        <v>4</v>
      </c>
      <c r="E32" s="606" t="s">
        <v>9</v>
      </c>
      <c r="M32" s="185"/>
      <c r="N32" s="181"/>
      <c r="O32" s="181"/>
      <c r="P32" s="184"/>
    </row>
    <row r="33" spans="2:15" ht="18" customHeight="1" x14ac:dyDescent="0.35">
      <c r="B33" s="607" t="s">
        <v>3</v>
      </c>
      <c r="C33" s="267">
        <v>185</v>
      </c>
      <c r="D33" s="211">
        <f>800*1.15*1.2*1.2</f>
        <v>1324.7999999999997</v>
      </c>
      <c r="E33" s="211">
        <f>+C33*D33</f>
        <v>245087.99999999994</v>
      </c>
      <c r="F33" s="771" t="s">
        <v>509</v>
      </c>
      <c r="G33" s="774" t="s">
        <v>63</v>
      </c>
      <c r="M33" s="182"/>
    </row>
    <row r="34" spans="2:15" ht="18" customHeight="1" x14ac:dyDescent="0.35">
      <c r="B34" s="607" t="s">
        <v>658</v>
      </c>
      <c r="C34" s="267">
        <v>8</v>
      </c>
      <c r="D34" s="211">
        <f>+D33</f>
        <v>1324.7999999999997</v>
      </c>
      <c r="E34" s="211">
        <f>+C34*D34</f>
        <v>10598.399999999998</v>
      </c>
      <c r="G34" s="774"/>
      <c r="M34" s="182"/>
    </row>
    <row r="35" spans="2:15" ht="18" customHeight="1" x14ac:dyDescent="0.35">
      <c r="B35" s="772" t="s">
        <v>525</v>
      </c>
      <c r="C35" s="267">
        <v>8</v>
      </c>
      <c r="D35" s="211">
        <f>+D33</f>
        <v>1324.7999999999997</v>
      </c>
      <c r="E35" s="211">
        <f>+C35*D35</f>
        <v>10598.399999999998</v>
      </c>
      <c r="F35" s="774"/>
      <c r="I35" s="1001"/>
      <c r="J35" s="1001"/>
      <c r="K35" s="1001"/>
    </row>
    <row r="36" spans="2:15" ht="18" customHeight="1" x14ac:dyDescent="0.35">
      <c r="B36" s="772" t="s">
        <v>196</v>
      </c>
      <c r="C36" s="267"/>
      <c r="D36" s="211"/>
      <c r="E36" s="211">
        <v>15000</v>
      </c>
      <c r="F36" s="774"/>
      <c r="L36" s="1001"/>
    </row>
    <row r="37" spans="2:15" ht="18" customHeight="1" x14ac:dyDescent="0.35">
      <c r="B37" s="772" t="s">
        <v>6</v>
      </c>
      <c r="C37" s="267"/>
      <c r="D37" s="211"/>
      <c r="E37" s="211">
        <v>20000</v>
      </c>
      <c r="F37" s="774"/>
      <c r="L37" s="1001"/>
    </row>
    <row r="38" spans="2:15" ht="18" customHeight="1" x14ac:dyDescent="0.35">
      <c r="B38" s="772" t="s">
        <v>468</v>
      </c>
      <c r="C38" s="267">
        <v>0</v>
      </c>
      <c r="D38" s="211">
        <f>+D33*1.5</f>
        <v>1987.1999999999996</v>
      </c>
      <c r="E38" s="211">
        <f>C38*D38</f>
        <v>0</v>
      </c>
      <c r="F38" s="649" t="s">
        <v>63</v>
      </c>
      <c r="G38" s="180"/>
      <c r="H38" s="180"/>
      <c r="I38" s="181"/>
      <c r="J38" s="187"/>
      <c r="K38" s="188"/>
      <c r="L38" s="1001"/>
      <c r="O38" s="1001"/>
    </row>
    <row r="39" spans="2:15" ht="18" customHeight="1" x14ac:dyDescent="0.35">
      <c r="B39" s="772" t="s">
        <v>591</v>
      </c>
      <c r="C39" s="267"/>
      <c r="D39" s="211"/>
      <c r="E39" s="211">
        <v>0</v>
      </c>
      <c r="F39" s="649"/>
      <c r="G39" s="180"/>
      <c r="H39" s="180"/>
      <c r="I39" s="181"/>
      <c r="J39" s="187"/>
      <c r="K39" s="188"/>
      <c r="L39" s="1001"/>
      <c r="O39" s="1001"/>
    </row>
    <row r="40" spans="2:15" s="1001" customFormat="1" ht="18" customHeight="1" x14ac:dyDescent="0.35">
      <c r="B40" s="1459" t="s">
        <v>99</v>
      </c>
      <c r="C40" s="1459"/>
      <c r="D40" s="1459"/>
      <c r="E40" s="599">
        <f>+E33+E34+E35+E36+E37+E38+E39</f>
        <v>301284.79999999993</v>
      </c>
      <c r="F40" s="774" t="s">
        <v>63</v>
      </c>
      <c r="G40" s="180"/>
      <c r="H40" s="180"/>
      <c r="I40" s="181"/>
      <c r="J40" s="181"/>
      <c r="K40" s="184"/>
      <c r="L40" s="771"/>
      <c r="N40" s="771"/>
      <c r="O40" s="771"/>
    </row>
    <row r="41" spans="2:15" s="1001" customFormat="1" ht="18" customHeight="1" x14ac:dyDescent="0.35">
      <c r="B41" s="825" t="s">
        <v>19</v>
      </c>
      <c r="C41" s="826" t="s">
        <v>63</v>
      </c>
      <c r="D41" s="823" t="s">
        <v>63</v>
      </c>
      <c r="E41" s="930">
        <v>-70000</v>
      </c>
      <c r="F41" s="774" t="s">
        <v>63</v>
      </c>
      <c r="G41" s="180"/>
      <c r="H41" s="180"/>
      <c r="I41" s="181"/>
      <c r="J41" s="181"/>
      <c r="K41" s="184"/>
      <c r="L41" s="771"/>
      <c r="N41" s="771"/>
      <c r="O41" s="771"/>
    </row>
    <row r="42" spans="2:15" ht="18" customHeight="1" x14ac:dyDescent="0.35">
      <c r="B42" s="786" t="s">
        <v>11</v>
      </c>
      <c r="C42" s="783"/>
      <c r="D42" s="783"/>
      <c r="E42" s="784">
        <f>+E40+E41</f>
        <v>231284.79999999993</v>
      </c>
      <c r="F42" s="774" t="s">
        <v>63</v>
      </c>
      <c r="G42" s="180"/>
      <c r="H42" s="180"/>
      <c r="I42" s="181"/>
      <c r="J42" s="181"/>
      <c r="K42" s="184"/>
    </row>
    <row r="43" spans="2:15" ht="18" customHeight="1" x14ac:dyDescent="0.35">
      <c r="B43" s="594"/>
      <c r="C43" s="594"/>
      <c r="D43" s="594"/>
      <c r="E43" s="595"/>
      <c r="G43" s="180"/>
      <c r="H43" s="180"/>
      <c r="I43" s="181"/>
      <c r="J43" s="181"/>
      <c r="K43" s="184"/>
    </row>
    <row r="44" spans="2:15" ht="18" customHeight="1" x14ac:dyDescent="0.35">
      <c r="B44" s="594"/>
      <c r="C44" s="594"/>
      <c r="D44" s="594"/>
      <c r="E44" s="595"/>
      <c r="G44" s="180"/>
      <c r="H44" s="180"/>
      <c r="I44" s="181"/>
      <c r="J44" s="181"/>
      <c r="K44" s="184"/>
    </row>
    <row r="45" spans="2:15" ht="18" customHeight="1" x14ac:dyDescent="0.35">
      <c r="B45" s="1431" t="s">
        <v>646</v>
      </c>
      <c r="C45" s="1431"/>
      <c r="D45" s="1431"/>
      <c r="E45" s="1431"/>
      <c r="G45" s="180"/>
      <c r="H45" s="180"/>
      <c r="I45" s="181"/>
      <c r="J45" s="181"/>
      <c r="K45" s="184"/>
    </row>
    <row r="46" spans="2:15" ht="18" customHeight="1" x14ac:dyDescent="0.35">
      <c r="B46" s="2" t="s">
        <v>7</v>
      </c>
      <c r="C46" s="270" t="s">
        <v>8</v>
      </c>
      <c r="D46" s="217" t="s">
        <v>4</v>
      </c>
      <c r="E46" s="597" t="s">
        <v>9</v>
      </c>
      <c r="G46" s="180"/>
      <c r="H46" s="180"/>
      <c r="I46" s="181"/>
      <c r="J46" s="181"/>
      <c r="K46" s="184"/>
    </row>
    <row r="47" spans="2:15" ht="18" customHeight="1" x14ac:dyDescent="0.35">
      <c r="B47" s="772" t="s">
        <v>253</v>
      </c>
      <c r="C47" s="258">
        <v>106</v>
      </c>
      <c r="D47" s="194">
        <f>1050*1.15*1.2*1.2</f>
        <v>1738.8</v>
      </c>
      <c r="E47" s="598">
        <f>+C47*D47</f>
        <v>184312.8</v>
      </c>
      <c r="F47" s="771" t="s">
        <v>509</v>
      </c>
      <c r="G47" s="906" t="s">
        <v>63</v>
      </c>
      <c r="H47" s="180"/>
      <c r="I47" s="181"/>
      <c r="J47" s="181"/>
      <c r="K47" s="184"/>
    </row>
    <row r="48" spans="2:15" ht="18" customHeight="1" x14ac:dyDescent="0.35">
      <c r="B48" s="772" t="s">
        <v>520</v>
      </c>
      <c r="C48" s="258">
        <v>8</v>
      </c>
      <c r="D48" s="194">
        <f>+D47</f>
        <v>1738.8</v>
      </c>
      <c r="E48" s="598">
        <f>+C48*D48</f>
        <v>13910.4</v>
      </c>
      <c r="F48" s="774" t="s">
        <v>63</v>
      </c>
      <c r="G48" s="180"/>
      <c r="H48" s="180"/>
      <c r="I48" s="181"/>
      <c r="J48" s="181"/>
      <c r="K48" s="184"/>
    </row>
    <row r="49" spans="2:22" ht="15" customHeight="1" x14ac:dyDescent="0.35">
      <c r="B49" s="772" t="s">
        <v>196</v>
      </c>
      <c r="C49" s="258"/>
      <c r="D49" s="194"/>
      <c r="E49" s="598">
        <v>15000</v>
      </c>
      <c r="G49" s="180"/>
      <c r="H49" s="180"/>
      <c r="I49" s="181"/>
      <c r="J49" s="181"/>
      <c r="K49" s="184"/>
      <c r="L49" s="1001"/>
    </row>
    <row r="50" spans="2:22" ht="15" customHeight="1" x14ac:dyDescent="0.35">
      <c r="B50" s="772" t="s">
        <v>6</v>
      </c>
      <c r="C50" s="258"/>
      <c r="D50" s="194"/>
      <c r="E50" s="598">
        <v>35000</v>
      </c>
      <c r="G50" s="180"/>
      <c r="H50" s="180"/>
      <c r="I50" s="181"/>
      <c r="J50" s="181"/>
      <c r="K50" s="184"/>
      <c r="L50" s="1001"/>
    </row>
    <row r="51" spans="2:22" ht="15" customHeight="1" x14ac:dyDescent="0.35">
      <c r="B51" s="772" t="s">
        <v>195</v>
      </c>
      <c r="C51" s="315">
        <v>0</v>
      </c>
      <c r="D51" s="194">
        <f>+D47*1.5</f>
        <v>2608.1999999999998</v>
      </c>
      <c r="E51" s="598">
        <f>+C51*D51</f>
        <v>0</v>
      </c>
      <c r="G51" s="180"/>
      <c r="H51" s="180"/>
      <c r="I51" s="181"/>
      <c r="J51" s="181"/>
      <c r="K51" s="184"/>
      <c r="L51" s="1001"/>
    </row>
    <row r="52" spans="2:22" ht="15" customHeight="1" x14ac:dyDescent="0.35">
      <c r="B52" s="772" t="s">
        <v>449</v>
      </c>
      <c r="C52" s="315">
        <v>0</v>
      </c>
      <c r="D52" s="194">
        <f>+D47*2</f>
        <v>3477.6</v>
      </c>
      <c r="E52" s="598">
        <f>+C52*D52</f>
        <v>0</v>
      </c>
      <c r="G52" s="180"/>
      <c r="H52" s="180"/>
      <c r="I52" s="181"/>
      <c r="J52" s="181"/>
      <c r="K52" s="184"/>
      <c r="L52" s="1001"/>
    </row>
    <row r="53" spans="2:22" ht="15" customHeight="1" x14ac:dyDescent="0.35">
      <c r="B53" s="772" t="s">
        <v>647</v>
      </c>
      <c r="C53" s="258">
        <v>2</v>
      </c>
      <c r="D53" s="194">
        <v>4000</v>
      </c>
      <c r="E53" s="598">
        <f>+C53*D53</f>
        <v>8000</v>
      </c>
      <c r="F53" s="774" t="s">
        <v>63</v>
      </c>
      <c r="M53" s="176"/>
      <c r="N53" s="180"/>
      <c r="O53" s="180"/>
      <c r="P53" s="181"/>
      <c r="Q53" s="181"/>
      <c r="R53" s="184"/>
    </row>
    <row r="54" spans="2:22" ht="15" customHeight="1" x14ac:dyDescent="0.35">
      <c r="B54" s="772" t="s">
        <v>357</v>
      </c>
      <c r="C54" s="258">
        <v>112</v>
      </c>
      <c r="D54" s="194">
        <f>+D48</f>
        <v>1738.8</v>
      </c>
      <c r="E54" s="598">
        <f>+C54*D54</f>
        <v>194745.60000000001</v>
      </c>
      <c r="F54" s="774"/>
      <c r="M54" s="176"/>
      <c r="N54" s="180"/>
      <c r="O54" s="180"/>
      <c r="P54" s="181"/>
      <c r="Q54" s="181"/>
      <c r="R54" s="184"/>
    </row>
    <row r="55" spans="2:22" ht="15" customHeight="1" x14ac:dyDescent="0.35">
      <c r="B55" s="1432" t="s">
        <v>99</v>
      </c>
      <c r="C55" s="1432"/>
      <c r="D55" s="1432"/>
      <c r="E55" s="599">
        <f>+E47+E48+E49+E50+E53+E54</f>
        <v>450968.8</v>
      </c>
      <c r="F55" s="774" t="s">
        <v>63</v>
      </c>
      <c r="G55" s="774" t="s">
        <v>63</v>
      </c>
      <c r="M55" s="176"/>
      <c r="N55" s="176"/>
      <c r="O55" s="176"/>
      <c r="P55" s="181"/>
      <c r="Q55" s="181"/>
      <c r="R55" s="184"/>
      <c r="T55" s="1001"/>
    </row>
    <row r="56" spans="2:22" s="1001" customFormat="1" ht="15" customHeight="1" x14ac:dyDescent="0.35">
      <c r="B56" s="723" t="s">
        <v>630</v>
      </c>
      <c r="C56" s="727" t="s">
        <v>63</v>
      </c>
      <c r="D56" s="727" t="s">
        <v>63</v>
      </c>
      <c r="E56" s="722">
        <v>-178898.34</v>
      </c>
      <c r="F56" s="649" t="s">
        <v>63</v>
      </c>
      <c r="G56" s="771"/>
      <c r="H56" s="771"/>
      <c r="I56" s="771"/>
      <c r="J56" s="771"/>
      <c r="K56" s="771"/>
      <c r="L56" s="771"/>
      <c r="M56" s="176"/>
      <c r="N56" s="176"/>
      <c r="O56" s="176"/>
      <c r="P56" s="176"/>
      <c r="Q56" s="176"/>
      <c r="R56" s="176"/>
      <c r="S56" s="771"/>
      <c r="T56" s="771"/>
      <c r="U56" s="771"/>
      <c r="V56" s="771"/>
    </row>
    <row r="57" spans="2:22" s="1001" customFormat="1" ht="15" customHeight="1" x14ac:dyDescent="0.35">
      <c r="B57" s="872" t="s">
        <v>648</v>
      </c>
      <c r="C57" s="873"/>
      <c r="D57" s="874"/>
      <c r="E57" s="722">
        <v>-60514.73</v>
      </c>
      <c r="F57" s="649"/>
      <c r="G57" s="771"/>
      <c r="H57" s="771"/>
      <c r="I57" s="771"/>
      <c r="J57" s="771"/>
      <c r="K57" s="771"/>
      <c r="L57" s="771"/>
      <c r="M57" s="176"/>
      <c r="N57" s="176"/>
      <c r="O57" s="176"/>
      <c r="P57" s="176"/>
      <c r="Q57" s="176"/>
      <c r="R57" s="176"/>
      <c r="S57" s="771"/>
      <c r="T57" s="771"/>
      <c r="U57" s="771"/>
      <c r="V57" s="771"/>
    </row>
    <row r="58" spans="2:22" s="1001" customFormat="1" ht="15" customHeight="1" x14ac:dyDescent="0.35">
      <c r="B58" s="672"/>
      <c r="C58" s="673" t="s">
        <v>11</v>
      </c>
      <c r="D58" s="674"/>
      <c r="E58" s="675">
        <f>+E55+E56+E57</f>
        <v>211555.72999999995</v>
      </c>
      <c r="F58" s="649" t="s">
        <v>63</v>
      </c>
      <c r="G58" s="771"/>
      <c r="H58" s="771"/>
      <c r="I58" s="771"/>
      <c r="J58" s="771"/>
      <c r="K58" s="771"/>
      <c r="L58" s="771"/>
      <c r="M58" s="176"/>
      <c r="N58" s="176"/>
      <c r="O58" s="176"/>
      <c r="P58" s="176"/>
      <c r="Q58" s="176"/>
      <c r="R58" s="176"/>
      <c r="S58" s="771"/>
      <c r="T58" s="771"/>
      <c r="U58" s="771"/>
      <c r="V58" s="771"/>
    </row>
    <row r="59" spans="2:22" ht="15" customHeight="1" x14ac:dyDescent="0.35">
      <c r="C59" s="771"/>
      <c r="D59" s="771"/>
      <c r="E59" s="771"/>
      <c r="F59" s="774" t="s">
        <v>63</v>
      </c>
      <c r="N59" s="183"/>
      <c r="O59" s="183"/>
      <c r="P59" s="176"/>
      <c r="Q59" s="176"/>
      <c r="R59" s="176"/>
      <c r="T59" s="1001"/>
    </row>
    <row r="60" spans="2:22" ht="15" customHeight="1" x14ac:dyDescent="0.35">
      <c r="C60" s="771"/>
      <c r="D60" s="771"/>
      <c r="E60" s="774" t="s">
        <v>63</v>
      </c>
    </row>
    <row r="61" spans="2:22" ht="15" customHeight="1" x14ac:dyDescent="0.35">
      <c r="B61" s="1442" t="s">
        <v>649</v>
      </c>
      <c r="C61" s="1443"/>
      <c r="D61" s="1443"/>
      <c r="E61" s="1444"/>
      <c r="V61" s="1001"/>
    </row>
    <row r="62" spans="2:22" x14ac:dyDescent="0.35">
      <c r="B62" s="2" t="s">
        <v>7</v>
      </c>
      <c r="C62" s="270" t="s">
        <v>8</v>
      </c>
      <c r="D62" s="217" t="s">
        <v>4</v>
      </c>
      <c r="E62" s="597" t="s">
        <v>9</v>
      </c>
    </row>
    <row r="63" spans="2:22" x14ac:dyDescent="0.35">
      <c r="B63" s="772" t="s">
        <v>501</v>
      </c>
      <c r="C63" s="258">
        <v>150</v>
      </c>
      <c r="D63" s="227">
        <f>800*1.15*1.1*1.2</f>
        <v>1214.3999999999999</v>
      </c>
      <c r="E63" s="598">
        <f>+C63*D63</f>
        <v>182159.99999999997</v>
      </c>
      <c r="F63" s="774" t="s">
        <v>362</v>
      </c>
    </row>
    <row r="64" spans="2:22" x14ac:dyDescent="0.35">
      <c r="B64" s="772" t="s">
        <v>650</v>
      </c>
      <c r="C64" s="258">
        <v>8</v>
      </c>
      <c r="D64" s="227">
        <f>+D63</f>
        <v>1214.3999999999999</v>
      </c>
      <c r="E64" s="598">
        <f>+C64*D64</f>
        <v>9715.1999999999989</v>
      </c>
    </row>
    <row r="65" spans="1:7" x14ac:dyDescent="0.35">
      <c r="B65" s="772" t="s">
        <v>490</v>
      </c>
      <c r="C65" s="258"/>
      <c r="D65" s="227"/>
      <c r="E65" s="598">
        <v>15000</v>
      </c>
    </row>
    <row r="66" spans="1:7" x14ac:dyDescent="0.35">
      <c r="B66" s="772" t="s">
        <v>489</v>
      </c>
      <c r="C66" s="258"/>
      <c r="D66" s="227"/>
      <c r="E66" s="598">
        <v>20000</v>
      </c>
    </row>
    <row r="67" spans="1:7" x14ac:dyDescent="0.35">
      <c r="B67" s="772" t="s">
        <v>195</v>
      </c>
      <c r="C67" s="258">
        <v>0</v>
      </c>
      <c r="D67" s="194">
        <f>+D63*1.5</f>
        <v>1821.6</v>
      </c>
      <c r="E67" s="598">
        <f>+C67*D67</f>
        <v>0</v>
      </c>
      <c r="F67" s="774" t="s">
        <v>63</v>
      </c>
      <c r="G67" s="774" t="s">
        <v>63</v>
      </c>
    </row>
    <row r="68" spans="1:7" x14ac:dyDescent="0.35">
      <c r="B68" s="772" t="s">
        <v>449</v>
      </c>
      <c r="C68" s="258" t="s">
        <v>63</v>
      </c>
      <c r="D68" s="194" t="s">
        <v>63</v>
      </c>
      <c r="E68" s="598" t="s">
        <v>63</v>
      </c>
      <c r="F68" s="774" t="s">
        <v>63</v>
      </c>
      <c r="G68" s="774"/>
    </row>
    <row r="69" spans="1:7" x14ac:dyDescent="0.35">
      <c r="B69" s="1439" t="s">
        <v>99</v>
      </c>
      <c r="C69" s="1440"/>
      <c r="D69" s="1441"/>
      <c r="E69" s="599">
        <f>+E63+E64+E65+E66</f>
        <v>226875.19999999998</v>
      </c>
      <c r="F69" s="774" t="s">
        <v>63</v>
      </c>
    </row>
    <row r="70" spans="1:7" x14ac:dyDescent="0.35">
      <c r="B70" s="921" t="s">
        <v>609</v>
      </c>
      <c r="C70" s="922">
        <f>+E63+E64+E65+E66</f>
        <v>226875.19999999998</v>
      </c>
      <c r="D70" s="720"/>
      <c r="E70" s="722">
        <f>-C70*0.1</f>
        <v>-22687.52</v>
      </c>
      <c r="F70" s="774" t="s">
        <v>63</v>
      </c>
    </row>
    <row r="71" spans="1:7" x14ac:dyDescent="0.35">
      <c r="B71" s="672"/>
      <c r="C71" s="673" t="s">
        <v>11</v>
      </c>
      <c r="D71" s="674"/>
      <c r="E71" s="675">
        <f>+E69+E70</f>
        <v>204187.68</v>
      </c>
      <c r="F71" s="774"/>
    </row>
    <row r="72" spans="1:7" x14ac:dyDescent="0.35">
      <c r="C72" s="771"/>
      <c r="D72" s="771"/>
      <c r="E72" s="771"/>
    </row>
    <row r="74" spans="1:7" ht="23.5" x14ac:dyDescent="0.35">
      <c r="B74" s="1442" t="s">
        <v>663</v>
      </c>
      <c r="C74" s="1443"/>
      <c r="D74" s="1443"/>
      <c r="E74" s="1444"/>
    </row>
    <row r="75" spans="1:7" x14ac:dyDescent="0.35">
      <c r="B75" s="2" t="s">
        <v>7</v>
      </c>
      <c r="C75" s="270" t="s">
        <v>8</v>
      </c>
      <c r="D75" s="217" t="s">
        <v>4</v>
      </c>
      <c r="E75" s="597" t="s">
        <v>63</v>
      </c>
      <c r="F75" s="771" t="s">
        <v>63</v>
      </c>
    </row>
    <row r="76" spans="1:7" x14ac:dyDescent="0.35">
      <c r="A76" s="771" t="s">
        <v>63</v>
      </c>
      <c r="B76" s="772" t="s">
        <v>3</v>
      </c>
      <c r="C76" s="258">
        <v>194</v>
      </c>
      <c r="D76" s="227">
        <f>750*1.15*1.2*1.1</f>
        <v>1138.4999999999998</v>
      </c>
      <c r="E76" s="598">
        <f>+C76*D76</f>
        <v>220868.99999999994</v>
      </c>
      <c r="F76" s="771" t="s">
        <v>362</v>
      </c>
    </row>
    <row r="77" spans="1:7" x14ac:dyDescent="0.35">
      <c r="B77" s="772" t="s">
        <v>530</v>
      </c>
      <c r="C77" s="258">
        <v>8</v>
      </c>
      <c r="D77" s="227">
        <f>+D76</f>
        <v>1138.4999999999998</v>
      </c>
      <c r="E77" s="598">
        <f>+C77*D77</f>
        <v>9107.9999999999982</v>
      </c>
    </row>
    <row r="78" spans="1:7" x14ac:dyDescent="0.35">
      <c r="B78" s="772" t="s">
        <v>196</v>
      </c>
      <c r="C78" s="258"/>
      <c r="D78" s="227"/>
      <c r="E78" s="598">
        <v>15000</v>
      </c>
    </row>
    <row r="79" spans="1:7" x14ac:dyDescent="0.35">
      <c r="B79" s="772" t="s">
        <v>6</v>
      </c>
      <c r="C79" s="258" t="s">
        <v>63</v>
      </c>
      <c r="D79" s="227" t="s">
        <v>63</v>
      </c>
      <c r="E79" s="598">
        <v>10000</v>
      </c>
    </row>
    <row r="80" spans="1:7" x14ac:dyDescent="0.35">
      <c r="B80" s="772" t="s">
        <v>270</v>
      </c>
      <c r="C80" s="258">
        <v>0</v>
      </c>
      <c r="D80" s="227">
        <f>+D76*1.5</f>
        <v>1707.7499999999995</v>
      </c>
      <c r="E80" s="598">
        <f>+C80*D80</f>
        <v>0</v>
      </c>
      <c r="F80" s="774" t="s">
        <v>63</v>
      </c>
    </row>
    <row r="81" spans="2:8" x14ac:dyDescent="0.35">
      <c r="B81" s="772" t="s">
        <v>281</v>
      </c>
      <c r="C81" s="258" t="s">
        <v>63</v>
      </c>
      <c r="D81" s="227" t="s">
        <v>63</v>
      </c>
      <c r="E81" s="598" t="s">
        <v>63</v>
      </c>
    </row>
    <row r="82" spans="2:8" x14ac:dyDescent="0.35">
      <c r="B82" s="1439" t="s">
        <v>99</v>
      </c>
      <c r="C82" s="1440"/>
      <c r="D82" s="1441"/>
      <c r="E82" s="599">
        <f>+E76+E77+E78+E79</f>
        <v>254976.99999999994</v>
      </c>
      <c r="F82" s="774" t="s">
        <v>63</v>
      </c>
    </row>
    <row r="83" spans="2:8" x14ac:dyDescent="0.35">
      <c r="B83" s="723" t="s">
        <v>19</v>
      </c>
      <c r="C83" s="721"/>
      <c r="D83" s="721"/>
      <c r="E83" s="722">
        <v>-30000</v>
      </c>
      <c r="F83" s="774" t="s">
        <v>63</v>
      </c>
      <c r="G83" s="774" t="s">
        <v>63</v>
      </c>
    </row>
    <row r="84" spans="2:8" ht="15.5" x14ac:dyDescent="0.35">
      <c r="B84" s="1446" t="s">
        <v>11</v>
      </c>
      <c r="C84" s="1447"/>
      <c r="D84" s="1448"/>
      <c r="E84" s="603">
        <f>+E82+E83</f>
        <v>224976.99999999994</v>
      </c>
      <c r="F84" s="774" t="s">
        <v>63</v>
      </c>
    </row>
    <row r="85" spans="2:8" x14ac:dyDescent="0.35">
      <c r="F85" s="774" t="s">
        <v>63</v>
      </c>
    </row>
    <row r="86" spans="2:8" x14ac:dyDescent="0.35">
      <c r="F86" s="774" t="s">
        <v>63</v>
      </c>
    </row>
    <row r="87" spans="2:8" ht="23.5" x14ac:dyDescent="0.35">
      <c r="B87" s="1431" t="s">
        <v>651</v>
      </c>
      <c r="C87" s="1431"/>
      <c r="D87" s="1431"/>
      <c r="E87" s="1431"/>
    </row>
    <row r="88" spans="2:8" x14ac:dyDescent="0.35">
      <c r="B88" s="801" t="s">
        <v>7</v>
      </c>
      <c r="C88" s="802" t="s">
        <v>388</v>
      </c>
      <c r="D88" s="803" t="s">
        <v>272</v>
      </c>
      <c r="E88" s="804" t="s">
        <v>9</v>
      </c>
    </row>
    <row r="89" spans="2:8" x14ac:dyDescent="0.35">
      <c r="B89" s="805" t="s">
        <v>3</v>
      </c>
      <c r="C89" s="806">
        <v>194</v>
      </c>
      <c r="D89" s="807">
        <f>750*1.15*1.2*1.1</f>
        <v>1138.4999999999998</v>
      </c>
      <c r="E89" s="833">
        <f>+C89*D89</f>
        <v>220868.99999999994</v>
      </c>
      <c r="F89" s="771" t="s">
        <v>362</v>
      </c>
    </row>
    <row r="90" spans="2:8" x14ac:dyDescent="0.35">
      <c r="B90" s="805" t="s">
        <v>316</v>
      </c>
      <c r="C90" s="806">
        <v>8</v>
      </c>
      <c r="D90" s="807">
        <f>+D89</f>
        <v>1138.4999999999998</v>
      </c>
      <c r="E90" s="833">
        <f>+C90*D90</f>
        <v>9107.9999999999982</v>
      </c>
      <c r="F90" s="774" t="s">
        <v>63</v>
      </c>
    </row>
    <row r="91" spans="2:8" x14ac:dyDescent="0.35">
      <c r="B91" s="805" t="s">
        <v>6</v>
      </c>
      <c r="C91" s="806" t="s">
        <v>63</v>
      </c>
      <c r="D91" s="807" t="s">
        <v>63</v>
      </c>
      <c r="E91" s="834">
        <v>10000</v>
      </c>
    </row>
    <row r="92" spans="2:8" x14ac:dyDescent="0.35">
      <c r="B92" s="614" t="s">
        <v>200</v>
      </c>
      <c r="C92" s="617"/>
      <c r="D92" s="227"/>
      <c r="E92" s="598">
        <v>15000</v>
      </c>
    </row>
    <row r="93" spans="2:8" x14ac:dyDescent="0.35">
      <c r="B93" s="614" t="s">
        <v>475</v>
      </c>
      <c r="C93" s="617">
        <v>0</v>
      </c>
      <c r="D93" s="227">
        <f>+D89*1.5</f>
        <v>1707.7499999999995</v>
      </c>
      <c r="E93" s="598">
        <f>+C93*D93</f>
        <v>0</v>
      </c>
      <c r="F93" s="774" t="s">
        <v>63</v>
      </c>
    </row>
    <row r="94" spans="2:8" ht="15.5" x14ac:dyDescent="0.35">
      <c r="B94" s="1433" t="s">
        <v>389</v>
      </c>
      <c r="C94" s="1433"/>
      <c r="D94" s="1433"/>
      <c r="E94" s="603">
        <f>+E89+E90+E91+E92</f>
        <v>254976.99999999994</v>
      </c>
      <c r="F94" s="774" t="s">
        <v>63</v>
      </c>
    </row>
    <row r="95" spans="2:8" ht="15.5" x14ac:dyDescent="0.35">
      <c r="B95" s="723" t="s">
        <v>652</v>
      </c>
      <c r="C95" s="1000">
        <f>+E89+E90+E91+E92</f>
        <v>254976.99999999994</v>
      </c>
      <c r="D95" s="1000">
        <f>+C95*10/100</f>
        <v>25497.699999999997</v>
      </c>
      <c r="E95" s="832">
        <f>-D95</f>
        <v>-25497.699999999997</v>
      </c>
      <c r="F95" s="771" t="s">
        <v>63</v>
      </c>
      <c r="G95" s="771" t="s">
        <v>63</v>
      </c>
      <c r="H95" s="771" t="s">
        <v>63</v>
      </c>
    </row>
    <row r="96" spans="2:8" ht="15.5" x14ac:dyDescent="0.35">
      <c r="B96" s="723" t="s">
        <v>631</v>
      </c>
      <c r="C96" s="1000"/>
      <c r="D96" s="1000"/>
      <c r="E96" s="832">
        <v>-60000</v>
      </c>
    </row>
    <row r="97" spans="2:7" ht="15.5" x14ac:dyDescent="0.35">
      <c r="B97" s="723" t="s">
        <v>19</v>
      </c>
      <c r="C97" s="1000"/>
      <c r="D97" s="1000"/>
      <c r="E97" s="832">
        <v>-60000</v>
      </c>
    </row>
    <row r="98" spans="2:7" ht="15.5" x14ac:dyDescent="0.35">
      <c r="B98" s="1005" t="s">
        <v>63</v>
      </c>
      <c r="C98" s="1005" t="s">
        <v>11</v>
      </c>
      <c r="D98" s="1005"/>
      <c r="E98" s="603">
        <f>+E94+E95+E96+E97</f>
        <v>109479.29999999993</v>
      </c>
    </row>
    <row r="99" spans="2:7" x14ac:dyDescent="0.35">
      <c r="E99" s="203" t="s">
        <v>63</v>
      </c>
    </row>
    <row r="101" spans="2:7" ht="23.5" x14ac:dyDescent="0.35">
      <c r="B101" s="1431" t="s">
        <v>653</v>
      </c>
      <c r="C101" s="1431"/>
      <c r="D101" s="1431"/>
      <c r="E101" s="1431"/>
    </row>
    <row r="102" spans="2:7" x14ac:dyDescent="0.35">
      <c r="B102" s="2" t="s">
        <v>7</v>
      </c>
      <c r="C102" s="270" t="s">
        <v>8</v>
      </c>
      <c r="D102" s="217" t="s">
        <v>4</v>
      </c>
      <c r="E102" s="597" t="s">
        <v>9</v>
      </c>
    </row>
    <row r="103" spans="2:7" x14ac:dyDescent="0.35">
      <c r="B103" s="772" t="s">
        <v>3</v>
      </c>
      <c r="C103" s="258">
        <v>159</v>
      </c>
      <c r="D103" s="227">
        <v>1138.5</v>
      </c>
      <c r="E103" s="598">
        <f>+C103*D103</f>
        <v>181021.5</v>
      </c>
      <c r="F103" s="771" t="s">
        <v>654</v>
      </c>
      <c r="G103" s="771" t="s">
        <v>63</v>
      </c>
    </row>
    <row r="104" spans="2:7" x14ac:dyDescent="0.35">
      <c r="B104" s="772" t="s">
        <v>655</v>
      </c>
      <c r="C104" s="258">
        <v>8</v>
      </c>
      <c r="D104" s="227">
        <f>+D103</f>
        <v>1138.5</v>
      </c>
      <c r="E104" s="598">
        <f>+C104*D104</f>
        <v>9108</v>
      </c>
    </row>
    <row r="105" spans="2:7" x14ac:dyDescent="0.35">
      <c r="B105" s="772" t="s">
        <v>200</v>
      </c>
      <c r="C105" s="258"/>
      <c r="D105" s="227"/>
      <c r="E105" s="598">
        <v>15000</v>
      </c>
    </row>
    <row r="106" spans="2:7" x14ac:dyDescent="0.35">
      <c r="B106" s="772" t="s">
        <v>6</v>
      </c>
      <c r="C106" s="258" t="s">
        <v>63</v>
      </c>
      <c r="D106" s="194" t="s">
        <v>63</v>
      </c>
      <c r="E106" s="598">
        <v>20000</v>
      </c>
    </row>
    <row r="107" spans="2:7" x14ac:dyDescent="0.35">
      <c r="B107" s="772" t="s">
        <v>270</v>
      </c>
      <c r="C107" s="258">
        <v>0</v>
      </c>
      <c r="D107" s="194">
        <f>+D103*1.5</f>
        <v>1707.75</v>
      </c>
      <c r="E107" s="598">
        <f>+C107*D107</f>
        <v>0</v>
      </c>
      <c r="F107" s="771" t="s">
        <v>63</v>
      </c>
    </row>
    <row r="108" spans="2:7" x14ac:dyDescent="0.35">
      <c r="B108" s="1432" t="s">
        <v>99</v>
      </c>
      <c r="C108" s="1432"/>
      <c r="D108" s="1432"/>
      <c r="E108" s="599">
        <f>+E103+E104+E105+E106</f>
        <v>225129.5</v>
      </c>
      <c r="F108" s="774" t="s">
        <v>63</v>
      </c>
    </row>
    <row r="109" spans="2:7" x14ac:dyDescent="0.35">
      <c r="B109" s="724" t="s">
        <v>19</v>
      </c>
      <c r="C109" s="729" t="s">
        <v>63</v>
      </c>
      <c r="D109" s="730" t="s">
        <v>63</v>
      </c>
      <c r="E109" s="731">
        <v>-15000</v>
      </c>
      <c r="F109" s="774" t="s">
        <v>63</v>
      </c>
    </row>
    <row r="110" spans="2:7" s="997" customFormat="1" ht="15.5" x14ac:dyDescent="0.35">
      <c r="B110" s="992"/>
      <c r="C110" s="993" t="s">
        <v>11</v>
      </c>
      <c r="D110" s="994"/>
      <c r="E110" s="995">
        <f>+E108+E109</f>
        <v>210129.5</v>
      </c>
      <c r="F110" s="996" t="s">
        <v>63</v>
      </c>
    </row>
    <row r="113" spans="1:6" ht="23.5" x14ac:dyDescent="0.35">
      <c r="B113" s="1431" t="s">
        <v>657</v>
      </c>
      <c r="C113" s="1431"/>
      <c r="D113" s="1431"/>
      <c r="E113" s="1431"/>
    </row>
    <row r="114" spans="1:6" x14ac:dyDescent="0.35">
      <c r="B114" s="2" t="s">
        <v>7</v>
      </c>
      <c r="C114" s="270" t="s">
        <v>8</v>
      </c>
      <c r="D114" s="217" t="s">
        <v>4</v>
      </c>
      <c r="E114" s="597" t="s">
        <v>9</v>
      </c>
    </row>
    <row r="115" spans="1:6" x14ac:dyDescent="0.35">
      <c r="B115" s="772" t="s">
        <v>3</v>
      </c>
      <c r="C115" s="258">
        <v>101.5</v>
      </c>
      <c r="D115" s="194">
        <f>1300*1.1</f>
        <v>1430.0000000000002</v>
      </c>
      <c r="E115" s="598">
        <f>+C115*D115</f>
        <v>145145.00000000003</v>
      </c>
      <c r="F115" s="774" t="s">
        <v>362</v>
      </c>
    </row>
    <row r="116" spans="1:6" x14ac:dyDescent="0.35">
      <c r="B116" s="772" t="s">
        <v>530</v>
      </c>
      <c r="C116" s="258">
        <v>8</v>
      </c>
      <c r="D116" s="194">
        <f>+D115</f>
        <v>1430.0000000000002</v>
      </c>
      <c r="E116" s="609">
        <f>+C116*D116</f>
        <v>11440.000000000002</v>
      </c>
    </row>
    <row r="117" spans="1:6" x14ac:dyDescent="0.35">
      <c r="B117" s="772" t="s">
        <v>6</v>
      </c>
      <c r="C117" s="258"/>
      <c r="D117" s="194"/>
      <c r="E117" s="609">
        <v>15000</v>
      </c>
    </row>
    <row r="118" spans="1:6" x14ac:dyDescent="0.35">
      <c r="B118" s="614" t="s">
        <v>200</v>
      </c>
      <c r="C118" s="617"/>
      <c r="D118" s="227"/>
      <c r="E118" s="609">
        <v>15000</v>
      </c>
      <c r="F118" s="774" t="s">
        <v>63</v>
      </c>
    </row>
    <row r="119" spans="1:6" x14ac:dyDescent="0.35">
      <c r="B119" s="614" t="s">
        <v>656</v>
      </c>
      <c r="C119" s="617">
        <v>72</v>
      </c>
      <c r="D119" s="227">
        <f>+D115</f>
        <v>1430.0000000000002</v>
      </c>
      <c r="E119" s="609">
        <f>+C119*D119</f>
        <v>102960.00000000001</v>
      </c>
      <c r="F119" s="774"/>
    </row>
    <row r="120" spans="1:6" s="764" customFormat="1" x14ac:dyDescent="0.35">
      <c r="B120" s="882" t="s">
        <v>99</v>
      </c>
      <c r="C120" s="883"/>
      <c r="D120" s="883"/>
      <c r="E120" s="884">
        <f>+E115+E116+E117+E118+E119</f>
        <v>289545.00000000006</v>
      </c>
      <c r="F120" s="769" t="s">
        <v>63</v>
      </c>
    </row>
    <row r="121" spans="1:6" x14ac:dyDescent="0.35">
      <c r="B121" s="962" t="s">
        <v>374</v>
      </c>
      <c r="C121" s="619"/>
      <c r="D121" s="619"/>
      <c r="E121" s="730">
        <v>-43800</v>
      </c>
      <c r="F121" s="774" t="s">
        <v>63</v>
      </c>
    </row>
    <row r="122" spans="1:6" ht="15.5" x14ac:dyDescent="0.35">
      <c r="B122" s="611" t="s">
        <v>11</v>
      </c>
      <c r="C122" s="612"/>
      <c r="D122" s="613"/>
      <c r="E122" s="603">
        <f>+E120+E121</f>
        <v>245745.00000000006</v>
      </c>
      <c r="F122" s="774" t="s">
        <v>63</v>
      </c>
    </row>
    <row r="125" spans="1:6" ht="23.5" x14ac:dyDescent="0.35">
      <c r="A125" s="4"/>
      <c r="B125" s="1431" t="s">
        <v>659</v>
      </c>
      <c r="C125" s="1431"/>
      <c r="D125" s="1431"/>
      <c r="E125" s="1431"/>
    </row>
    <row r="126" spans="1:6" x14ac:dyDescent="0.35">
      <c r="A126" s="4"/>
      <c r="B126" s="2" t="s">
        <v>7</v>
      </c>
      <c r="C126" s="270" t="s">
        <v>388</v>
      </c>
      <c r="D126" s="217" t="s">
        <v>629</v>
      </c>
      <c r="E126" s="597" t="s">
        <v>9</v>
      </c>
    </row>
    <row r="127" spans="1:6" x14ac:dyDescent="0.35">
      <c r="A127" s="4"/>
      <c r="B127" s="772" t="s">
        <v>3</v>
      </c>
      <c r="C127" s="258">
        <v>194</v>
      </c>
      <c r="D127" s="194">
        <f>1300*1.1</f>
        <v>1430.0000000000002</v>
      </c>
      <c r="E127" s="598">
        <f>+C127*D127</f>
        <v>277420.00000000006</v>
      </c>
      <c r="F127" s="771" t="s">
        <v>362</v>
      </c>
    </row>
    <row r="128" spans="1:6" x14ac:dyDescent="0.35">
      <c r="A128" s="4"/>
      <c r="B128" s="772" t="s">
        <v>403</v>
      </c>
      <c r="C128" s="258">
        <v>8</v>
      </c>
      <c r="D128" s="194">
        <f>+D127</f>
        <v>1430.0000000000002</v>
      </c>
      <c r="E128" s="609">
        <f>+C128*D128</f>
        <v>11440.000000000002</v>
      </c>
    </row>
    <row r="129" spans="1:6" x14ac:dyDescent="0.35">
      <c r="A129" s="4"/>
      <c r="B129" s="772" t="s">
        <v>200</v>
      </c>
      <c r="C129" s="258"/>
      <c r="D129" s="194"/>
      <c r="E129" s="609">
        <v>15000</v>
      </c>
    </row>
    <row r="130" spans="1:6" x14ac:dyDescent="0.35">
      <c r="A130" s="4"/>
      <c r="B130" s="772" t="s">
        <v>6</v>
      </c>
      <c r="C130" s="258"/>
      <c r="D130" s="194"/>
      <c r="E130" s="609">
        <v>15000</v>
      </c>
    </row>
    <row r="131" spans="1:6" x14ac:dyDescent="0.35">
      <c r="A131" s="4"/>
      <c r="B131" s="614" t="s">
        <v>628</v>
      </c>
      <c r="C131" s="617">
        <v>3</v>
      </c>
      <c r="D131" s="227">
        <f>+D127*1.5</f>
        <v>2145.0000000000005</v>
      </c>
      <c r="E131" s="609">
        <f>+C131*D131</f>
        <v>6435.0000000000018</v>
      </c>
    </row>
    <row r="132" spans="1:6" x14ac:dyDescent="0.35">
      <c r="A132" s="4"/>
      <c r="B132" s="882" t="s">
        <v>99</v>
      </c>
      <c r="C132" s="883"/>
      <c r="D132" s="883"/>
      <c r="E132" s="884">
        <f>+E127+E128+E129+E130+E131</f>
        <v>325295.00000000006</v>
      </c>
    </row>
    <row r="133" spans="1:6" x14ac:dyDescent="0.35">
      <c r="A133" s="4"/>
      <c r="B133" s="962" t="s">
        <v>19</v>
      </c>
      <c r="C133" s="619"/>
      <c r="D133" s="619"/>
      <c r="E133" s="730">
        <v>-20000</v>
      </c>
    </row>
    <row r="134" spans="1:6" x14ac:dyDescent="0.35">
      <c r="A134" s="4"/>
      <c r="B134" s="962"/>
      <c r="C134" s="619"/>
      <c r="D134" s="619"/>
      <c r="E134" s="730"/>
    </row>
    <row r="135" spans="1:6" ht="15.5" x14ac:dyDescent="0.35">
      <c r="A135" s="4"/>
      <c r="B135" s="611" t="s">
        <v>11</v>
      </c>
      <c r="C135" s="612"/>
      <c r="D135" s="613"/>
      <c r="E135" s="603">
        <f>+E132+E133</f>
        <v>305295.00000000006</v>
      </c>
      <c r="F135" s="774" t="s">
        <v>63</v>
      </c>
    </row>
  </sheetData>
  <mergeCells count="21">
    <mergeCell ref="B69:D69"/>
    <mergeCell ref="B3:E3"/>
    <mergeCell ref="B11:D11"/>
    <mergeCell ref="B14:D14"/>
    <mergeCell ref="B16:E16"/>
    <mergeCell ref="B26:D26"/>
    <mergeCell ref="B29:D29"/>
    <mergeCell ref="B31:E31"/>
    <mergeCell ref="B40:D40"/>
    <mergeCell ref="B45:E45"/>
    <mergeCell ref="B55:D55"/>
    <mergeCell ref="B61:E61"/>
    <mergeCell ref="B108:D108"/>
    <mergeCell ref="B113:E113"/>
    <mergeCell ref="B125:E125"/>
    <mergeCell ref="B74:E74"/>
    <mergeCell ref="B82:D82"/>
    <mergeCell ref="B84:D84"/>
    <mergeCell ref="B87:E87"/>
    <mergeCell ref="B94:D94"/>
    <mergeCell ref="B101:E101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36"/>
  <sheetViews>
    <sheetView topLeftCell="A20" workbookViewId="0">
      <selection activeCell="G26" sqref="G26"/>
    </sheetView>
  </sheetViews>
  <sheetFormatPr baseColWidth="10" defaultRowHeight="14.5" x14ac:dyDescent="0.35"/>
  <cols>
    <col min="1" max="1" width="10.90625" style="771"/>
    <col min="2" max="2" width="22" style="771" customWidth="1"/>
    <col min="3" max="3" width="26.90625" style="774" customWidth="1"/>
    <col min="4" max="4" width="21.1796875" style="774" customWidth="1"/>
    <col min="5" max="5" width="14.08984375" style="771" customWidth="1"/>
    <col min="6" max="16384" width="10.90625" style="771"/>
  </cols>
  <sheetData>
    <row r="1" spans="1:4" s="658" customFormat="1" ht="28.5" x14ac:dyDescent="0.65">
      <c r="A1" s="946"/>
      <c r="B1" s="947" t="s">
        <v>661</v>
      </c>
      <c r="C1" s="983"/>
      <c r="D1" s="983"/>
    </row>
    <row r="2" spans="1:4" s="658" customFormat="1" ht="28.5" x14ac:dyDescent="0.65">
      <c r="A2" s="946"/>
      <c r="B2" s="947"/>
      <c r="C2" s="983"/>
      <c r="D2" s="983"/>
    </row>
    <row r="3" spans="1:4" ht="21" x14ac:dyDescent="0.5">
      <c r="A3" s="760"/>
      <c r="B3" s="981" t="s">
        <v>7</v>
      </c>
      <c r="C3" s="984" t="s">
        <v>3</v>
      </c>
      <c r="D3" s="984" t="s">
        <v>3</v>
      </c>
    </row>
    <row r="4" spans="1:4" ht="21" x14ac:dyDescent="0.5">
      <c r="A4" s="760">
        <v>1</v>
      </c>
      <c r="B4" s="949" t="s">
        <v>10</v>
      </c>
      <c r="C4" s="985">
        <v>226561.3</v>
      </c>
      <c r="D4" s="985">
        <v>108500</v>
      </c>
    </row>
    <row r="5" spans="1:4" ht="21" x14ac:dyDescent="0.5">
      <c r="A5" s="760">
        <v>2</v>
      </c>
      <c r="B5" s="949" t="s">
        <v>15</v>
      </c>
      <c r="C5" s="985">
        <v>881311.52</v>
      </c>
      <c r="D5" s="985">
        <v>577100</v>
      </c>
    </row>
    <row r="6" spans="1:4" ht="21" x14ac:dyDescent="0.5">
      <c r="A6" s="760">
        <v>3</v>
      </c>
      <c r="B6" s="949" t="s">
        <v>16</v>
      </c>
      <c r="C6" s="985">
        <v>301284.8</v>
      </c>
      <c r="D6" s="985">
        <v>231300</v>
      </c>
    </row>
    <row r="7" spans="1:4" ht="21" x14ac:dyDescent="0.5">
      <c r="A7" s="951">
        <v>4</v>
      </c>
      <c r="B7" s="949" t="s">
        <v>0</v>
      </c>
      <c r="C7" s="985">
        <v>450968.8</v>
      </c>
      <c r="D7" s="985">
        <v>211600</v>
      </c>
    </row>
    <row r="8" spans="1:4" ht="21" x14ac:dyDescent="0.5">
      <c r="A8" s="951">
        <v>5</v>
      </c>
      <c r="B8" s="949" t="s">
        <v>245</v>
      </c>
      <c r="C8" s="985">
        <v>254977</v>
      </c>
      <c r="D8" s="985">
        <v>225000</v>
      </c>
    </row>
    <row r="9" spans="1:4" ht="21" x14ac:dyDescent="0.5">
      <c r="A9" s="951">
        <v>6</v>
      </c>
      <c r="B9" s="949" t="s">
        <v>267</v>
      </c>
      <c r="C9" s="985">
        <v>226875.2</v>
      </c>
      <c r="D9" s="985">
        <v>204200</v>
      </c>
    </row>
    <row r="10" spans="1:4" ht="21" x14ac:dyDescent="0.5">
      <c r="A10" s="951">
        <v>7</v>
      </c>
      <c r="B10" s="949" t="s">
        <v>260</v>
      </c>
      <c r="C10" s="985">
        <v>289545</v>
      </c>
      <c r="D10" s="985">
        <v>245800</v>
      </c>
    </row>
    <row r="11" spans="1:4" ht="21" x14ac:dyDescent="0.5">
      <c r="A11" s="951">
        <v>8</v>
      </c>
      <c r="B11" s="949" t="s">
        <v>553</v>
      </c>
      <c r="C11" s="985">
        <v>225129</v>
      </c>
      <c r="D11" s="985">
        <v>210200</v>
      </c>
    </row>
    <row r="12" spans="1:4" ht="21" x14ac:dyDescent="0.5">
      <c r="A12" s="951">
        <v>9</v>
      </c>
      <c r="B12" s="949" t="s">
        <v>463</v>
      </c>
      <c r="C12" s="985">
        <v>254977</v>
      </c>
      <c r="D12" s="985">
        <v>109500</v>
      </c>
    </row>
    <row r="13" spans="1:4" ht="21" x14ac:dyDescent="0.5">
      <c r="A13" s="760">
        <v>10</v>
      </c>
      <c r="B13" s="949" t="s">
        <v>613</v>
      </c>
      <c r="C13" s="985">
        <v>325295</v>
      </c>
      <c r="D13" s="985">
        <v>305300</v>
      </c>
    </row>
    <row r="14" spans="1:4" s="658" customFormat="1" ht="28.5" x14ac:dyDescent="0.65">
      <c r="A14" s="946"/>
      <c r="B14" s="952" t="s">
        <v>660</v>
      </c>
      <c r="C14" s="1006">
        <f>+C5+C6+C7+C8+C10+C12+C13</f>
        <v>2758359.12</v>
      </c>
      <c r="D14" s="986">
        <f>+D4+D5+D6+D7+D8+D9+D10+D11+D12+D13</f>
        <v>2428500</v>
      </c>
    </row>
    <row r="15" spans="1:4" ht="21" x14ac:dyDescent="0.5">
      <c r="A15" s="760"/>
      <c r="B15" s="760"/>
      <c r="C15" s="797" t="s">
        <v>63</v>
      </c>
      <c r="D15" s="797"/>
    </row>
    <row r="16" spans="1:4" ht="21" x14ac:dyDescent="0.5">
      <c r="A16" s="760"/>
      <c r="B16" s="760"/>
      <c r="C16" s="797" t="s">
        <v>63</v>
      </c>
      <c r="D16" s="797"/>
    </row>
    <row r="17" spans="1:4" s="648" customFormat="1" ht="46" x14ac:dyDescent="1">
      <c r="A17" s="760"/>
      <c r="B17" s="954" t="s">
        <v>662</v>
      </c>
      <c r="C17" s="797"/>
      <c r="D17" s="797"/>
    </row>
    <row r="18" spans="1:4" ht="18.5" x14ac:dyDescent="0.45">
      <c r="B18" s="643" t="s">
        <v>306</v>
      </c>
      <c r="C18" s="987" t="s">
        <v>272</v>
      </c>
      <c r="D18" s="987" t="s">
        <v>200</v>
      </c>
    </row>
    <row r="19" spans="1:4" ht="18.5" x14ac:dyDescent="0.45">
      <c r="B19" s="644" t="s">
        <v>10</v>
      </c>
      <c r="C19" s="988">
        <v>1478.61</v>
      </c>
      <c r="D19" s="988">
        <v>15000</v>
      </c>
    </row>
    <row r="20" spans="1:4" ht="18.5" x14ac:dyDescent="0.45">
      <c r="B20" s="644" t="s">
        <v>15</v>
      </c>
      <c r="C20" s="988">
        <v>3005.14</v>
      </c>
      <c r="D20" s="988">
        <v>15000</v>
      </c>
    </row>
    <row r="21" spans="1:4" ht="18.5" x14ac:dyDescent="0.45">
      <c r="B21" s="644" t="s">
        <v>16</v>
      </c>
      <c r="C21" s="988">
        <v>1324.8</v>
      </c>
      <c r="D21" s="988">
        <v>15000</v>
      </c>
    </row>
    <row r="22" spans="1:4" ht="18.5" x14ac:dyDescent="0.45">
      <c r="B22" s="644" t="s">
        <v>0</v>
      </c>
      <c r="C22" s="988">
        <v>1738.8</v>
      </c>
      <c r="D22" s="988">
        <v>15000</v>
      </c>
    </row>
    <row r="23" spans="1:4" ht="18.5" x14ac:dyDescent="0.45">
      <c r="B23" s="644" t="s">
        <v>245</v>
      </c>
      <c r="C23" s="988">
        <v>1138.5</v>
      </c>
      <c r="D23" s="988">
        <v>15000</v>
      </c>
    </row>
    <row r="24" spans="1:4" ht="18.5" x14ac:dyDescent="0.45">
      <c r="B24" s="644" t="s">
        <v>267</v>
      </c>
      <c r="C24" s="988">
        <v>1214.4000000000001</v>
      </c>
      <c r="D24" s="988">
        <v>15000</v>
      </c>
    </row>
    <row r="25" spans="1:4" ht="18.5" x14ac:dyDescent="0.45">
      <c r="B25" s="644" t="s">
        <v>260</v>
      </c>
      <c r="C25" s="988">
        <v>1430</v>
      </c>
      <c r="D25" s="988">
        <v>15000</v>
      </c>
    </row>
    <row r="26" spans="1:4" ht="18.5" x14ac:dyDescent="0.45">
      <c r="B26" s="645" t="s">
        <v>553</v>
      </c>
      <c r="C26" s="988">
        <v>1138.5</v>
      </c>
      <c r="D26" s="989">
        <v>15000</v>
      </c>
    </row>
    <row r="27" spans="1:4" ht="18.5" x14ac:dyDescent="0.45">
      <c r="B27" s="645" t="s">
        <v>463</v>
      </c>
      <c r="C27" s="988">
        <v>1138.5</v>
      </c>
      <c r="D27" s="989">
        <v>15000</v>
      </c>
    </row>
    <row r="28" spans="1:4" ht="18.5" x14ac:dyDescent="0.45">
      <c r="B28" s="645" t="s">
        <v>613</v>
      </c>
      <c r="C28" s="988">
        <v>1430</v>
      </c>
      <c r="D28" s="989">
        <v>15000</v>
      </c>
    </row>
    <row r="29" spans="1:4" ht="18.5" x14ac:dyDescent="0.45">
      <c r="B29" s="798"/>
      <c r="C29" s="1007"/>
      <c r="D29" s="990"/>
    </row>
    <row r="31" spans="1:4" x14ac:dyDescent="0.35">
      <c r="A31" s="701" t="s">
        <v>106</v>
      </c>
      <c r="B31" s="702" t="s">
        <v>107</v>
      </c>
      <c r="C31" s="1013" t="s">
        <v>262</v>
      </c>
      <c r="D31" s="991"/>
    </row>
    <row r="32" spans="1:4" x14ac:dyDescent="0.35">
      <c r="A32" s="703">
        <v>18</v>
      </c>
      <c r="B32" s="703">
        <v>9</v>
      </c>
      <c r="C32" s="964">
        <f>+A32*B32</f>
        <v>162</v>
      </c>
      <c r="D32" s="593" t="s">
        <v>116</v>
      </c>
    </row>
    <row r="33" spans="1:4" x14ac:dyDescent="0.35">
      <c r="A33" s="703">
        <v>4</v>
      </c>
      <c r="B33" s="703">
        <v>8</v>
      </c>
      <c r="C33" s="964">
        <f>+A33*B33</f>
        <v>32</v>
      </c>
      <c r="D33" s="593" t="s">
        <v>638</v>
      </c>
    </row>
    <row r="34" spans="1:4" x14ac:dyDescent="0.35">
      <c r="A34" s="703">
        <v>1</v>
      </c>
      <c r="B34" s="703">
        <v>8</v>
      </c>
      <c r="C34" s="964">
        <f>+A34*B34</f>
        <v>8</v>
      </c>
      <c r="D34" s="593" t="s">
        <v>111</v>
      </c>
    </row>
    <row r="35" spans="1:4" x14ac:dyDescent="0.35">
      <c r="A35" s="568" t="s">
        <v>63</v>
      </c>
      <c r="B35" s="773"/>
      <c r="C35" s="964">
        <f>+C32+C33+C34</f>
        <v>202</v>
      </c>
      <c r="D35" s="593" t="s">
        <v>309</v>
      </c>
    </row>
    <row r="36" spans="1:4" x14ac:dyDescent="0.35">
      <c r="A36" s="1014" t="s">
        <v>63</v>
      </c>
    </row>
  </sheetData>
  <pageMargins left="0.7" right="0.7" top="0.75" bottom="0.75" header="0.3" footer="0.3"/>
  <pageSetup paperSize="9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V130"/>
  <sheetViews>
    <sheetView zoomScaleNormal="100" workbookViewId="0">
      <selection activeCell="E11" sqref="E11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771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45323</v>
      </c>
    </row>
    <row r="3" spans="2:21" ht="25.5" customHeight="1" x14ac:dyDescent="0.35">
      <c r="B3" s="1431" t="s">
        <v>664</v>
      </c>
      <c r="C3" s="1431"/>
      <c r="D3" s="1431"/>
      <c r="E3" s="1431"/>
    </row>
    <row r="4" spans="2:21" s="1008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771"/>
      <c r="T4" s="771"/>
      <c r="U4" s="771"/>
    </row>
    <row r="5" spans="2:21" ht="18" customHeight="1" x14ac:dyDescent="0.35">
      <c r="B5" s="772" t="s">
        <v>480</v>
      </c>
      <c r="C5" s="258">
        <v>167</v>
      </c>
      <c r="D5" s="227">
        <v>1775</v>
      </c>
      <c r="E5" s="598">
        <f>+C5*D5</f>
        <v>296425</v>
      </c>
      <c r="F5" s="553" t="s">
        <v>509</v>
      </c>
      <c r="T5" s="1008"/>
    </row>
    <row r="6" spans="2:21" ht="18" customHeight="1" x14ac:dyDescent="0.35">
      <c r="B6" s="772" t="s">
        <v>559</v>
      </c>
      <c r="C6" s="258">
        <v>16</v>
      </c>
      <c r="D6" s="227">
        <f>+D5</f>
        <v>1775</v>
      </c>
      <c r="E6" s="598">
        <f>+C6*D6</f>
        <v>28400</v>
      </c>
      <c r="F6" s="774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774" t="s">
        <v>63</v>
      </c>
      <c r="G7" s="771" t="s">
        <v>63</v>
      </c>
    </row>
    <row r="8" spans="2:21" ht="18" customHeight="1" x14ac:dyDescent="0.35">
      <c r="B8" s="772" t="s">
        <v>467</v>
      </c>
      <c r="C8" s="258"/>
      <c r="D8" s="194">
        <f>+D5*1.5</f>
        <v>2662.5</v>
      </c>
      <c r="E8" s="598">
        <f>+C8*D8</f>
        <v>0</v>
      </c>
      <c r="F8" s="774" t="s">
        <v>63</v>
      </c>
      <c r="G8" s="774"/>
    </row>
    <row r="9" spans="2:21" ht="18" customHeight="1" x14ac:dyDescent="0.35">
      <c r="B9" s="772" t="s">
        <v>489</v>
      </c>
      <c r="C9" s="258"/>
      <c r="D9" s="194"/>
      <c r="E9" s="598">
        <v>35000</v>
      </c>
      <c r="F9" s="553" t="s">
        <v>63</v>
      </c>
      <c r="G9" s="774" t="s">
        <v>63</v>
      </c>
      <c r="U9" s="1008"/>
    </row>
    <row r="10" spans="2:21" ht="18" customHeight="1" x14ac:dyDescent="0.35">
      <c r="B10" s="772" t="s">
        <v>641</v>
      </c>
      <c r="C10" s="258">
        <v>2</v>
      </c>
      <c r="D10" s="194">
        <v>5000</v>
      </c>
      <c r="E10" s="598">
        <f>+C10*D10</f>
        <v>10000</v>
      </c>
      <c r="F10" s="774" t="s">
        <v>63</v>
      </c>
      <c r="U10" s="1008"/>
    </row>
    <row r="11" spans="2:21" ht="18" customHeight="1" x14ac:dyDescent="0.35">
      <c r="B11" s="1432" t="s">
        <v>99</v>
      </c>
      <c r="C11" s="1432"/>
      <c r="D11" s="1432"/>
      <c r="E11" s="599">
        <f>+E5+E6+E7+E9+E10</f>
        <v>384825</v>
      </c>
      <c r="F11" s="774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1008"/>
    </row>
    <row r="12" spans="2:21" ht="18" customHeight="1" x14ac:dyDescent="0.35">
      <c r="B12" s="1012" t="s">
        <v>384</v>
      </c>
      <c r="C12" s="1010"/>
      <c r="D12" s="1010"/>
      <c r="E12" s="221">
        <v>-175583.55</v>
      </c>
      <c r="F12" s="774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1008"/>
    </row>
    <row r="13" spans="2:21" ht="18" customHeight="1" x14ac:dyDescent="0.35">
      <c r="B13" s="800" t="s">
        <v>675</v>
      </c>
      <c r="C13" s="721" t="s">
        <v>477</v>
      </c>
      <c r="D13" s="905">
        <f>+E5+E6+E7+E9</f>
        <v>374825</v>
      </c>
      <c r="E13" s="722">
        <f>-D13*0.1</f>
        <v>-37482.5</v>
      </c>
      <c r="F13" s="774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1008"/>
    </row>
    <row r="14" spans="2:21" ht="18" customHeight="1" x14ac:dyDescent="0.35">
      <c r="B14" s="1433" t="s">
        <v>11</v>
      </c>
      <c r="C14" s="1433"/>
      <c r="D14" s="1433"/>
      <c r="E14" s="603">
        <f>+E11+E12+E13</f>
        <v>171758.95</v>
      </c>
      <c r="F14" s="774" t="s">
        <v>63</v>
      </c>
      <c r="H14" s="321"/>
      <c r="I14" s="321"/>
      <c r="J14" s="321"/>
      <c r="K14" s="473"/>
      <c r="L14" s="321"/>
      <c r="M14" s="321"/>
      <c r="T14" s="1008"/>
    </row>
    <row r="15" spans="2:21" ht="18" customHeight="1" x14ac:dyDescent="0.35">
      <c r="E15" s="203" t="s">
        <v>63</v>
      </c>
      <c r="F15" s="106"/>
      <c r="G15" s="4"/>
      <c r="N15" s="4"/>
      <c r="T15" s="1008"/>
    </row>
    <row r="16" spans="2:21" ht="18" customHeight="1" x14ac:dyDescent="0.35">
      <c r="B16" s="1442" t="s">
        <v>665</v>
      </c>
      <c r="C16" s="1443"/>
      <c r="D16" s="1443"/>
      <c r="E16" s="1444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1008"/>
      <c r="K17" s="101"/>
      <c r="L17" s="101"/>
      <c r="M17" s="101"/>
    </row>
    <row r="18" spans="2:22" ht="18" customHeight="1" x14ac:dyDescent="0.35">
      <c r="B18" s="772" t="s">
        <v>683</v>
      </c>
      <c r="C18" s="258"/>
      <c r="D18" s="194"/>
      <c r="E18" s="598">
        <v>350000</v>
      </c>
      <c r="F18" s="774" t="s">
        <v>63</v>
      </c>
      <c r="K18" s="101"/>
      <c r="L18" s="101"/>
      <c r="M18" s="101"/>
    </row>
    <row r="19" spans="2:22" ht="18" customHeight="1" x14ac:dyDescent="0.35">
      <c r="B19" s="772" t="s">
        <v>684</v>
      </c>
      <c r="C19" s="258"/>
      <c r="D19" s="194"/>
      <c r="E19" s="598">
        <v>350000</v>
      </c>
      <c r="F19" s="1008"/>
      <c r="H19" s="1009"/>
      <c r="N19" s="51"/>
      <c r="O19" s="51"/>
      <c r="P19" s="66"/>
      <c r="Q19" s="49"/>
      <c r="R19" s="49"/>
    </row>
    <row r="20" spans="2:22" ht="18" customHeight="1" x14ac:dyDescent="0.35">
      <c r="B20" s="772"/>
      <c r="C20" s="258"/>
      <c r="D20" s="194"/>
      <c r="E20" s="598"/>
      <c r="F20" s="649" t="s">
        <v>63</v>
      </c>
      <c r="H20" s="1009"/>
      <c r="N20" s="51"/>
      <c r="O20" s="51"/>
      <c r="P20" s="66"/>
      <c r="Q20" s="49"/>
      <c r="R20" s="49"/>
    </row>
    <row r="21" spans="2:22" s="90" customFormat="1" ht="18" customHeight="1" x14ac:dyDescent="0.35">
      <c r="B21" s="141" t="s">
        <v>685</v>
      </c>
      <c r="C21" s="1016"/>
      <c r="D21" s="195"/>
      <c r="E21" s="1017">
        <f>+E18+E19</f>
        <v>700000</v>
      </c>
      <c r="F21" s="553"/>
      <c r="G21" s="95"/>
      <c r="L21" s="180"/>
      <c r="M21" s="184"/>
    </row>
    <row r="22" spans="2:22" s="1008" customFormat="1" ht="18" customHeight="1" x14ac:dyDescent="0.35">
      <c r="B22" s="772" t="s">
        <v>682</v>
      </c>
      <c r="C22" s="258"/>
      <c r="D22" s="194"/>
      <c r="E22" s="598">
        <v>9173</v>
      </c>
      <c r="F22" s="774" t="s">
        <v>63</v>
      </c>
      <c r="G22" s="771"/>
      <c r="L22" s="181"/>
      <c r="M22" s="184"/>
      <c r="N22" s="180"/>
      <c r="O22" s="180"/>
      <c r="P22" s="181"/>
      <c r="Q22" s="181"/>
      <c r="R22" s="181"/>
      <c r="S22" s="771"/>
      <c r="V22" s="771"/>
    </row>
    <row r="23" spans="2:22" s="1008" customFormat="1" ht="18" customHeight="1" x14ac:dyDescent="0.35">
      <c r="B23" s="772"/>
      <c r="C23" s="258"/>
      <c r="D23" s="194"/>
      <c r="E23" s="598"/>
      <c r="F23" s="774"/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1008" customFormat="1" ht="18" customHeight="1" x14ac:dyDescent="0.35">
      <c r="B24" s="1439" t="s">
        <v>686</v>
      </c>
      <c r="C24" s="1440"/>
      <c r="D24" s="1441"/>
      <c r="E24" s="599" t="s">
        <v>63</v>
      </c>
      <c r="F24" s="774" t="s">
        <v>63</v>
      </c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908" customFormat="1" ht="18" customHeight="1" x14ac:dyDescent="0.35">
      <c r="B25" s="689"/>
      <c r="C25" s="689"/>
      <c r="D25" s="689"/>
      <c r="E25" s="688"/>
      <c r="F25" s="769"/>
      <c r="G25" s="764"/>
      <c r="L25" s="910"/>
      <c r="M25" s="911"/>
      <c r="N25" s="912"/>
      <c r="O25" s="912"/>
      <c r="P25" s="910"/>
      <c r="Q25" s="910"/>
      <c r="R25" s="910"/>
      <c r="S25" s="764"/>
      <c r="V25" s="764"/>
    </row>
    <row r="26" spans="2:22" ht="18" customHeight="1" x14ac:dyDescent="0.35">
      <c r="B26" s="455"/>
      <c r="C26" s="455"/>
      <c r="D26" s="455"/>
      <c r="E26" s="456" t="s">
        <v>63</v>
      </c>
      <c r="F26" s="409"/>
      <c r="G26" s="115"/>
      <c r="M26" s="189"/>
      <c r="N26" s="180"/>
      <c r="O26" s="180"/>
      <c r="P26" s="181"/>
      <c r="Q26" s="181"/>
      <c r="R26" s="181"/>
    </row>
    <row r="27" spans="2:22" ht="18" customHeight="1" x14ac:dyDescent="0.45">
      <c r="B27" s="1450" t="s">
        <v>666</v>
      </c>
      <c r="C27" s="1451"/>
      <c r="D27" s="1451"/>
      <c r="E27" s="1452"/>
      <c r="F27" s="409"/>
      <c r="G27" s="115"/>
      <c r="M27" s="185"/>
      <c r="N27" s="181"/>
      <c r="O27" s="181"/>
      <c r="P27" s="181"/>
      <c r="Q27" s="181"/>
    </row>
    <row r="28" spans="2:22" ht="18" customHeight="1" x14ac:dyDescent="0.35">
      <c r="B28" s="604" t="s">
        <v>7</v>
      </c>
      <c r="C28" s="605" t="s">
        <v>8</v>
      </c>
      <c r="D28" s="606" t="s">
        <v>4</v>
      </c>
      <c r="E28" s="606" t="s">
        <v>9</v>
      </c>
      <c r="M28" s="185"/>
      <c r="N28" s="181"/>
      <c r="O28" s="181"/>
      <c r="P28" s="184"/>
    </row>
    <row r="29" spans="2:22" ht="18" customHeight="1" x14ac:dyDescent="0.35">
      <c r="B29" s="607" t="s">
        <v>3</v>
      </c>
      <c r="C29" s="267">
        <v>87</v>
      </c>
      <c r="D29" s="211">
        <v>1590</v>
      </c>
      <c r="E29" s="211">
        <f>+C29*D29</f>
        <v>138330</v>
      </c>
      <c r="F29" s="771" t="s">
        <v>509</v>
      </c>
      <c r="G29" s="774" t="s">
        <v>63</v>
      </c>
      <c r="M29" s="182"/>
    </row>
    <row r="30" spans="2:22" ht="18" customHeight="1" x14ac:dyDescent="0.35">
      <c r="B30" s="772" t="s">
        <v>560</v>
      </c>
      <c r="C30" s="267">
        <v>16</v>
      </c>
      <c r="D30" s="211">
        <f>+D29</f>
        <v>1590</v>
      </c>
      <c r="E30" s="211">
        <f>+C30*D30</f>
        <v>25440</v>
      </c>
      <c r="F30" s="774"/>
      <c r="I30" s="1008"/>
      <c r="J30" s="1008"/>
      <c r="K30" s="1008"/>
    </row>
    <row r="31" spans="2:22" ht="18" customHeight="1" x14ac:dyDescent="0.35">
      <c r="B31" s="772" t="s">
        <v>196</v>
      </c>
      <c r="C31" s="267"/>
      <c r="D31" s="211"/>
      <c r="E31" s="211">
        <v>15000</v>
      </c>
      <c r="F31" s="774"/>
      <c r="L31" s="1008"/>
    </row>
    <row r="32" spans="2:22" ht="18" customHeight="1" x14ac:dyDescent="0.35">
      <c r="B32" s="772" t="s">
        <v>6</v>
      </c>
      <c r="C32" s="267"/>
      <c r="D32" s="211"/>
      <c r="E32" s="211">
        <v>20000</v>
      </c>
      <c r="F32" s="774"/>
      <c r="L32" s="1008"/>
    </row>
    <row r="33" spans="2:15" ht="18" customHeight="1" x14ac:dyDescent="0.35">
      <c r="B33" s="772" t="s">
        <v>468</v>
      </c>
      <c r="C33" s="267"/>
      <c r="D33" s="211">
        <f>+D29*1.5</f>
        <v>2385</v>
      </c>
      <c r="E33" s="211">
        <f>C33*D33</f>
        <v>0</v>
      </c>
      <c r="F33" s="649" t="s">
        <v>63</v>
      </c>
      <c r="G33" s="180"/>
      <c r="H33" s="180"/>
      <c r="I33" s="181"/>
      <c r="J33" s="187"/>
      <c r="K33" s="188"/>
      <c r="L33" s="1008"/>
      <c r="O33" s="1008"/>
    </row>
    <row r="34" spans="2:15" ht="18" customHeight="1" x14ac:dyDescent="0.35">
      <c r="B34" s="772" t="s">
        <v>674</v>
      </c>
      <c r="C34" s="267">
        <v>112</v>
      </c>
      <c r="D34" s="211">
        <f>+D29</f>
        <v>1590</v>
      </c>
      <c r="E34" s="211">
        <f>+C34*D34</f>
        <v>178080</v>
      </c>
      <c r="F34" s="649"/>
      <c r="G34" s="180"/>
      <c r="H34" s="180"/>
      <c r="I34" s="181"/>
      <c r="J34" s="187"/>
      <c r="K34" s="188"/>
      <c r="L34" s="1008"/>
      <c r="O34" s="1008"/>
    </row>
    <row r="35" spans="2:15" s="1008" customFormat="1" ht="18" customHeight="1" x14ac:dyDescent="0.35">
      <c r="B35" s="1459" t="s">
        <v>99</v>
      </c>
      <c r="C35" s="1459"/>
      <c r="D35" s="1459"/>
      <c r="E35" s="599">
        <f>+E29+E30+E31+E32+E33+E34</f>
        <v>376850</v>
      </c>
      <c r="F35" s="774" t="s">
        <v>63</v>
      </c>
      <c r="G35" s="180"/>
      <c r="H35" s="180"/>
      <c r="I35" s="181"/>
      <c r="J35" s="181"/>
      <c r="K35" s="184"/>
      <c r="L35" s="771"/>
      <c r="N35" s="771"/>
      <c r="O35" s="771"/>
    </row>
    <row r="36" spans="2:15" s="1008" customFormat="1" ht="18" customHeight="1" x14ac:dyDescent="0.35">
      <c r="B36" s="825" t="s">
        <v>19</v>
      </c>
      <c r="C36" s="826" t="s">
        <v>63</v>
      </c>
      <c r="D36" s="823" t="s">
        <v>63</v>
      </c>
      <c r="E36" s="930">
        <v>0</v>
      </c>
      <c r="F36" s="774" t="s">
        <v>63</v>
      </c>
      <c r="G36" s="180"/>
      <c r="H36" s="180"/>
      <c r="I36" s="181"/>
      <c r="J36" s="181"/>
      <c r="K36" s="184"/>
      <c r="L36" s="771"/>
      <c r="N36" s="771"/>
      <c r="O36" s="771"/>
    </row>
    <row r="37" spans="2:15" s="1015" customFormat="1" ht="18" customHeight="1" x14ac:dyDescent="0.35">
      <c r="B37" s="825" t="s">
        <v>689</v>
      </c>
      <c r="C37" s="826"/>
      <c r="D37" s="823"/>
      <c r="E37" s="930">
        <v>-320000</v>
      </c>
      <c r="F37" s="774"/>
      <c r="G37" s="180"/>
      <c r="H37" s="180"/>
      <c r="I37" s="181"/>
      <c r="J37" s="181"/>
      <c r="K37" s="184"/>
      <c r="L37" s="771"/>
      <c r="N37" s="771"/>
      <c r="O37" s="771"/>
    </row>
    <row r="38" spans="2:15" ht="18" customHeight="1" x14ac:dyDescent="0.35">
      <c r="B38" s="786" t="s">
        <v>11</v>
      </c>
      <c r="C38" s="783"/>
      <c r="D38" s="783"/>
      <c r="E38" s="784">
        <f>+E35+E37</f>
        <v>56850</v>
      </c>
      <c r="F38" s="774" t="s">
        <v>63</v>
      </c>
      <c r="G38" s="180"/>
      <c r="H38" s="180"/>
      <c r="I38" s="181"/>
      <c r="J38" s="181"/>
      <c r="K38" s="184"/>
    </row>
    <row r="39" spans="2:15" ht="18" customHeight="1" x14ac:dyDescent="0.35">
      <c r="B39" s="594"/>
      <c r="C39" s="594"/>
      <c r="D39" s="594"/>
      <c r="E39" s="595"/>
      <c r="G39" s="180"/>
      <c r="H39" s="180"/>
      <c r="I39" s="181"/>
      <c r="J39" s="181"/>
      <c r="K39" s="184"/>
    </row>
    <row r="40" spans="2:15" ht="18" customHeight="1" x14ac:dyDescent="0.35">
      <c r="B40" s="594"/>
      <c r="C40" s="594"/>
      <c r="D40" s="594"/>
      <c r="E40" s="595"/>
      <c r="G40" s="180"/>
      <c r="H40" s="180"/>
      <c r="I40" s="181"/>
      <c r="J40" s="181"/>
      <c r="K40" s="184"/>
    </row>
    <row r="41" spans="2:15" ht="18" customHeight="1" x14ac:dyDescent="0.35">
      <c r="B41" s="1431" t="s">
        <v>667</v>
      </c>
      <c r="C41" s="1431"/>
      <c r="D41" s="1431"/>
      <c r="E41" s="1431"/>
      <c r="G41" s="180"/>
      <c r="H41" s="180"/>
      <c r="I41" s="181"/>
      <c r="J41" s="181"/>
      <c r="K41" s="184"/>
    </row>
    <row r="42" spans="2:15" ht="18" customHeight="1" x14ac:dyDescent="0.35">
      <c r="B42" s="2" t="s">
        <v>7</v>
      </c>
      <c r="C42" s="270" t="s">
        <v>8</v>
      </c>
      <c r="D42" s="217" t="s">
        <v>4</v>
      </c>
      <c r="E42" s="597" t="s">
        <v>9</v>
      </c>
      <c r="G42" s="180"/>
      <c r="H42" s="180"/>
      <c r="I42" s="181"/>
      <c r="J42" s="181"/>
      <c r="K42" s="184"/>
    </row>
    <row r="43" spans="2:15" ht="18" customHeight="1" x14ac:dyDescent="0.35">
      <c r="B43" s="772" t="s">
        <v>253</v>
      </c>
      <c r="C43" s="258">
        <v>167</v>
      </c>
      <c r="D43" s="194">
        <v>2090</v>
      </c>
      <c r="E43" s="598">
        <f>+C43*D43</f>
        <v>349030</v>
      </c>
      <c r="F43" s="771" t="s">
        <v>509</v>
      </c>
      <c r="G43" s="906" t="s">
        <v>63</v>
      </c>
      <c r="H43" s="180"/>
      <c r="I43" s="181"/>
      <c r="J43" s="181"/>
      <c r="K43" s="184"/>
    </row>
    <row r="44" spans="2:15" ht="18" customHeight="1" x14ac:dyDescent="0.35">
      <c r="B44" s="772" t="s">
        <v>623</v>
      </c>
      <c r="C44" s="258">
        <v>16</v>
      </c>
      <c r="D44" s="194">
        <f>+D43</f>
        <v>2090</v>
      </c>
      <c r="E44" s="598">
        <f>+C44*D44</f>
        <v>33440</v>
      </c>
      <c r="F44" s="774" t="s">
        <v>63</v>
      </c>
      <c r="G44" s="180"/>
      <c r="H44" s="180"/>
      <c r="I44" s="181"/>
      <c r="J44" s="181"/>
      <c r="K44" s="184"/>
    </row>
    <row r="45" spans="2:15" ht="15" customHeight="1" x14ac:dyDescent="0.35">
      <c r="B45" s="772" t="s">
        <v>196</v>
      </c>
      <c r="C45" s="258"/>
      <c r="D45" s="194"/>
      <c r="E45" s="598">
        <v>15000</v>
      </c>
      <c r="G45" s="180"/>
      <c r="H45" s="180"/>
      <c r="I45" s="181"/>
      <c r="J45" s="181"/>
      <c r="K45" s="184"/>
      <c r="L45" s="1008"/>
    </row>
    <row r="46" spans="2:15" ht="15" customHeight="1" x14ac:dyDescent="0.35">
      <c r="B46" s="772" t="s">
        <v>6</v>
      </c>
      <c r="C46" s="258"/>
      <c r="D46" s="194"/>
      <c r="E46" s="598">
        <v>35000</v>
      </c>
      <c r="G46" s="180"/>
      <c r="H46" s="180"/>
      <c r="I46" s="181"/>
      <c r="J46" s="181"/>
      <c r="K46" s="184"/>
      <c r="L46" s="1008"/>
    </row>
    <row r="47" spans="2:15" ht="15" customHeight="1" x14ac:dyDescent="0.35">
      <c r="B47" s="772" t="s">
        <v>195</v>
      </c>
      <c r="C47" s="315"/>
      <c r="D47" s="194">
        <f>+D43*1.5</f>
        <v>3135</v>
      </c>
      <c r="E47" s="598">
        <f>+C47*D47</f>
        <v>0</v>
      </c>
      <c r="G47" s="180"/>
      <c r="H47" s="180"/>
      <c r="I47" s="181"/>
      <c r="J47" s="181"/>
      <c r="K47" s="184"/>
      <c r="L47" s="1008"/>
    </row>
    <row r="48" spans="2:15" ht="15" customHeight="1" x14ac:dyDescent="0.35">
      <c r="B48" s="772" t="s">
        <v>449</v>
      </c>
      <c r="C48" s="315"/>
      <c r="D48" s="194">
        <f>+D43*2</f>
        <v>4180</v>
      </c>
      <c r="E48" s="598">
        <f>+C48*D48</f>
        <v>0</v>
      </c>
      <c r="G48" s="180"/>
      <c r="H48" s="180"/>
      <c r="I48" s="181"/>
      <c r="J48" s="181"/>
      <c r="K48" s="184"/>
      <c r="L48" s="1008"/>
    </row>
    <row r="49" spans="2:22" ht="15" customHeight="1" x14ac:dyDescent="0.35">
      <c r="B49" s="772" t="s">
        <v>647</v>
      </c>
      <c r="C49" s="258">
        <v>2</v>
      </c>
      <c r="D49" s="194">
        <v>7500</v>
      </c>
      <c r="E49" s="598">
        <f>+C49*D49</f>
        <v>15000</v>
      </c>
      <c r="F49" s="774" t="s">
        <v>63</v>
      </c>
      <c r="M49" s="176"/>
      <c r="N49" s="180"/>
      <c r="O49" s="180"/>
      <c r="P49" s="181"/>
      <c r="Q49" s="181"/>
      <c r="R49" s="184"/>
    </row>
    <row r="50" spans="2:22" ht="15" customHeight="1" x14ac:dyDescent="0.35">
      <c r="B50" s="1432" t="s">
        <v>99</v>
      </c>
      <c r="C50" s="1432"/>
      <c r="D50" s="1432"/>
      <c r="E50" s="599">
        <f>+E43+E44+E45+E46+E49</f>
        <v>447470</v>
      </c>
      <c r="F50" s="774"/>
      <c r="G50" s="774" t="s">
        <v>63</v>
      </c>
      <c r="M50" s="176"/>
      <c r="N50" s="176"/>
      <c r="O50" s="176"/>
      <c r="P50" s="181"/>
      <c r="Q50" s="181"/>
      <c r="R50" s="184"/>
      <c r="T50" s="1008"/>
    </row>
    <row r="51" spans="2:22" s="1008" customFormat="1" ht="15" customHeight="1" x14ac:dyDescent="0.35">
      <c r="B51" s="723" t="s">
        <v>630</v>
      </c>
      <c r="C51" s="727" t="s">
        <v>63</v>
      </c>
      <c r="D51" s="727" t="s">
        <v>63</v>
      </c>
      <c r="E51" s="722">
        <v>-178898.34</v>
      </c>
      <c r="F51" s="649" t="s">
        <v>63</v>
      </c>
      <c r="G51" s="771"/>
      <c r="H51" s="771"/>
      <c r="I51" s="771"/>
      <c r="J51" s="771"/>
      <c r="K51" s="771"/>
      <c r="L51" s="771"/>
      <c r="M51" s="176"/>
      <c r="N51" s="176"/>
      <c r="O51" s="176"/>
      <c r="P51" s="176"/>
      <c r="Q51" s="176"/>
      <c r="R51" s="176"/>
      <c r="S51" s="771"/>
      <c r="T51" s="771"/>
      <c r="U51" s="771"/>
      <c r="V51" s="771"/>
    </row>
    <row r="52" spans="2:22" s="1008" customFormat="1" ht="15" customHeight="1" x14ac:dyDescent="0.35">
      <c r="B52" s="872" t="s">
        <v>63</v>
      </c>
      <c r="C52" s="873"/>
      <c r="D52" s="874"/>
      <c r="E52" s="722" t="s">
        <v>63</v>
      </c>
      <c r="F52" s="649"/>
      <c r="G52" s="771"/>
      <c r="H52" s="771"/>
      <c r="I52" s="771"/>
      <c r="J52" s="771"/>
      <c r="K52" s="771"/>
      <c r="L52" s="771"/>
      <c r="M52" s="176"/>
      <c r="N52" s="176"/>
      <c r="O52" s="176"/>
      <c r="P52" s="176"/>
      <c r="Q52" s="176"/>
      <c r="R52" s="176"/>
      <c r="S52" s="771"/>
      <c r="T52" s="771"/>
      <c r="U52" s="771"/>
      <c r="V52" s="771"/>
    </row>
    <row r="53" spans="2:22" s="1008" customFormat="1" ht="15" customHeight="1" x14ac:dyDescent="0.35">
      <c r="B53" s="672"/>
      <c r="C53" s="673" t="s">
        <v>11</v>
      </c>
      <c r="D53" s="674"/>
      <c r="E53" s="675">
        <f>+E50+E51</f>
        <v>268571.66000000003</v>
      </c>
      <c r="F53" s="649" t="s">
        <v>324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ht="15" customHeight="1" x14ac:dyDescent="0.35">
      <c r="C54" s="771"/>
      <c r="D54" s="771"/>
      <c r="E54" s="771"/>
      <c r="F54" s="774" t="s">
        <v>63</v>
      </c>
      <c r="N54" s="183"/>
      <c r="O54" s="183"/>
      <c r="P54" s="176"/>
      <c r="Q54" s="176"/>
      <c r="R54" s="176"/>
      <c r="T54" s="1008"/>
    </row>
    <row r="55" spans="2:22" ht="15" customHeight="1" x14ac:dyDescent="0.35">
      <c r="C55" s="771"/>
      <c r="D55" s="771"/>
      <c r="E55" s="774" t="s">
        <v>63</v>
      </c>
    </row>
    <row r="56" spans="2:22" ht="15" customHeight="1" x14ac:dyDescent="0.35">
      <c r="B56" s="1442" t="s">
        <v>668</v>
      </c>
      <c r="C56" s="1443"/>
      <c r="D56" s="1443"/>
      <c r="E56" s="1444"/>
      <c r="V56" s="1008"/>
    </row>
    <row r="57" spans="2:22" x14ac:dyDescent="0.35">
      <c r="B57" s="2" t="s">
        <v>7</v>
      </c>
      <c r="C57" s="270" t="s">
        <v>8</v>
      </c>
      <c r="D57" s="217" t="s">
        <v>4</v>
      </c>
      <c r="E57" s="597" t="s">
        <v>9</v>
      </c>
    </row>
    <row r="58" spans="2:22" x14ac:dyDescent="0.35">
      <c r="B58" s="772" t="s">
        <v>501</v>
      </c>
      <c r="C58" s="258">
        <v>167</v>
      </c>
      <c r="D58" s="227">
        <v>1580</v>
      </c>
      <c r="E58" s="598">
        <f>+C58*D58</f>
        <v>263860</v>
      </c>
      <c r="F58" s="774" t="s">
        <v>676</v>
      </c>
    </row>
    <row r="59" spans="2:22" x14ac:dyDescent="0.35">
      <c r="B59" s="772" t="s">
        <v>608</v>
      </c>
      <c r="C59" s="258">
        <v>16</v>
      </c>
      <c r="D59" s="227">
        <f>+D58</f>
        <v>1580</v>
      </c>
      <c r="E59" s="598">
        <f>+C59*D59</f>
        <v>25280</v>
      </c>
    </row>
    <row r="60" spans="2:22" x14ac:dyDescent="0.35">
      <c r="B60" s="772" t="s">
        <v>490</v>
      </c>
      <c r="C60" s="258"/>
      <c r="D60" s="227"/>
      <c r="E60" s="598">
        <v>15000</v>
      </c>
    </row>
    <row r="61" spans="2:22" x14ac:dyDescent="0.35">
      <c r="B61" s="772" t="s">
        <v>489</v>
      </c>
      <c r="C61" s="258"/>
      <c r="D61" s="227"/>
      <c r="E61" s="598">
        <v>35000</v>
      </c>
    </row>
    <row r="62" spans="2:22" x14ac:dyDescent="0.35">
      <c r="B62" s="772" t="s">
        <v>195</v>
      </c>
      <c r="C62" s="258"/>
      <c r="D62" s="194">
        <f>+D58*1.5</f>
        <v>2370</v>
      </c>
      <c r="E62" s="598">
        <f>+C62*D62</f>
        <v>0</v>
      </c>
      <c r="F62" s="774" t="s">
        <v>63</v>
      </c>
      <c r="G62" s="774" t="s">
        <v>63</v>
      </c>
    </row>
    <row r="63" spans="2:22" x14ac:dyDescent="0.35">
      <c r="B63" s="772" t="s">
        <v>449</v>
      </c>
      <c r="C63" s="258"/>
      <c r="D63" s="194" t="s">
        <v>63</v>
      </c>
      <c r="E63" s="598" t="s">
        <v>63</v>
      </c>
      <c r="F63" s="774" t="s">
        <v>63</v>
      </c>
      <c r="G63" s="774"/>
    </row>
    <row r="64" spans="2:22" x14ac:dyDescent="0.35">
      <c r="B64" s="1439" t="s">
        <v>99</v>
      </c>
      <c r="C64" s="1440"/>
      <c r="D64" s="1441"/>
      <c r="E64" s="599">
        <f>+E58+E59+E60+E61</f>
        <v>339140</v>
      </c>
      <c r="F64" s="774" t="s">
        <v>63</v>
      </c>
    </row>
    <row r="65" spans="1:7" x14ac:dyDescent="0.35">
      <c r="B65" s="921" t="s">
        <v>677</v>
      </c>
      <c r="C65" s="922">
        <f>+E58+E59+E60+E61</f>
        <v>339140</v>
      </c>
      <c r="D65" s="720"/>
      <c r="E65" s="722">
        <f>-C65*0.1</f>
        <v>-33914</v>
      </c>
      <c r="F65" s="774" t="s">
        <v>63</v>
      </c>
    </row>
    <row r="66" spans="1:7" x14ac:dyDescent="0.35">
      <c r="B66" s="672"/>
      <c r="C66" s="673" t="s">
        <v>11</v>
      </c>
      <c r="D66" s="674"/>
      <c r="E66" s="675">
        <f>+E64+E65</f>
        <v>305226</v>
      </c>
      <c r="F66" s="774"/>
    </row>
    <row r="67" spans="1:7" x14ac:dyDescent="0.35">
      <c r="C67" s="771"/>
      <c r="D67" s="771"/>
      <c r="E67" s="771"/>
    </row>
    <row r="69" spans="1:7" ht="23.5" x14ac:dyDescent="0.35">
      <c r="B69" s="1442" t="s">
        <v>669</v>
      </c>
      <c r="C69" s="1443"/>
      <c r="D69" s="1443"/>
      <c r="E69" s="1444"/>
    </row>
    <row r="70" spans="1:7" x14ac:dyDescent="0.35">
      <c r="B70" s="2" t="s">
        <v>7</v>
      </c>
      <c r="C70" s="270" t="s">
        <v>8</v>
      </c>
      <c r="D70" s="217" t="s">
        <v>4</v>
      </c>
      <c r="E70" s="597" t="s">
        <v>63</v>
      </c>
      <c r="F70" s="771" t="s">
        <v>63</v>
      </c>
    </row>
    <row r="71" spans="1:7" x14ac:dyDescent="0.35">
      <c r="A71" s="771" t="s">
        <v>63</v>
      </c>
      <c r="B71" s="772" t="s">
        <v>3</v>
      </c>
      <c r="C71" s="258">
        <v>167</v>
      </c>
      <c r="D71" s="227">
        <v>1370</v>
      </c>
      <c r="E71" s="598">
        <f>+C71*D71</f>
        <v>228790</v>
      </c>
      <c r="F71" s="771" t="s">
        <v>509</v>
      </c>
    </row>
    <row r="72" spans="1:7" x14ac:dyDescent="0.35">
      <c r="B72" s="772" t="s">
        <v>353</v>
      </c>
      <c r="C72" s="258">
        <v>16</v>
      </c>
      <c r="D72" s="227">
        <f>+D71</f>
        <v>1370</v>
      </c>
      <c r="E72" s="598">
        <f>+C72*D72</f>
        <v>21920</v>
      </c>
    </row>
    <row r="73" spans="1:7" x14ac:dyDescent="0.35">
      <c r="B73" s="772" t="s">
        <v>196</v>
      </c>
      <c r="C73" s="258"/>
      <c r="D73" s="227"/>
      <c r="E73" s="598">
        <v>15000</v>
      </c>
    </row>
    <row r="74" spans="1:7" x14ac:dyDescent="0.35">
      <c r="B74" s="772" t="s">
        <v>6</v>
      </c>
      <c r="C74" s="258"/>
      <c r="D74" s="227" t="s">
        <v>63</v>
      </c>
      <c r="E74" s="598">
        <v>20000</v>
      </c>
    </row>
    <row r="75" spans="1:7" x14ac:dyDescent="0.35">
      <c r="B75" s="772" t="s">
        <v>270</v>
      </c>
      <c r="C75" s="258"/>
      <c r="D75" s="227">
        <f>+D71*1.5</f>
        <v>2055</v>
      </c>
      <c r="E75" s="711">
        <f>+C75*D75</f>
        <v>0</v>
      </c>
      <c r="F75" s="774" t="s">
        <v>63</v>
      </c>
    </row>
    <row r="76" spans="1:7" x14ac:dyDescent="0.35">
      <c r="B76" s="772" t="s">
        <v>281</v>
      </c>
      <c r="C76" s="258"/>
      <c r="D76" s="227" t="s">
        <v>63</v>
      </c>
      <c r="E76" s="598" t="s">
        <v>63</v>
      </c>
    </row>
    <row r="77" spans="1:7" x14ac:dyDescent="0.35">
      <c r="B77" s="1439" t="s">
        <v>99</v>
      </c>
      <c r="C77" s="1440"/>
      <c r="D77" s="1441"/>
      <c r="E77" s="599">
        <f>+E71+E72+E73+E74</f>
        <v>285710</v>
      </c>
      <c r="F77" s="774"/>
    </row>
    <row r="78" spans="1:7" x14ac:dyDescent="0.35">
      <c r="B78" s="723" t="s">
        <v>678</v>
      </c>
      <c r="C78" s="721"/>
      <c r="D78" s="721"/>
      <c r="E78" s="722">
        <v>-50000</v>
      </c>
      <c r="F78" s="774" t="s">
        <v>63</v>
      </c>
      <c r="G78" s="774" t="s">
        <v>63</v>
      </c>
    </row>
    <row r="79" spans="1:7" ht="15.5" x14ac:dyDescent="0.35">
      <c r="B79" s="1446" t="s">
        <v>11</v>
      </c>
      <c r="C79" s="1447"/>
      <c r="D79" s="1448"/>
      <c r="E79" s="603">
        <f>+E77+E78</f>
        <v>235710</v>
      </c>
      <c r="F79" s="774" t="s">
        <v>63</v>
      </c>
    </row>
    <row r="80" spans="1:7" x14ac:dyDescent="0.35">
      <c r="F80" s="774" t="s">
        <v>63</v>
      </c>
    </row>
    <row r="81" spans="2:8" x14ac:dyDescent="0.35">
      <c r="F81" s="774" t="s">
        <v>63</v>
      </c>
    </row>
    <row r="82" spans="2:8" ht="23.5" x14ac:dyDescent="0.35">
      <c r="B82" s="1431" t="s">
        <v>670</v>
      </c>
      <c r="C82" s="1431"/>
      <c r="D82" s="1431"/>
      <c r="E82" s="1431"/>
    </row>
    <row r="83" spans="2:8" x14ac:dyDescent="0.35">
      <c r="B83" s="801" t="s">
        <v>7</v>
      </c>
      <c r="C83" s="802" t="s">
        <v>388</v>
      </c>
      <c r="D83" s="803" t="s">
        <v>272</v>
      </c>
      <c r="E83" s="804" t="s">
        <v>9</v>
      </c>
    </row>
    <row r="84" spans="2:8" x14ac:dyDescent="0.35">
      <c r="B84" s="805" t="s">
        <v>3</v>
      </c>
      <c r="C84" s="806">
        <v>167</v>
      </c>
      <c r="D84" s="807">
        <v>1370</v>
      </c>
      <c r="E84" s="833">
        <f>+C84*D84</f>
        <v>228790</v>
      </c>
      <c r="F84" s="771" t="s">
        <v>509</v>
      </c>
    </row>
    <row r="85" spans="2:8" x14ac:dyDescent="0.35">
      <c r="B85" s="805" t="s">
        <v>310</v>
      </c>
      <c r="C85" s="806">
        <v>16</v>
      </c>
      <c r="D85" s="807">
        <f>+D84</f>
        <v>1370</v>
      </c>
      <c r="E85" s="833">
        <f>+C85*D85</f>
        <v>21920</v>
      </c>
      <c r="F85" s="774" t="s">
        <v>63</v>
      </c>
    </row>
    <row r="86" spans="2:8" x14ac:dyDescent="0.35">
      <c r="B86" s="805" t="s">
        <v>6</v>
      </c>
      <c r="C86" s="806"/>
      <c r="D86" s="807" t="s">
        <v>63</v>
      </c>
      <c r="E86" s="834">
        <v>20000</v>
      </c>
    </row>
    <row r="87" spans="2:8" x14ac:dyDescent="0.35">
      <c r="B87" s="614" t="s">
        <v>200</v>
      </c>
      <c r="C87" s="617"/>
      <c r="D87" s="227"/>
      <c r="E87" s="598">
        <v>15000</v>
      </c>
    </row>
    <row r="88" spans="2:8" x14ac:dyDescent="0.35">
      <c r="B88" s="614" t="s">
        <v>475</v>
      </c>
      <c r="C88" s="617"/>
      <c r="D88" s="227">
        <f>+D84*1.5</f>
        <v>2055</v>
      </c>
      <c r="E88" s="598">
        <f>+C88*D88</f>
        <v>0</v>
      </c>
      <c r="F88" s="774" t="s">
        <v>63</v>
      </c>
    </row>
    <row r="89" spans="2:8" ht="15.5" x14ac:dyDescent="0.35">
      <c r="B89" s="1433" t="s">
        <v>389</v>
      </c>
      <c r="C89" s="1433"/>
      <c r="D89" s="1433"/>
      <c r="E89" s="603">
        <f>+E84+E85+E86+E87</f>
        <v>285710</v>
      </c>
      <c r="F89" s="774" t="s">
        <v>63</v>
      </c>
    </row>
    <row r="90" spans="2:8" ht="15.5" x14ac:dyDescent="0.35">
      <c r="B90" s="723" t="s">
        <v>679</v>
      </c>
      <c r="C90" s="1000">
        <f>+E84+E85+E86+E87</f>
        <v>285710</v>
      </c>
      <c r="D90" s="1000">
        <f>+C90*10/100</f>
        <v>28571</v>
      </c>
      <c r="E90" s="832">
        <f>-D90</f>
        <v>-28571</v>
      </c>
      <c r="F90" s="771" t="s">
        <v>63</v>
      </c>
      <c r="G90" s="771" t="s">
        <v>63</v>
      </c>
      <c r="H90" s="771" t="s">
        <v>63</v>
      </c>
    </row>
    <row r="91" spans="2:8" ht="15.5" x14ac:dyDescent="0.35">
      <c r="B91" s="723" t="s">
        <v>631</v>
      </c>
      <c r="C91" s="1000"/>
      <c r="D91" s="1000"/>
      <c r="E91" s="832">
        <v>-60000</v>
      </c>
    </row>
    <row r="92" spans="2:8" ht="15.5" x14ac:dyDescent="0.35">
      <c r="B92" s="723" t="s">
        <v>19</v>
      </c>
      <c r="C92" s="1000"/>
      <c r="D92" s="1000"/>
      <c r="E92" s="832">
        <v>-60000</v>
      </c>
    </row>
    <row r="93" spans="2:8" ht="15.5" x14ac:dyDescent="0.35">
      <c r="B93" s="1011" t="s">
        <v>63</v>
      </c>
      <c r="C93" s="1011" t="s">
        <v>11</v>
      </c>
      <c r="D93" s="1011"/>
      <c r="E93" s="603">
        <f>+E89+E90+E91+E92</f>
        <v>137139</v>
      </c>
      <c r="F93" s="774" t="s">
        <v>63</v>
      </c>
    </row>
    <row r="94" spans="2:8" x14ac:dyDescent="0.35">
      <c r="E94" s="203" t="s">
        <v>63</v>
      </c>
    </row>
    <row r="96" spans="2:8" ht="23.5" x14ac:dyDescent="0.35">
      <c r="B96" s="1431" t="s">
        <v>671</v>
      </c>
      <c r="C96" s="1431"/>
      <c r="D96" s="1431"/>
      <c r="E96" s="1431"/>
    </row>
    <row r="97" spans="2:7" x14ac:dyDescent="0.35">
      <c r="B97" s="2" t="s">
        <v>7</v>
      </c>
      <c r="C97" s="270" t="s">
        <v>8</v>
      </c>
      <c r="D97" s="217" t="s">
        <v>4</v>
      </c>
      <c r="E97" s="597" t="s">
        <v>9</v>
      </c>
    </row>
    <row r="98" spans="2:7" x14ac:dyDescent="0.35">
      <c r="B98" s="772" t="s">
        <v>3</v>
      </c>
      <c r="C98" s="258">
        <v>167</v>
      </c>
      <c r="D98" s="227">
        <v>1370</v>
      </c>
      <c r="E98" s="598">
        <f>+C98*D98</f>
        <v>228790</v>
      </c>
      <c r="F98" s="771" t="s">
        <v>509</v>
      </c>
      <c r="G98" s="771" t="s">
        <v>63</v>
      </c>
    </row>
    <row r="99" spans="2:7" x14ac:dyDescent="0.35">
      <c r="B99" s="772" t="s">
        <v>561</v>
      </c>
      <c r="C99" s="258">
        <v>16</v>
      </c>
      <c r="D99" s="227">
        <f>+D98</f>
        <v>1370</v>
      </c>
      <c r="E99" s="598">
        <f>+C99*D99</f>
        <v>21920</v>
      </c>
    </row>
    <row r="100" spans="2:7" x14ac:dyDescent="0.35">
      <c r="B100" s="772" t="s">
        <v>200</v>
      </c>
      <c r="C100" s="258"/>
      <c r="D100" s="227"/>
      <c r="E100" s="598">
        <v>15000</v>
      </c>
    </row>
    <row r="101" spans="2:7" x14ac:dyDescent="0.35">
      <c r="B101" s="772" t="s">
        <v>6</v>
      </c>
      <c r="C101" s="258"/>
      <c r="D101" s="194" t="s">
        <v>63</v>
      </c>
      <c r="E101" s="598">
        <v>20000</v>
      </c>
    </row>
    <row r="102" spans="2:7" x14ac:dyDescent="0.35">
      <c r="B102" s="772" t="s">
        <v>270</v>
      </c>
      <c r="C102" s="258"/>
      <c r="D102" s="194">
        <f>+D98*1.5</f>
        <v>2055</v>
      </c>
      <c r="E102" s="598">
        <f>+C102*D102</f>
        <v>0</v>
      </c>
      <c r="F102" s="771" t="s">
        <v>63</v>
      </c>
    </row>
    <row r="103" spans="2:7" x14ac:dyDescent="0.35">
      <c r="B103" s="1432" t="s">
        <v>99</v>
      </c>
      <c r="C103" s="1432"/>
      <c r="D103" s="1432"/>
      <c r="E103" s="599">
        <f>+E98+E99+E100+E101</f>
        <v>285710</v>
      </c>
      <c r="F103" s="774" t="s">
        <v>63</v>
      </c>
    </row>
    <row r="104" spans="2:7" x14ac:dyDescent="0.35">
      <c r="B104" s="724" t="s">
        <v>19</v>
      </c>
      <c r="C104" s="729" t="s">
        <v>63</v>
      </c>
      <c r="D104" s="730" t="s">
        <v>63</v>
      </c>
      <c r="E104" s="731">
        <v>-30000</v>
      </c>
      <c r="F104" s="774" t="s">
        <v>63</v>
      </c>
    </row>
    <row r="105" spans="2:7" s="997" customFormat="1" ht="15.5" x14ac:dyDescent="0.35">
      <c r="B105" s="992"/>
      <c r="C105" s="993" t="s">
        <v>11</v>
      </c>
      <c r="D105" s="994"/>
      <c r="E105" s="995">
        <f>+E103+E104</f>
        <v>255710</v>
      </c>
      <c r="F105" s="996" t="s">
        <v>63</v>
      </c>
    </row>
    <row r="108" spans="2:7" ht="23.5" x14ac:dyDescent="0.35">
      <c r="B108" s="1431" t="s">
        <v>672</v>
      </c>
      <c r="C108" s="1431"/>
      <c r="D108" s="1431"/>
      <c r="E108" s="1431"/>
    </row>
    <row r="109" spans="2:7" x14ac:dyDescent="0.35">
      <c r="B109" s="2" t="s">
        <v>7</v>
      </c>
      <c r="C109" s="270" t="s">
        <v>8</v>
      </c>
      <c r="D109" s="217" t="s">
        <v>4</v>
      </c>
      <c r="E109" s="597" t="s">
        <v>9</v>
      </c>
    </row>
    <row r="110" spans="2:7" x14ac:dyDescent="0.35">
      <c r="B110" s="772" t="s">
        <v>3</v>
      </c>
      <c r="C110" s="258">
        <v>155</v>
      </c>
      <c r="D110" s="194">
        <v>1720</v>
      </c>
      <c r="E110" s="598">
        <f>+C110*D110</f>
        <v>266600</v>
      </c>
      <c r="F110" s="774" t="s">
        <v>509</v>
      </c>
    </row>
    <row r="111" spans="2:7" x14ac:dyDescent="0.35">
      <c r="B111" s="772" t="s">
        <v>353</v>
      </c>
      <c r="C111" s="258">
        <v>16</v>
      </c>
      <c r="D111" s="194">
        <f>+D110</f>
        <v>1720</v>
      </c>
      <c r="E111" s="609">
        <f>+C111*D111</f>
        <v>27520</v>
      </c>
    </row>
    <row r="112" spans="2:7" x14ac:dyDescent="0.35">
      <c r="B112" s="772" t="s">
        <v>6</v>
      </c>
      <c r="C112" s="258"/>
      <c r="D112" s="194"/>
      <c r="E112" s="609">
        <v>15000</v>
      </c>
    </row>
    <row r="113" spans="1:6" x14ac:dyDescent="0.35">
      <c r="B113" s="614" t="s">
        <v>681</v>
      </c>
      <c r="C113" s="617"/>
      <c r="D113" s="227">
        <f>3750*3</f>
        <v>11250</v>
      </c>
      <c r="E113" s="609">
        <v>11250</v>
      </c>
      <c r="F113" s="774" t="s">
        <v>63</v>
      </c>
    </row>
    <row r="114" spans="1:6" x14ac:dyDescent="0.35">
      <c r="B114" s="614" t="s">
        <v>656</v>
      </c>
      <c r="C114" s="617"/>
      <c r="D114" s="227">
        <f>+D110</f>
        <v>1720</v>
      </c>
      <c r="E114" s="609">
        <f>+C114*D114</f>
        <v>0</v>
      </c>
      <c r="F114" s="774"/>
    </row>
    <row r="115" spans="1:6" s="764" customFormat="1" x14ac:dyDescent="0.35">
      <c r="B115" s="882" t="s">
        <v>99</v>
      </c>
      <c r="C115" s="883"/>
      <c r="D115" s="883"/>
      <c r="E115" s="884">
        <f>+E110+E111+E112+E113+E114</f>
        <v>320370</v>
      </c>
      <c r="F115" s="769" t="s">
        <v>63</v>
      </c>
    </row>
    <row r="116" spans="1:6" x14ac:dyDescent="0.35">
      <c r="B116" s="962" t="s">
        <v>374</v>
      </c>
      <c r="C116" s="619"/>
      <c r="D116" s="619"/>
      <c r="E116" s="730">
        <v>-50500</v>
      </c>
      <c r="F116" s="774" t="s">
        <v>63</v>
      </c>
    </row>
    <row r="117" spans="1:6" ht="15.5" x14ac:dyDescent="0.35">
      <c r="B117" s="611" t="s">
        <v>11</v>
      </c>
      <c r="C117" s="612"/>
      <c r="D117" s="613"/>
      <c r="E117" s="603">
        <f>+E115+E116</f>
        <v>269870</v>
      </c>
      <c r="F117" s="774" t="s">
        <v>63</v>
      </c>
    </row>
    <row r="120" spans="1:6" ht="23.5" x14ac:dyDescent="0.35">
      <c r="A120" s="4"/>
      <c r="B120" s="1431" t="s">
        <v>673</v>
      </c>
      <c r="C120" s="1431"/>
      <c r="D120" s="1431"/>
      <c r="E120" s="1431"/>
    </row>
    <row r="121" spans="1:6" x14ac:dyDescent="0.35">
      <c r="A121" s="4"/>
      <c r="B121" s="2" t="s">
        <v>7</v>
      </c>
      <c r="C121" s="270" t="s">
        <v>388</v>
      </c>
      <c r="D121" s="217" t="s">
        <v>629</v>
      </c>
      <c r="E121" s="597" t="s">
        <v>9</v>
      </c>
    </row>
    <row r="122" spans="1:6" x14ac:dyDescent="0.35">
      <c r="A122" s="4"/>
      <c r="B122" s="772" t="s">
        <v>3</v>
      </c>
      <c r="C122" s="258">
        <v>150</v>
      </c>
      <c r="D122" s="194">
        <v>1720</v>
      </c>
      <c r="E122" s="598">
        <f>+C122*D122</f>
        <v>258000</v>
      </c>
      <c r="F122" s="771" t="s">
        <v>509</v>
      </c>
    </row>
    <row r="123" spans="1:6" x14ac:dyDescent="0.35">
      <c r="A123" s="4"/>
      <c r="B123" s="772" t="s">
        <v>379</v>
      </c>
      <c r="C123" s="258">
        <v>16</v>
      </c>
      <c r="D123" s="194">
        <f>+D122</f>
        <v>1720</v>
      </c>
      <c r="E123" s="609">
        <f>+C123*D123</f>
        <v>27520</v>
      </c>
    </row>
    <row r="124" spans="1:6" x14ac:dyDescent="0.35">
      <c r="A124" s="4"/>
      <c r="B124" s="772" t="s">
        <v>680</v>
      </c>
      <c r="C124" s="258"/>
      <c r="D124" s="194"/>
      <c r="E124" s="609">
        <v>7500</v>
      </c>
    </row>
    <row r="125" spans="1:6" x14ac:dyDescent="0.35">
      <c r="A125" s="4"/>
      <c r="B125" s="772" t="s">
        <v>6</v>
      </c>
      <c r="C125" s="258"/>
      <c r="D125" s="194"/>
      <c r="E125" s="609">
        <v>15000</v>
      </c>
    </row>
    <row r="126" spans="1:6" x14ac:dyDescent="0.35">
      <c r="A126" s="4"/>
      <c r="B126" s="614" t="s">
        <v>628</v>
      </c>
      <c r="C126" s="617"/>
      <c r="D126" s="227">
        <f>+D122*1.5</f>
        <v>2580</v>
      </c>
      <c r="E126" s="609">
        <f>+C126*D126</f>
        <v>0</v>
      </c>
    </row>
    <row r="127" spans="1:6" x14ac:dyDescent="0.35">
      <c r="A127" s="4"/>
      <c r="B127" s="882" t="s">
        <v>99</v>
      </c>
      <c r="C127" s="883"/>
      <c r="D127" s="883"/>
      <c r="E127" s="884">
        <f>+E122+E123+E124+E125+E126</f>
        <v>308020</v>
      </c>
    </row>
    <row r="128" spans="1:6" x14ac:dyDescent="0.35">
      <c r="A128" s="4"/>
      <c r="B128" s="962" t="s">
        <v>19</v>
      </c>
      <c r="C128" s="619"/>
      <c r="D128" s="619"/>
      <c r="E128" s="730">
        <v>0</v>
      </c>
    </row>
    <row r="129" spans="1:6" x14ac:dyDescent="0.35">
      <c r="A129" s="4"/>
      <c r="B129" s="962"/>
      <c r="C129" s="619"/>
      <c r="D129" s="619"/>
      <c r="E129" s="730"/>
    </row>
    <row r="130" spans="1:6" ht="15.5" x14ac:dyDescent="0.35">
      <c r="A130" s="4"/>
      <c r="B130" s="611" t="s">
        <v>11</v>
      </c>
      <c r="C130" s="612"/>
      <c r="D130" s="613"/>
      <c r="E130" s="603">
        <f>+E127+E128</f>
        <v>308020</v>
      </c>
      <c r="F130" s="774" t="s">
        <v>63</v>
      </c>
    </row>
  </sheetData>
  <mergeCells count="20">
    <mergeCell ref="B103:D103"/>
    <mergeCell ref="B108:E108"/>
    <mergeCell ref="B120:E120"/>
    <mergeCell ref="B69:E69"/>
    <mergeCell ref="B77:D77"/>
    <mergeCell ref="B79:D79"/>
    <mergeCell ref="B82:E82"/>
    <mergeCell ref="B89:D89"/>
    <mergeCell ref="B96:E96"/>
    <mergeCell ref="B64:D64"/>
    <mergeCell ref="B3:E3"/>
    <mergeCell ref="B11:D11"/>
    <mergeCell ref="B14:D14"/>
    <mergeCell ref="B16:E16"/>
    <mergeCell ref="B24:D24"/>
    <mergeCell ref="B27:E27"/>
    <mergeCell ref="B35:D35"/>
    <mergeCell ref="B41:E41"/>
    <mergeCell ref="B50:D50"/>
    <mergeCell ref="B56:E56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E36"/>
  <sheetViews>
    <sheetView topLeftCell="A25" workbookViewId="0">
      <selection activeCell="F27" sqref="F27"/>
    </sheetView>
  </sheetViews>
  <sheetFormatPr baseColWidth="10" defaultRowHeight="14.5" x14ac:dyDescent="0.35"/>
  <cols>
    <col min="1" max="1" width="10.90625" style="771"/>
    <col min="2" max="2" width="22" style="771" customWidth="1"/>
    <col min="3" max="3" width="26.90625" style="774" customWidth="1"/>
    <col min="4" max="4" width="21.1796875" style="774" customWidth="1"/>
    <col min="5" max="5" width="14.08984375" style="771" customWidth="1"/>
    <col min="6" max="16384" width="10.90625" style="771"/>
  </cols>
  <sheetData>
    <row r="1" spans="1:5" s="658" customFormat="1" ht="28.5" x14ac:dyDescent="0.65">
      <c r="A1" s="946"/>
      <c r="B1" s="947" t="s">
        <v>687</v>
      </c>
      <c r="C1" s="983"/>
      <c r="D1" s="983"/>
    </row>
    <row r="2" spans="1:5" s="658" customFormat="1" ht="28.5" x14ac:dyDescent="0.65">
      <c r="A2" s="946"/>
      <c r="B2" s="947"/>
      <c r="C2" s="983"/>
      <c r="D2" s="983"/>
    </row>
    <row r="3" spans="1:5" ht="21" x14ac:dyDescent="0.5">
      <c r="A3" s="760"/>
      <c r="B3" s="981" t="s">
        <v>7</v>
      </c>
      <c r="C3" s="984" t="s">
        <v>3</v>
      </c>
      <c r="D3" s="984" t="s">
        <v>688</v>
      </c>
    </row>
    <row r="4" spans="1:5" ht="21" x14ac:dyDescent="0.5">
      <c r="A4" s="760">
        <v>1</v>
      </c>
      <c r="B4" s="949" t="s">
        <v>10</v>
      </c>
      <c r="C4" s="985">
        <v>384825</v>
      </c>
      <c r="D4" s="985">
        <v>172000</v>
      </c>
    </row>
    <row r="5" spans="1:5" ht="21" x14ac:dyDescent="0.5">
      <c r="A5" s="760">
        <v>2</v>
      </c>
      <c r="B5" s="949" t="s">
        <v>15</v>
      </c>
      <c r="C5" s="985">
        <v>700000</v>
      </c>
      <c r="D5" s="985">
        <v>350000</v>
      </c>
    </row>
    <row r="6" spans="1:5" ht="21" x14ac:dyDescent="0.5">
      <c r="A6" s="760">
        <v>3</v>
      </c>
      <c r="B6" s="949" t="s">
        <v>16</v>
      </c>
      <c r="C6" s="985">
        <v>376850</v>
      </c>
      <c r="D6" s="985">
        <v>56850</v>
      </c>
      <c r="E6" s="774">
        <v>320000</v>
      </c>
    </row>
    <row r="7" spans="1:5" ht="21" x14ac:dyDescent="0.5">
      <c r="A7" s="951">
        <v>4</v>
      </c>
      <c r="B7" s="949" t="s">
        <v>0</v>
      </c>
      <c r="C7" s="985">
        <v>447470</v>
      </c>
      <c r="D7" s="985">
        <v>269000</v>
      </c>
    </row>
    <row r="8" spans="1:5" ht="21" x14ac:dyDescent="0.5">
      <c r="A8" s="951">
        <v>5</v>
      </c>
      <c r="B8" s="949" t="s">
        <v>245</v>
      </c>
      <c r="C8" s="985">
        <v>285710</v>
      </c>
      <c r="D8" s="985">
        <v>235700</v>
      </c>
    </row>
    <row r="9" spans="1:5" ht="21" x14ac:dyDescent="0.5">
      <c r="A9" s="951">
        <v>6</v>
      </c>
      <c r="B9" s="949" t="s">
        <v>267</v>
      </c>
      <c r="C9" s="985">
        <v>339140</v>
      </c>
      <c r="D9" s="985">
        <v>305300</v>
      </c>
    </row>
    <row r="10" spans="1:5" ht="21" x14ac:dyDescent="0.5">
      <c r="A10" s="951">
        <v>7</v>
      </c>
      <c r="B10" s="949" t="s">
        <v>260</v>
      </c>
      <c r="C10" s="985">
        <v>320370</v>
      </c>
      <c r="D10" s="985">
        <v>270000</v>
      </c>
    </row>
    <row r="11" spans="1:5" ht="21" x14ac:dyDescent="0.5">
      <c r="A11" s="951">
        <v>8</v>
      </c>
      <c r="B11" s="949" t="s">
        <v>553</v>
      </c>
      <c r="C11" s="985">
        <v>285710</v>
      </c>
      <c r="D11" s="985">
        <v>255700</v>
      </c>
    </row>
    <row r="12" spans="1:5" ht="21" x14ac:dyDescent="0.5">
      <c r="A12" s="951">
        <v>9</v>
      </c>
      <c r="B12" s="949" t="s">
        <v>463</v>
      </c>
      <c r="C12" s="985">
        <v>285710</v>
      </c>
      <c r="D12" s="985">
        <v>137200</v>
      </c>
    </row>
    <row r="13" spans="1:5" ht="21" x14ac:dyDescent="0.5">
      <c r="A13" s="760">
        <v>10</v>
      </c>
      <c r="B13" s="949" t="s">
        <v>613</v>
      </c>
      <c r="C13" s="985">
        <v>308020</v>
      </c>
      <c r="D13" s="985">
        <v>308000</v>
      </c>
    </row>
    <row r="14" spans="1:5" s="658" customFormat="1" ht="28.5" x14ac:dyDescent="0.65">
      <c r="A14" s="946"/>
      <c r="B14" s="952" t="s">
        <v>690</v>
      </c>
      <c r="C14" s="1006">
        <f>+C5+C6+C7+C8+C10+C12+C13</f>
        <v>2724130</v>
      </c>
      <c r="D14" s="986">
        <f>+D4+D5+D6+D7+D8+D9+D10+D11+D12+D13</f>
        <v>2359750</v>
      </c>
    </row>
    <row r="15" spans="1:5" ht="21" x14ac:dyDescent="0.5">
      <c r="A15" s="760"/>
      <c r="B15" s="760"/>
      <c r="C15" s="797" t="s">
        <v>63</v>
      </c>
      <c r="D15" s="797"/>
    </row>
    <row r="16" spans="1:5" ht="21" x14ac:dyDescent="0.5">
      <c r="A16" s="760"/>
      <c r="B16" s="760"/>
      <c r="C16" s="797" t="s">
        <v>63</v>
      </c>
      <c r="D16" s="797"/>
    </row>
    <row r="17" spans="1:4" s="648" customFormat="1" ht="46" x14ac:dyDescent="1">
      <c r="A17" s="760"/>
      <c r="B17" s="954" t="s">
        <v>687</v>
      </c>
      <c r="C17" s="797"/>
      <c r="D17" s="797"/>
    </row>
    <row r="18" spans="1:4" ht="18.5" x14ac:dyDescent="0.45">
      <c r="B18" s="643" t="s">
        <v>306</v>
      </c>
      <c r="C18" s="987" t="s">
        <v>272</v>
      </c>
      <c r="D18" s="987" t="s">
        <v>200</v>
      </c>
    </row>
    <row r="19" spans="1:4" ht="18.5" x14ac:dyDescent="0.45">
      <c r="B19" s="644" t="s">
        <v>10</v>
      </c>
      <c r="C19" s="988">
        <v>1775</v>
      </c>
      <c r="D19" s="988">
        <v>15000</v>
      </c>
    </row>
    <row r="20" spans="1:4" ht="18.5" x14ac:dyDescent="0.45">
      <c r="B20" s="644" t="s">
        <v>15</v>
      </c>
      <c r="C20" s="988" t="s">
        <v>63</v>
      </c>
      <c r="D20" s="988">
        <v>15000</v>
      </c>
    </row>
    <row r="21" spans="1:4" ht="18.5" x14ac:dyDescent="0.45">
      <c r="B21" s="644" t="s">
        <v>16</v>
      </c>
      <c r="C21" s="988">
        <v>1324.8</v>
      </c>
      <c r="D21" s="988">
        <v>15000</v>
      </c>
    </row>
    <row r="22" spans="1:4" ht="18.5" x14ac:dyDescent="0.45">
      <c r="B22" s="644" t="s">
        <v>0</v>
      </c>
      <c r="C22" s="988">
        <v>2090</v>
      </c>
      <c r="D22" s="988">
        <v>15000</v>
      </c>
    </row>
    <row r="23" spans="1:4" ht="18.5" x14ac:dyDescent="0.45">
      <c r="B23" s="644" t="s">
        <v>245</v>
      </c>
      <c r="C23" s="988">
        <v>1370</v>
      </c>
      <c r="D23" s="988">
        <v>15000</v>
      </c>
    </row>
    <row r="24" spans="1:4" ht="18.5" x14ac:dyDescent="0.45">
      <c r="B24" s="644" t="s">
        <v>267</v>
      </c>
      <c r="C24" s="988">
        <v>1580</v>
      </c>
      <c r="D24" s="988">
        <v>15000</v>
      </c>
    </row>
    <row r="25" spans="1:4" ht="18.5" x14ac:dyDescent="0.45">
      <c r="B25" s="644" t="s">
        <v>260</v>
      </c>
      <c r="C25" s="988">
        <v>1720</v>
      </c>
      <c r="D25" s="988">
        <v>15000</v>
      </c>
    </row>
    <row r="26" spans="1:4" ht="18.5" x14ac:dyDescent="0.45">
      <c r="B26" s="645" t="s">
        <v>553</v>
      </c>
      <c r="C26" s="988">
        <v>1370</v>
      </c>
      <c r="D26" s="989">
        <v>15000</v>
      </c>
    </row>
    <row r="27" spans="1:4" ht="18.5" x14ac:dyDescent="0.45">
      <c r="B27" s="645" t="s">
        <v>463</v>
      </c>
      <c r="C27" s="988">
        <v>1370</v>
      </c>
      <c r="D27" s="989">
        <v>15000</v>
      </c>
    </row>
    <row r="28" spans="1:4" ht="18.5" x14ac:dyDescent="0.45">
      <c r="B28" s="645" t="s">
        <v>613</v>
      </c>
      <c r="C28" s="988">
        <v>1720</v>
      </c>
      <c r="D28" s="989">
        <v>15000</v>
      </c>
    </row>
    <row r="29" spans="1:4" ht="18.5" x14ac:dyDescent="0.45">
      <c r="B29" s="798"/>
      <c r="C29" s="1007"/>
      <c r="D29" s="990"/>
    </row>
    <row r="31" spans="1:4" x14ac:dyDescent="0.35">
      <c r="A31" s="701" t="s">
        <v>106</v>
      </c>
      <c r="B31" s="702" t="s">
        <v>107</v>
      </c>
      <c r="C31" s="1013" t="s">
        <v>262</v>
      </c>
      <c r="D31" s="991"/>
    </row>
    <row r="32" spans="1:4" x14ac:dyDescent="0.35">
      <c r="A32" s="703">
        <v>15</v>
      </c>
      <c r="B32" s="703">
        <v>9</v>
      </c>
      <c r="C32" s="964">
        <f>+A32*B32</f>
        <v>135</v>
      </c>
      <c r="D32" s="593" t="s">
        <v>116</v>
      </c>
    </row>
    <row r="33" spans="1:4" x14ac:dyDescent="0.35">
      <c r="A33" s="703">
        <v>4</v>
      </c>
      <c r="B33" s="703">
        <v>8</v>
      </c>
      <c r="C33" s="964">
        <f>+A33*B33</f>
        <v>32</v>
      </c>
      <c r="D33" s="593" t="s">
        <v>638</v>
      </c>
    </row>
    <row r="34" spans="1:4" x14ac:dyDescent="0.35">
      <c r="A34" s="703">
        <v>2</v>
      </c>
      <c r="B34" s="703">
        <v>8</v>
      </c>
      <c r="C34" s="964">
        <f>+A34*B34</f>
        <v>16</v>
      </c>
      <c r="D34" s="593" t="s">
        <v>111</v>
      </c>
    </row>
    <row r="35" spans="1:4" x14ac:dyDescent="0.35">
      <c r="A35" s="568" t="s">
        <v>63</v>
      </c>
      <c r="B35" s="773"/>
      <c r="C35" s="964">
        <f>+C32+C33+C34</f>
        <v>183</v>
      </c>
      <c r="D35" s="593" t="s">
        <v>309</v>
      </c>
    </row>
    <row r="36" spans="1:4" x14ac:dyDescent="0.35">
      <c r="A36" s="1014" t="s">
        <v>63</v>
      </c>
    </row>
  </sheetData>
  <pageMargins left="0.7" right="0.7" top="0.75" bottom="0.75" header="0.3" footer="0.3"/>
  <pageSetup paperSize="9" scale="91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V134"/>
  <sheetViews>
    <sheetView zoomScaleNormal="100" workbookViewId="0">
      <selection activeCell="E11" sqref="E11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90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45352</v>
      </c>
    </row>
    <row r="3" spans="2:21" ht="25.5" customHeight="1" x14ac:dyDescent="0.35">
      <c r="B3" s="1431" t="s">
        <v>691</v>
      </c>
      <c r="C3" s="1431"/>
      <c r="D3" s="1431"/>
      <c r="E3" s="1431"/>
    </row>
    <row r="4" spans="2:21" s="1018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90"/>
      <c r="T4" s="771"/>
      <c r="U4" s="771"/>
    </row>
    <row r="5" spans="2:21" ht="18" customHeight="1" x14ac:dyDescent="0.35">
      <c r="B5" s="772" t="s">
        <v>480</v>
      </c>
      <c r="C5" s="258">
        <v>176</v>
      </c>
      <c r="D5" s="227">
        <f>1775*1.1</f>
        <v>1952.5000000000002</v>
      </c>
      <c r="E5" s="598">
        <f>+C5*D5</f>
        <v>343640.00000000006</v>
      </c>
      <c r="F5" s="553" t="s">
        <v>362</v>
      </c>
      <c r="T5" s="1018"/>
    </row>
    <row r="6" spans="2:21" ht="18" customHeight="1" x14ac:dyDescent="0.35">
      <c r="B6" s="772" t="s">
        <v>692</v>
      </c>
      <c r="C6" s="258">
        <v>8</v>
      </c>
      <c r="D6" s="227">
        <f>+D5</f>
        <v>1952.5000000000002</v>
      </c>
      <c r="E6" s="598">
        <f>+C6*D6</f>
        <v>15620.000000000002</v>
      </c>
      <c r="F6" s="553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553" t="s">
        <v>63</v>
      </c>
      <c r="G7" s="771" t="s">
        <v>63</v>
      </c>
    </row>
    <row r="8" spans="2:21" ht="18" customHeight="1" x14ac:dyDescent="0.35">
      <c r="B8" s="772" t="s">
        <v>467</v>
      </c>
      <c r="C8" s="258"/>
      <c r="D8" s="194">
        <f>+D5*1.5</f>
        <v>2928.7500000000005</v>
      </c>
      <c r="E8" s="598">
        <f>+C8*D8</f>
        <v>0</v>
      </c>
      <c r="F8" s="553" t="s">
        <v>63</v>
      </c>
      <c r="G8" s="774"/>
    </row>
    <row r="9" spans="2:21" ht="18" customHeight="1" x14ac:dyDescent="0.35">
      <c r="B9" s="772" t="s">
        <v>489</v>
      </c>
      <c r="C9" s="258"/>
      <c r="D9" s="194"/>
      <c r="E9" s="598">
        <v>70000</v>
      </c>
      <c r="F9" s="553" t="s">
        <v>364</v>
      </c>
      <c r="G9" s="774" t="s">
        <v>63</v>
      </c>
      <c r="U9" s="1018"/>
    </row>
    <row r="10" spans="2:21" ht="18" customHeight="1" x14ac:dyDescent="0.35">
      <c r="B10" s="772" t="s">
        <v>693</v>
      </c>
      <c r="C10" s="258">
        <v>1</v>
      </c>
      <c r="D10" s="194">
        <v>10000</v>
      </c>
      <c r="E10" s="598">
        <f>+C10*D10</f>
        <v>10000</v>
      </c>
      <c r="F10" s="553" t="s">
        <v>710</v>
      </c>
      <c r="U10" s="1018"/>
    </row>
    <row r="11" spans="2:21" ht="18" customHeight="1" x14ac:dyDescent="0.35">
      <c r="B11" s="1432" t="s">
        <v>99</v>
      </c>
      <c r="C11" s="1432"/>
      <c r="D11" s="1432"/>
      <c r="E11" s="599">
        <f>+E5+E6+E7+E9+E10</f>
        <v>454260.00000000006</v>
      </c>
      <c r="F11" s="553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1018"/>
    </row>
    <row r="12" spans="2:21" ht="18" customHeight="1" x14ac:dyDescent="0.35">
      <c r="B12" s="1022" t="s">
        <v>384</v>
      </c>
      <c r="C12" s="1020"/>
      <c r="D12" s="1020"/>
      <c r="E12" s="221">
        <v>-186478.66</v>
      </c>
      <c r="F12" s="553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1018"/>
    </row>
    <row r="13" spans="2:21" ht="18" customHeight="1" x14ac:dyDescent="0.35">
      <c r="B13" s="800" t="s">
        <v>694</v>
      </c>
      <c r="C13" s="721" t="s">
        <v>477</v>
      </c>
      <c r="D13" s="905">
        <f>+E5+E6+E7+E9</f>
        <v>444260.00000000006</v>
      </c>
      <c r="E13" s="722">
        <f>-D13*0.1</f>
        <v>-44426.000000000007</v>
      </c>
      <c r="F13" s="553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1018"/>
    </row>
    <row r="14" spans="2:21" ht="18" customHeight="1" x14ac:dyDescent="0.35">
      <c r="B14" s="800" t="s">
        <v>19</v>
      </c>
      <c r="C14" s="721"/>
      <c r="D14" s="905"/>
      <c r="E14" s="722">
        <v>-150000</v>
      </c>
      <c r="F14" s="553" t="s">
        <v>63</v>
      </c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R14" s="1023"/>
    </row>
    <row r="15" spans="2:21" ht="18" customHeight="1" x14ac:dyDescent="0.35">
      <c r="B15" s="1433" t="s">
        <v>11</v>
      </c>
      <c r="C15" s="1433"/>
      <c r="D15" s="1433"/>
      <c r="E15" s="603">
        <f>+E11+E12+E13+E14</f>
        <v>73355.340000000084</v>
      </c>
      <c r="F15" s="553" t="s">
        <v>63</v>
      </c>
      <c r="H15" s="321"/>
      <c r="I15" s="321"/>
      <c r="J15" s="321"/>
      <c r="K15" s="473"/>
      <c r="L15" s="321"/>
      <c r="M15" s="321"/>
      <c r="T15" s="1018"/>
    </row>
    <row r="16" spans="2:21" ht="18" customHeight="1" x14ac:dyDescent="0.35">
      <c r="E16" s="203" t="s">
        <v>63</v>
      </c>
      <c r="F16" s="679"/>
      <c r="G16" s="4"/>
      <c r="N16" s="4"/>
      <c r="T16" s="1018"/>
    </row>
    <row r="17" spans="2:22" ht="18" customHeight="1" x14ac:dyDescent="0.35">
      <c r="B17" s="1442" t="s">
        <v>665</v>
      </c>
      <c r="C17" s="1443"/>
      <c r="D17" s="1443"/>
      <c r="E17" s="1444"/>
      <c r="F17" s="406"/>
      <c r="K17" s="465"/>
      <c r="L17" s="465"/>
      <c r="M17" s="465"/>
    </row>
    <row r="18" spans="2:22" ht="18" customHeight="1" x14ac:dyDescent="0.35">
      <c r="B18" s="2" t="s">
        <v>7</v>
      </c>
      <c r="C18" s="270" t="s">
        <v>8</v>
      </c>
      <c r="D18" s="217" t="s">
        <v>4</v>
      </c>
      <c r="E18" s="597" t="s">
        <v>9</v>
      </c>
      <c r="F18" s="1024"/>
      <c r="K18" s="101"/>
      <c r="L18" s="101"/>
      <c r="M18" s="101"/>
    </row>
    <row r="19" spans="2:22" ht="18" customHeight="1" x14ac:dyDescent="0.35">
      <c r="B19" s="772" t="s">
        <v>683</v>
      </c>
      <c r="C19" s="258"/>
      <c r="D19" s="194"/>
      <c r="E19" s="598">
        <v>0</v>
      </c>
      <c r="F19" s="553" t="s">
        <v>63</v>
      </c>
      <c r="K19" s="101"/>
      <c r="L19" s="101"/>
      <c r="M19" s="101"/>
    </row>
    <row r="20" spans="2:22" ht="18" customHeight="1" x14ac:dyDescent="0.35">
      <c r="B20" s="772" t="s">
        <v>684</v>
      </c>
      <c r="C20" s="258"/>
      <c r="D20" s="194"/>
      <c r="E20" s="598">
        <v>350000</v>
      </c>
      <c r="F20" s="1024"/>
      <c r="H20" s="1019"/>
      <c r="N20" s="51"/>
      <c r="O20" s="51"/>
      <c r="P20" s="66"/>
      <c r="Q20" s="49"/>
      <c r="R20" s="49"/>
    </row>
    <row r="21" spans="2:22" ht="18" customHeight="1" x14ac:dyDescent="0.35">
      <c r="B21" s="772"/>
      <c r="C21" s="258"/>
      <c r="D21" s="194"/>
      <c r="E21" s="598"/>
      <c r="F21" s="1025" t="s">
        <v>63</v>
      </c>
      <c r="H21" s="1019"/>
      <c r="N21" s="51"/>
      <c r="O21" s="51"/>
      <c r="P21" s="66"/>
      <c r="Q21" s="49"/>
      <c r="R21" s="49"/>
    </row>
    <row r="22" spans="2:22" s="90" customFormat="1" ht="18" customHeight="1" x14ac:dyDescent="0.35">
      <c r="B22" s="141" t="s">
        <v>685</v>
      </c>
      <c r="C22" s="1016"/>
      <c r="D22" s="195"/>
      <c r="E22" s="1017">
        <f>+E19+E20</f>
        <v>350000</v>
      </c>
      <c r="F22" s="553"/>
      <c r="G22" s="95"/>
      <c r="L22" s="180"/>
      <c r="M22" s="184"/>
    </row>
    <row r="23" spans="2:22" s="1018" customFormat="1" ht="18" customHeight="1" x14ac:dyDescent="0.35">
      <c r="B23" s="772" t="s">
        <v>682</v>
      </c>
      <c r="C23" s="258"/>
      <c r="D23" s="194"/>
      <c r="E23" s="598">
        <v>9173</v>
      </c>
      <c r="F23" s="553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1018" customFormat="1" ht="18" customHeight="1" x14ac:dyDescent="0.35">
      <c r="B24" s="772"/>
      <c r="C24" s="258"/>
      <c r="D24" s="194"/>
      <c r="E24" s="598"/>
      <c r="F24" s="553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1018" customFormat="1" ht="18" customHeight="1" x14ac:dyDescent="0.35">
      <c r="B25" s="1439" t="s">
        <v>686</v>
      </c>
      <c r="C25" s="1440"/>
      <c r="D25" s="1441"/>
      <c r="E25" s="599" t="s">
        <v>63</v>
      </c>
      <c r="F25" s="553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908" customFormat="1" ht="18" customHeight="1" x14ac:dyDescent="0.35">
      <c r="B26" s="689"/>
      <c r="C26" s="689"/>
      <c r="D26" s="689"/>
      <c r="E26" s="688"/>
      <c r="F26" s="768"/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ht="18" customHeight="1" x14ac:dyDescent="0.35">
      <c r="B27" s="455"/>
      <c r="C27" s="455"/>
      <c r="D27" s="455"/>
      <c r="E27" s="456" t="s">
        <v>63</v>
      </c>
      <c r="F27" s="409"/>
      <c r="G27" s="115"/>
      <c r="M27" s="189"/>
      <c r="N27" s="180"/>
      <c r="O27" s="180"/>
      <c r="P27" s="181"/>
      <c r="Q27" s="181"/>
      <c r="R27" s="181"/>
    </row>
    <row r="28" spans="2:22" ht="18" customHeight="1" x14ac:dyDescent="0.45">
      <c r="B28" s="1450" t="s">
        <v>695</v>
      </c>
      <c r="C28" s="1451"/>
      <c r="D28" s="1451"/>
      <c r="E28" s="1452"/>
      <c r="F28" s="409"/>
      <c r="G28" s="115"/>
      <c r="M28" s="185"/>
      <c r="N28" s="181"/>
      <c r="O28" s="181"/>
      <c r="P28" s="181"/>
      <c r="Q28" s="181"/>
    </row>
    <row r="29" spans="2:22" ht="18" customHeight="1" x14ac:dyDescent="0.35">
      <c r="B29" s="604" t="s">
        <v>7</v>
      </c>
      <c r="C29" s="605" t="s">
        <v>8</v>
      </c>
      <c r="D29" s="606" t="s">
        <v>4</v>
      </c>
      <c r="E29" s="606" t="s">
        <v>9</v>
      </c>
      <c r="M29" s="185"/>
      <c r="N29" s="181"/>
      <c r="O29" s="181"/>
      <c r="P29" s="184"/>
    </row>
    <row r="30" spans="2:22" ht="18" customHeight="1" x14ac:dyDescent="0.35">
      <c r="B30" s="607" t="s">
        <v>480</v>
      </c>
      <c r="C30" s="267">
        <v>159</v>
      </c>
      <c r="D30" s="211">
        <f>1590*1.1</f>
        <v>1749.0000000000002</v>
      </c>
      <c r="E30" s="211">
        <f>+C30*D30</f>
        <v>278091.00000000006</v>
      </c>
      <c r="F30" s="90" t="s">
        <v>362</v>
      </c>
      <c r="G30" s="774" t="s">
        <v>63</v>
      </c>
      <c r="M30" s="182"/>
    </row>
    <row r="31" spans="2:22" ht="18" customHeight="1" x14ac:dyDescent="0.35">
      <c r="B31" s="772" t="s">
        <v>714</v>
      </c>
      <c r="C31" s="267">
        <v>8</v>
      </c>
      <c r="D31" s="211">
        <f>+D30</f>
        <v>1749.0000000000002</v>
      </c>
      <c r="E31" s="211">
        <f>+C31*D31</f>
        <v>13992.000000000002</v>
      </c>
      <c r="F31" s="553"/>
      <c r="I31" s="1018"/>
      <c r="J31" s="1018"/>
      <c r="K31" s="1018"/>
    </row>
    <row r="32" spans="2:22" ht="18" customHeight="1" x14ac:dyDescent="0.35">
      <c r="B32" s="772" t="s">
        <v>488</v>
      </c>
      <c r="C32" s="267"/>
      <c r="D32" s="211"/>
      <c r="E32" s="211">
        <v>15000</v>
      </c>
      <c r="F32" s="553"/>
      <c r="L32" s="1018"/>
    </row>
    <row r="33" spans="2:15" ht="18" customHeight="1" x14ac:dyDescent="0.35">
      <c r="B33" s="772" t="s">
        <v>489</v>
      </c>
      <c r="C33" s="267"/>
      <c r="D33" s="211"/>
      <c r="E33" s="211">
        <v>50000</v>
      </c>
      <c r="F33" s="553" t="s">
        <v>710</v>
      </c>
      <c r="L33" s="1018"/>
    </row>
    <row r="34" spans="2:15" ht="18" customHeight="1" x14ac:dyDescent="0.35">
      <c r="B34" s="772" t="s">
        <v>468</v>
      </c>
      <c r="C34" s="267">
        <v>3</v>
      </c>
      <c r="D34" s="211">
        <f>+D30*1.5</f>
        <v>2623.5000000000005</v>
      </c>
      <c r="E34" s="211">
        <f>C34*D34</f>
        <v>7870.5000000000018</v>
      </c>
      <c r="F34" s="1025" t="s">
        <v>63</v>
      </c>
      <c r="G34" s="180"/>
      <c r="H34" s="180"/>
      <c r="I34" s="181"/>
      <c r="J34" s="187"/>
      <c r="K34" s="188"/>
      <c r="L34" s="1018"/>
      <c r="O34" s="1018"/>
    </row>
    <row r="35" spans="2:15" ht="18" customHeight="1" x14ac:dyDescent="0.35">
      <c r="B35" s="772" t="s">
        <v>128</v>
      </c>
      <c r="C35" s="267" t="s">
        <v>63</v>
      </c>
      <c r="D35" s="211" t="s">
        <v>63</v>
      </c>
      <c r="E35" s="211">
        <v>5000</v>
      </c>
      <c r="F35" s="1025"/>
      <c r="G35" s="180"/>
      <c r="H35" s="180"/>
      <c r="I35" s="181"/>
      <c r="J35" s="187"/>
      <c r="K35" s="188"/>
      <c r="L35" s="1018"/>
      <c r="O35" s="1018"/>
    </row>
    <row r="36" spans="2:15" s="1018" customFormat="1" ht="18" customHeight="1" x14ac:dyDescent="0.35">
      <c r="B36" s="1459" t="s">
        <v>99</v>
      </c>
      <c r="C36" s="1459"/>
      <c r="D36" s="1459"/>
      <c r="E36" s="599">
        <f>+E30+E31+E32+E33+E34+E35</f>
        <v>369953.50000000006</v>
      </c>
      <c r="F36" s="553" t="s">
        <v>63</v>
      </c>
      <c r="G36" s="180"/>
      <c r="H36" s="180"/>
      <c r="I36" s="181"/>
      <c r="J36" s="181"/>
      <c r="K36" s="184"/>
      <c r="L36" s="771"/>
      <c r="N36" s="771"/>
      <c r="O36" s="771"/>
    </row>
    <row r="37" spans="2:15" s="1018" customFormat="1" ht="18" customHeight="1" x14ac:dyDescent="0.35">
      <c r="B37" s="825" t="s">
        <v>715</v>
      </c>
      <c r="C37" s="824">
        <f>+E30+E31+E32+E33</f>
        <v>357083.00000000006</v>
      </c>
      <c r="D37" s="823" t="s">
        <v>63</v>
      </c>
      <c r="E37" s="930">
        <f>-C37*0.05</f>
        <v>-17854.150000000005</v>
      </c>
      <c r="F37" s="553" t="s">
        <v>63</v>
      </c>
      <c r="G37" s="180"/>
      <c r="H37" s="180"/>
      <c r="I37" s="181"/>
      <c r="J37" s="181"/>
      <c r="K37" s="184"/>
      <c r="L37" s="771"/>
      <c r="N37" s="771"/>
      <c r="O37" s="771"/>
    </row>
    <row r="38" spans="2:15" s="1018" customFormat="1" ht="18" customHeight="1" x14ac:dyDescent="0.35">
      <c r="B38" s="825" t="s">
        <v>19</v>
      </c>
      <c r="C38" s="824" t="s">
        <v>63</v>
      </c>
      <c r="D38" s="823"/>
      <c r="E38" s="930">
        <v>-100000</v>
      </c>
      <c r="F38" s="553" t="s">
        <v>63</v>
      </c>
      <c r="G38" s="180"/>
      <c r="H38" s="180"/>
      <c r="I38" s="181"/>
      <c r="J38" s="181"/>
      <c r="K38" s="184"/>
      <c r="L38" s="771"/>
      <c r="N38" s="771"/>
      <c r="O38" s="771"/>
    </row>
    <row r="39" spans="2:15" ht="18" customHeight="1" x14ac:dyDescent="0.35">
      <c r="B39" s="786" t="s">
        <v>11</v>
      </c>
      <c r="C39" s="783"/>
      <c r="D39" s="783"/>
      <c r="E39" s="784">
        <f>+E36+E37+E38</f>
        <v>252099.35000000003</v>
      </c>
      <c r="F39" s="553"/>
      <c r="G39" s="180"/>
      <c r="H39" s="180"/>
      <c r="I39" s="181"/>
      <c r="J39" s="181"/>
      <c r="K39" s="184"/>
    </row>
    <row r="40" spans="2:15" ht="18" customHeight="1" x14ac:dyDescent="0.35">
      <c r="B40" s="594"/>
      <c r="C40" s="594"/>
      <c r="D40" s="594"/>
      <c r="E40" s="595"/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1431" t="s">
        <v>696</v>
      </c>
      <c r="C42" s="1431"/>
      <c r="D42" s="1431"/>
      <c r="E42" s="1431"/>
      <c r="G42" s="180"/>
      <c r="H42" s="180"/>
      <c r="I42" s="181"/>
      <c r="J42" s="181"/>
      <c r="K42" s="184"/>
    </row>
    <row r="43" spans="2:15" ht="18" customHeight="1" x14ac:dyDescent="0.35">
      <c r="B43" s="2"/>
      <c r="C43" s="270" t="s">
        <v>8</v>
      </c>
      <c r="D43" s="217" t="s">
        <v>4</v>
      </c>
      <c r="E43" s="597" t="s">
        <v>9</v>
      </c>
      <c r="G43" s="180"/>
      <c r="H43" s="180"/>
      <c r="I43" s="181"/>
      <c r="J43" s="181"/>
      <c r="K43" s="184"/>
    </row>
    <row r="44" spans="2:15" ht="18" customHeight="1" x14ac:dyDescent="0.35">
      <c r="B44" s="772" t="s">
        <v>253</v>
      </c>
      <c r="C44" s="258">
        <v>176</v>
      </c>
      <c r="D44" s="194">
        <f>2090*1.3</f>
        <v>2717</v>
      </c>
      <c r="E44" s="598">
        <f>+C44*D44</f>
        <v>478192</v>
      </c>
      <c r="F44" s="90" t="s">
        <v>676</v>
      </c>
      <c r="G44" s="906" t="s">
        <v>63</v>
      </c>
      <c r="H44" s="180"/>
      <c r="I44" s="181"/>
      <c r="J44" s="181"/>
      <c r="K44" s="184"/>
    </row>
    <row r="45" spans="2:15" ht="18" customHeight="1" x14ac:dyDescent="0.35">
      <c r="B45" s="772" t="s">
        <v>520</v>
      </c>
      <c r="C45" s="258">
        <v>8</v>
      </c>
      <c r="D45" s="194">
        <f>+D44</f>
        <v>2717</v>
      </c>
      <c r="E45" s="598">
        <f>+C45*D45</f>
        <v>21736</v>
      </c>
      <c r="F45" s="553" t="s">
        <v>63</v>
      </c>
      <c r="G45" s="180"/>
      <c r="H45" s="180"/>
      <c r="I45" s="181"/>
      <c r="J45" s="181"/>
      <c r="K45" s="184"/>
    </row>
    <row r="46" spans="2:15" ht="15" customHeight="1" x14ac:dyDescent="0.35">
      <c r="B46" s="772" t="s">
        <v>196</v>
      </c>
      <c r="C46" s="258"/>
      <c r="D46" s="194"/>
      <c r="E46" s="598">
        <v>15000</v>
      </c>
      <c r="G46" s="180"/>
      <c r="H46" s="180"/>
      <c r="I46" s="181"/>
      <c r="J46" s="181"/>
      <c r="K46" s="184"/>
      <c r="L46" s="1018"/>
    </row>
    <row r="47" spans="2:15" ht="15" customHeight="1" x14ac:dyDescent="0.35">
      <c r="B47" s="772" t="s">
        <v>6</v>
      </c>
      <c r="C47" s="258"/>
      <c r="D47" s="194"/>
      <c r="E47" s="598">
        <v>70000</v>
      </c>
      <c r="F47" s="90" t="s">
        <v>363</v>
      </c>
      <c r="G47" s="180"/>
      <c r="H47" s="180"/>
      <c r="I47" s="181"/>
      <c r="J47" s="181"/>
      <c r="K47" s="184"/>
      <c r="L47" s="1018"/>
    </row>
    <row r="48" spans="2:15" ht="15" customHeight="1" x14ac:dyDescent="0.35">
      <c r="B48" s="772" t="s">
        <v>195</v>
      </c>
      <c r="C48" s="315">
        <v>5</v>
      </c>
      <c r="D48" s="194">
        <f>+D44*1.5</f>
        <v>4075.5</v>
      </c>
      <c r="E48" s="598">
        <f>+C48*D48</f>
        <v>20377.5</v>
      </c>
      <c r="G48" s="180"/>
      <c r="H48" s="180"/>
      <c r="I48" s="181"/>
      <c r="J48" s="181"/>
      <c r="K48" s="184"/>
      <c r="L48" s="1018"/>
    </row>
    <row r="49" spans="2:22" ht="15" customHeight="1" x14ac:dyDescent="0.35">
      <c r="B49" s="772" t="s">
        <v>449</v>
      </c>
      <c r="C49" s="315"/>
      <c r="D49" s="194">
        <f>+D44*2</f>
        <v>5434</v>
      </c>
      <c r="E49" s="598">
        <f>+C49*D49</f>
        <v>0</v>
      </c>
      <c r="G49" s="180"/>
      <c r="H49" s="180"/>
      <c r="I49" s="181"/>
      <c r="J49" s="181"/>
      <c r="K49" s="184"/>
      <c r="L49" s="1018"/>
    </row>
    <row r="50" spans="2:22" ht="15" customHeight="1" x14ac:dyDescent="0.35">
      <c r="B50" s="772" t="s">
        <v>697</v>
      </c>
      <c r="C50" s="258">
        <v>1</v>
      </c>
      <c r="D50" s="194">
        <v>10000</v>
      </c>
      <c r="E50" s="598">
        <f>+C50*D50</f>
        <v>10000</v>
      </c>
      <c r="F50" s="553" t="s">
        <v>710</v>
      </c>
      <c r="M50" s="176"/>
      <c r="N50" s="180"/>
      <c r="O50" s="180"/>
      <c r="P50" s="181"/>
      <c r="Q50" s="181"/>
      <c r="R50" s="184"/>
    </row>
    <row r="51" spans="2:22" ht="15" customHeight="1" x14ac:dyDescent="0.35">
      <c r="B51" s="1432" t="s">
        <v>99</v>
      </c>
      <c r="C51" s="1432"/>
      <c r="D51" s="1432"/>
      <c r="E51" s="599">
        <f>+E44+E45+E46+E47+E48+E50</f>
        <v>615305.5</v>
      </c>
      <c r="F51" s="553" t="s">
        <v>63</v>
      </c>
      <c r="G51" s="774" t="s">
        <v>63</v>
      </c>
      <c r="M51" s="176"/>
      <c r="N51" s="176"/>
      <c r="O51" s="176"/>
      <c r="P51" s="181"/>
      <c r="Q51" s="181"/>
      <c r="R51" s="184"/>
      <c r="T51" s="1018"/>
    </row>
    <row r="52" spans="2:22" s="1018" customFormat="1" ht="15" customHeight="1" x14ac:dyDescent="0.35">
      <c r="B52" s="723" t="s">
        <v>630</v>
      </c>
      <c r="C52" s="727" t="s">
        <v>63</v>
      </c>
      <c r="D52" s="727" t="s">
        <v>63</v>
      </c>
      <c r="E52" s="722">
        <v>-189999</v>
      </c>
      <c r="F52" s="1025" t="s">
        <v>63</v>
      </c>
      <c r="G52" s="771"/>
      <c r="H52" s="771"/>
      <c r="I52" s="771"/>
      <c r="J52" s="771"/>
      <c r="K52" s="771"/>
      <c r="L52" s="771"/>
      <c r="M52" s="176"/>
      <c r="N52" s="176"/>
      <c r="O52" s="176"/>
      <c r="P52" s="176"/>
      <c r="Q52" s="176"/>
      <c r="R52" s="176"/>
      <c r="S52" s="771"/>
      <c r="T52" s="771"/>
      <c r="U52" s="771"/>
      <c r="V52" s="771"/>
    </row>
    <row r="53" spans="2:22" s="1018" customFormat="1" ht="15" customHeight="1" x14ac:dyDescent="0.35">
      <c r="B53" s="672"/>
      <c r="C53" s="673" t="s">
        <v>11</v>
      </c>
      <c r="D53" s="674"/>
      <c r="E53" s="675">
        <f>+E51+E52</f>
        <v>425306.5</v>
      </c>
      <c r="F53" s="1025" t="s">
        <v>63</v>
      </c>
      <c r="G53" s="771"/>
      <c r="H53" s="771"/>
      <c r="I53" s="771"/>
      <c r="J53" s="771"/>
      <c r="K53" s="771"/>
      <c r="L53" s="771"/>
      <c r="M53" s="176"/>
      <c r="N53" s="176"/>
      <c r="O53" s="176"/>
      <c r="P53" s="176"/>
      <c r="Q53" s="176"/>
      <c r="R53" s="176"/>
      <c r="S53" s="771"/>
      <c r="T53" s="771"/>
      <c r="U53" s="771"/>
      <c r="V53" s="771"/>
    </row>
    <row r="54" spans="2:22" ht="15" customHeight="1" x14ac:dyDescent="0.35">
      <c r="C54" s="771"/>
      <c r="D54" s="771"/>
      <c r="E54" s="771"/>
      <c r="F54" s="553" t="s">
        <v>63</v>
      </c>
      <c r="N54" s="183"/>
      <c r="O54" s="183"/>
      <c r="P54" s="176"/>
      <c r="Q54" s="176"/>
      <c r="R54" s="176"/>
      <c r="T54" s="1018"/>
    </row>
    <row r="55" spans="2:22" ht="15" customHeight="1" x14ac:dyDescent="0.35">
      <c r="C55" s="771"/>
      <c r="D55" s="771"/>
      <c r="E55" s="774" t="s">
        <v>63</v>
      </c>
    </row>
    <row r="56" spans="2:22" ht="15" customHeight="1" x14ac:dyDescent="0.35">
      <c r="B56" s="1442" t="s">
        <v>698</v>
      </c>
      <c r="C56" s="1443"/>
      <c r="D56" s="1443"/>
      <c r="E56" s="1444"/>
      <c r="V56" s="1018"/>
    </row>
    <row r="57" spans="2:22" x14ac:dyDescent="0.35">
      <c r="B57" s="2" t="s">
        <v>7</v>
      </c>
      <c r="C57" s="270" t="s">
        <v>8</v>
      </c>
      <c r="D57" s="217" t="s">
        <v>4</v>
      </c>
      <c r="E57" s="597" t="s">
        <v>9</v>
      </c>
    </row>
    <row r="58" spans="2:22" x14ac:dyDescent="0.35">
      <c r="B58" s="772" t="s">
        <v>501</v>
      </c>
      <c r="C58" s="258">
        <v>149</v>
      </c>
      <c r="D58" s="227">
        <f>1580*1.1</f>
        <v>1738.0000000000002</v>
      </c>
      <c r="E58" s="598">
        <f>+C58*D58</f>
        <v>258962.00000000003</v>
      </c>
      <c r="F58" s="553" t="s">
        <v>362</v>
      </c>
    </row>
    <row r="59" spans="2:22" x14ac:dyDescent="0.35">
      <c r="B59" s="772" t="s">
        <v>699</v>
      </c>
      <c r="C59" s="258">
        <v>8</v>
      </c>
      <c r="D59" s="227">
        <f>+D58</f>
        <v>1738.0000000000002</v>
      </c>
      <c r="E59" s="598">
        <f>+C59*D59</f>
        <v>13904.000000000002</v>
      </c>
    </row>
    <row r="60" spans="2:22" x14ac:dyDescent="0.35">
      <c r="B60" s="772" t="s">
        <v>701</v>
      </c>
      <c r="C60" s="258">
        <v>24</v>
      </c>
      <c r="D60" s="227">
        <f>+D58</f>
        <v>1738.0000000000002</v>
      </c>
      <c r="E60" s="598">
        <f>+C60*D60</f>
        <v>41712.000000000007</v>
      </c>
    </row>
    <row r="61" spans="2:22" x14ac:dyDescent="0.35">
      <c r="B61" s="772" t="s">
        <v>490</v>
      </c>
      <c r="C61" s="258"/>
      <c r="D61" s="227"/>
      <c r="E61" s="598">
        <v>0</v>
      </c>
    </row>
    <row r="62" spans="2:22" x14ac:dyDescent="0.35">
      <c r="B62" s="772" t="s">
        <v>489</v>
      </c>
      <c r="C62" s="258"/>
      <c r="D62" s="227"/>
      <c r="E62" s="598">
        <v>50000</v>
      </c>
      <c r="F62" s="90" t="s">
        <v>710</v>
      </c>
    </row>
    <row r="63" spans="2:22" x14ac:dyDescent="0.35">
      <c r="B63" s="772" t="s">
        <v>195</v>
      </c>
      <c r="C63" s="258"/>
      <c r="D63" s="194">
        <f>+D58*1.5</f>
        <v>2607.0000000000005</v>
      </c>
      <c r="E63" s="598">
        <f>+C63*D63</f>
        <v>0</v>
      </c>
      <c r="F63" s="553" t="s">
        <v>63</v>
      </c>
      <c r="G63" s="774" t="s">
        <v>63</v>
      </c>
    </row>
    <row r="64" spans="2:22" x14ac:dyDescent="0.35">
      <c r="B64" s="772" t="s">
        <v>449</v>
      </c>
      <c r="C64" s="258"/>
      <c r="D64" s="194" t="s">
        <v>63</v>
      </c>
      <c r="E64" s="598" t="s">
        <v>63</v>
      </c>
      <c r="F64" s="553" t="s">
        <v>63</v>
      </c>
      <c r="G64" s="774"/>
    </row>
    <row r="65" spans="1:7" x14ac:dyDescent="0.35">
      <c r="B65" s="1439" t="s">
        <v>99</v>
      </c>
      <c r="C65" s="1440"/>
      <c r="D65" s="1441"/>
      <c r="E65" s="599">
        <f>+E58+E59+E60+E61+E62</f>
        <v>364578.00000000006</v>
      </c>
      <c r="F65" s="553" t="s">
        <v>63</v>
      </c>
    </row>
    <row r="66" spans="1:7" x14ac:dyDescent="0.35">
      <c r="B66" s="921" t="s">
        <v>700</v>
      </c>
      <c r="C66" s="922">
        <f>+E58+E59+E61+E62+E60</f>
        <v>364578.00000000006</v>
      </c>
      <c r="D66" s="720"/>
      <c r="E66" s="722">
        <f>-C66*0.1</f>
        <v>-36457.80000000001</v>
      </c>
      <c r="F66" s="553" t="s">
        <v>63</v>
      </c>
    </row>
    <row r="67" spans="1:7" x14ac:dyDescent="0.35">
      <c r="B67" s="672"/>
      <c r="C67" s="673" t="s">
        <v>11</v>
      </c>
      <c r="D67" s="674"/>
      <c r="E67" s="675">
        <f>+E65+E66</f>
        <v>328120.20000000007</v>
      </c>
      <c r="F67" s="553" t="s">
        <v>63</v>
      </c>
    </row>
    <row r="68" spans="1:7" x14ac:dyDescent="0.35">
      <c r="C68" s="771"/>
      <c r="D68" s="771"/>
      <c r="E68" s="771"/>
    </row>
    <row r="70" spans="1:7" ht="23.5" x14ac:dyDescent="0.35">
      <c r="B70" s="1442" t="s">
        <v>702</v>
      </c>
      <c r="C70" s="1443"/>
      <c r="D70" s="1443"/>
      <c r="E70" s="1444"/>
    </row>
    <row r="71" spans="1:7" x14ac:dyDescent="0.35">
      <c r="B71" s="2" t="s">
        <v>7</v>
      </c>
      <c r="C71" s="270" t="s">
        <v>8</v>
      </c>
      <c r="D71" s="217" t="s">
        <v>4</v>
      </c>
      <c r="E71" s="597" t="s">
        <v>63</v>
      </c>
      <c r="F71" s="90" t="s">
        <v>63</v>
      </c>
    </row>
    <row r="72" spans="1:7" x14ac:dyDescent="0.35">
      <c r="A72" s="771" t="s">
        <v>63</v>
      </c>
      <c r="B72" s="772" t="s">
        <v>3</v>
      </c>
      <c r="C72" s="258">
        <v>167</v>
      </c>
      <c r="D72" s="227">
        <f>1370*1.1</f>
        <v>1507.0000000000002</v>
      </c>
      <c r="E72" s="598">
        <f>+C72*D72</f>
        <v>251669.00000000003</v>
      </c>
      <c r="F72" s="90" t="s">
        <v>362</v>
      </c>
    </row>
    <row r="73" spans="1:7" x14ac:dyDescent="0.35">
      <c r="B73" s="772" t="s">
        <v>530</v>
      </c>
      <c r="C73" s="258">
        <v>8</v>
      </c>
      <c r="D73" s="227">
        <f>+D72</f>
        <v>1507.0000000000002</v>
      </c>
      <c r="E73" s="598">
        <f>+C73*D73</f>
        <v>12056.000000000002</v>
      </c>
    </row>
    <row r="74" spans="1:7" x14ac:dyDescent="0.35">
      <c r="B74" s="772" t="s">
        <v>703</v>
      </c>
      <c r="C74" s="258">
        <v>8</v>
      </c>
      <c r="D74" s="227">
        <f>+D72</f>
        <v>1507.0000000000002</v>
      </c>
      <c r="E74" s="598">
        <f>+C74*D74</f>
        <v>12056.000000000002</v>
      </c>
    </row>
    <row r="75" spans="1:7" x14ac:dyDescent="0.35">
      <c r="B75" s="772" t="s">
        <v>196</v>
      </c>
      <c r="C75" s="258"/>
      <c r="D75" s="227"/>
      <c r="E75" s="598">
        <v>5000</v>
      </c>
    </row>
    <row r="76" spans="1:7" x14ac:dyDescent="0.35">
      <c r="B76" s="772" t="s">
        <v>6</v>
      </c>
      <c r="C76" s="258"/>
      <c r="D76" s="227" t="s">
        <v>63</v>
      </c>
      <c r="E76" s="598">
        <v>35000</v>
      </c>
      <c r="F76" s="90" t="s">
        <v>710</v>
      </c>
    </row>
    <row r="77" spans="1:7" x14ac:dyDescent="0.35">
      <c r="B77" s="772" t="s">
        <v>270</v>
      </c>
      <c r="C77" s="258"/>
      <c r="D77" s="227">
        <f>+D72*1.5</f>
        <v>2260.5000000000005</v>
      </c>
      <c r="E77" s="711">
        <f>+C77*D77</f>
        <v>0</v>
      </c>
      <c r="F77" s="553" t="s">
        <v>63</v>
      </c>
    </row>
    <row r="78" spans="1:7" x14ac:dyDescent="0.35">
      <c r="B78" s="772" t="s">
        <v>281</v>
      </c>
      <c r="C78" s="258"/>
      <c r="D78" s="227" t="s">
        <v>63</v>
      </c>
      <c r="E78" s="598" t="s">
        <v>63</v>
      </c>
    </row>
    <row r="79" spans="1:7" x14ac:dyDescent="0.35">
      <c r="B79" s="1439" t="s">
        <v>99</v>
      </c>
      <c r="C79" s="1440"/>
      <c r="D79" s="1441"/>
      <c r="E79" s="599">
        <f>+E72+E73+E74+E75+E76</f>
        <v>315781.00000000006</v>
      </c>
      <c r="F79" s="553" t="s">
        <v>63</v>
      </c>
    </row>
    <row r="80" spans="1:7" x14ac:dyDescent="0.35">
      <c r="B80" s="723" t="s">
        <v>678</v>
      </c>
      <c r="C80" s="721"/>
      <c r="D80" s="721"/>
      <c r="E80" s="722">
        <v>-50000</v>
      </c>
      <c r="F80" s="553" t="s">
        <v>63</v>
      </c>
      <c r="G80" s="774" t="s">
        <v>63</v>
      </c>
    </row>
    <row r="81" spans="2:8" ht="15.5" x14ac:dyDescent="0.35">
      <c r="B81" s="1446" t="s">
        <v>11</v>
      </c>
      <c r="C81" s="1447"/>
      <c r="D81" s="1448"/>
      <c r="E81" s="603">
        <f>+E79+E80</f>
        <v>265781.00000000006</v>
      </c>
      <c r="F81" s="553" t="s">
        <v>63</v>
      </c>
    </row>
    <row r="82" spans="2:8" x14ac:dyDescent="0.35">
      <c r="F82" s="553" t="s">
        <v>63</v>
      </c>
    </row>
    <row r="83" spans="2:8" x14ac:dyDescent="0.35">
      <c r="F83" s="553" t="s">
        <v>63</v>
      </c>
    </row>
    <row r="84" spans="2:8" ht="23.5" x14ac:dyDescent="0.35">
      <c r="B84" s="1431" t="s">
        <v>704</v>
      </c>
      <c r="C84" s="1431"/>
      <c r="D84" s="1431"/>
      <c r="E84" s="1431"/>
    </row>
    <row r="85" spans="2:8" x14ac:dyDescent="0.35">
      <c r="B85" s="801" t="s">
        <v>7</v>
      </c>
      <c r="C85" s="802" t="s">
        <v>388</v>
      </c>
      <c r="D85" s="803" t="s">
        <v>272</v>
      </c>
      <c r="E85" s="804" t="s">
        <v>9</v>
      </c>
    </row>
    <row r="86" spans="2:8" x14ac:dyDescent="0.35">
      <c r="B86" s="805" t="s">
        <v>3</v>
      </c>
      <c r="C86" s="806">
        <v>176</v>
      </c>
      <c r="D86" s="807">
        <f>1370*1.15</f>
        <v>1575.4999999999998</v>
      </c>
      <c r="E86" s="833">
        <f>+C86*D86</f>
        <v>277287.99999999994</v>
      </c>
      <c r="F86" s="90" t="s">
        <v>365</v>
      </c>
    </row>
    <row r="87" spans="2:8" x14ac:dyDescent="0.35">
      <c r="B87" s="805" t="s">
        <v>316</v>
      </c>
      <c r="C87" s="806">
        <v>8</v>
      </c>
      <c r="D87" s="807">
        <f>+D86</f>
        <v>1575.4999999999998</v>
      </c>
      <c r="E87" s="833">
        <f>+C87*D87</f>
        <v>12603.999999999998</v>
      </c>
      <c r="F87" s="553" t="s">
        <v>63</v>
      </c>
    </row>
    <row r="88" spans="2:8" x14ac:dyDescent="0.35">
      <c r="B88" s="805" t="s">
        <v>6</v>
      </c>
      <c r="C88" s="806"/>
      <c r="D88" s="807" t="s">
        <v>63</v>
      </c>
      <c r="E88" s="834">
        <v>35000</v>
      </c>
      <c r="F88" s="90" t="s">
        <v>710</v>
      </c>
    </row>
    <row r="89" spans="2:8" x14ac:dyDescent="0.35">
      <c r="B89" s="614" t="s">
        <v>200</v>
      </c>
      <c r="C89" s="617"/>
      <c r="D89" s="227"/>
      <c r="E89" s="598">
        <v>15000</v>
      </c>
    </row>
    <row r="90" spans="2:8" x14ac:dyDescent="0.35">
      <c r="B90" s="614" t="s">
        <v>475</v>
      </c>
      <c r="C90" s="617">
        <v>3</v>
      </c>
      <c r="D90" s="227">
        <f>+D86*1.5</f>
        <v>2363.2499999999995</v>
      </c>
      <c r="E90" s="598">
        <f>+C90*D90</f>
        <v>7089.7499999999982</v>
      </c>
      <c r="F90" s="553" t="s">
        <v>63</v>
      </c>
    </row>
    <row r="91" spans="2:8" ht="15.5" x14ac:dyDescent="0.35">
      <c r="B91" s="1433" t="s">
        <v>389</v>
      </c>
      <c r="C91" s="1433"/>
      <c r="D91" s="1433"/>
      <c r="E91" s="603">
        <f>+E86+E87+E88+E89+E90</f>
        <v>346981.74999999994</v>
      </c>
      <c r="F91" s="553" t="s">
        <v>63</v>
      </c>
    </row>
    <row r="92" spans="2:8" ht="15.5" x14ac:dyDescent="0.35">
      <c r="B92" s="723" t="s">
        <v>679</v>
      </c>
      <c r="C92" s="1000">
        <f>+E86+E87+E88+E89</f>
        <v>339891.99999999994</v>
      </c>
      <c r="D92" s="1000">
        <f>+C92*10/100</f>
        <v>33989.199999999997</v>
      </c>
      <c r="E92" s="832">
        <f>-D92</f>
        <v>-33989.199999999997</v>
      </c>
      <c r="F92" s="553" t="s">
        <v>63</v>
      </c>
      <c r="G92" s="771" t="s">
        <v>63</v>
      </c>
      <c r="H92" s="771" t="s">
        <v>63</v>
      </c>
    </row>
    <row r="93" spans="2:8" ht="15.5" x14ac:dyDescent="0.35">
      <c r="B93" s="723" t="s">
        <v>19</v>
      </c>
      <c r="C93" s="1000"/>
      <c r="D93" s="1000"/>
      <c r="E93" s="832">
        <v>-60000</v>
      </c>
    </row>
    <row r="94" spans="2:8" ht="15.5" x14ac:dyDescent="0.35">
      <c r="B94" s="831" t="s">
        <v>389</v>
      </c>
      <c r="C94" s="1000"/>
      <c r="D94" s="1000"/>
      <c r="E94" s="830">
        <f>+E91+E92+E93</f>
        <v>252992.54999999993</v>
      </c>
    </row>
    <row r="95" spans="2:8" ht="15.5" x14ac:dyDescent="0.35">
      <c r="B95" s="723" t="s">
        <v>631</v>
      </c>
      <c r="C95" s="1000"/>
      <c r="D95" s="1000"/>
      <c r="E95" s="832">
        <v>-60000</v>
      </c>
    </row>
    <row r="96" spans="2:8" ht="15.5" x14ac:dyDescent="0.35">
      <c r="B96" s="1021" t="s">
        <v>63</v>
      </c>
      <c r="C96" s="1021" t="s">
        <v>11</v>
      </c>
      <c r="D96" s="1021"/>
      <c r="E96" s="603">
        <f>+E91+E92+E93+E95</f>
        <v>192992.54999999993</v>
      </c>
      <c r="F96" s="553" t="s">
        <v>63</v>
      </c>
    </row>
    <row r="97" spans="2:7" x14ac:dyDescent="0.35">
      <c r="E97" s="203" t="s">
        <v>63</v>
      </c>
    </row>
    <row r="99" spans="2:7" ht="23.5" x14ac:dyDescent="0.35">
      <c r="B99" s="1431" t="s">
        <v>705</v>
      </c>
      <c r="C99" s="1431"/>
      <c r="D99" s="1431"/>
      <c r="E99" s="1431"/>
    </row>
    <row r="100" spans="2:7" x14ac:dyDescent="0.35">
      <c r="B100" s="2" t="s">
        <v>7</v>
      </c>
      <c r="C100" s="270" t="s">
        <v>8</v>
      </c>
      <c r="D100" s="217" t="s">
        <v>4</v>
      </c>
      <c r="E100" s="597" t="s">
        <v>9</v>
      </c>
    </row>
    <row r="101" spans="2:7" x14ac:dyDescent="0.35">
      <c r="B101" s="772" t="s">
        <v>3</v>
      </c>
      <c r="C101" s="258">
        <v>159</v>
      </c>
      <c r="D101" s="227">
        <f>1370*1.1</f>
        <v>1507.0000000000002</v>
      </c>
      <c r="E101" s="598">
        <f>+C101*D101</f>
        <v>239613.00000000003</v>
      </c>
      <c r="F101" s="90" t="s">
        <v>362</v>
      </c>
      <c r="G101" s="771" t="s">
        <v>63</v>
      </c>
    </row>
    <row r="102" spans="2:7" x14ac:dyDescent="0.35">
      <c r="B102" s="772" t="s">
        <v>706</v>
      </c>
      <c r="C102" s="258">
        <v>8</v>
      </c>
      <c r="D102" s="227">
        <f>+D101</f>
        <v>1507.0000000000002</v>
      </c>
      <c r="E102" s="598">
        <f>+C102*D102</f>
        <v>12056.000000000002</v>
      </c>
    </row>
    <row r="103" spans="2:7" x14ac:dyDescent="0.35">
      <c r="B103" s="772" t="s">
        <v>707</v>
      </c>
      <c r="C103" s="258">
        <v>16</v>
      </c>
      <c r="D103" s="227">
        <f>+D101</f>
        <v>1507.0000000000002</v>
      </c>
      <c r="E103" s="598">
        <f>+C103*D103</f>
        <v>24112.000000000004</v>
      </c>
    </row>
    <row r="104" spans="2:7" x14ac:dyDescent="0.35">
      <c r="B104" s="772" t="s">
        <v>200</v>
      </c>
      <c r="C104" s="258"/>
      <c r="D104" s="227"/>
      <c r="E104" s="598">
        <v>0</v>
      </c>
    </row>
    <row r="105" spans="2:7" x14ac:dyDescent="0.35">
      <c r="B105" s="772" t="s">
        <v>6</v>
      </c>
      <c r="C105" s="258"/>
      <c r="D105" s="194" t="s">
        <v>63</v>
      </c>
      <c r="E105" s="598">
        <v>35000</v>
      </c>
      <c r="F105" s="90" t="s">
        <v>710</v>
      </c>
    </row>
    <row r="106" spans="2:7" x14ac:dyDescent="0.35">
      <c r="B106" s="772" t="s">
        <v>270</v>
      </c>
      <c r="C106" s="258">
        <v>1.5</v>
      </c>
      <c r="D106" s="194">
        <f>+D101*1.5</f>
        <v>2260.5000000000005</v>
      </c>
      <c r="E106" s="598">
        <f>+C106*D106</f>
        <v>3390.7500000000009</v>
      </c>
      <c r="F106" s="90" t="s">
        <v>63</v>
      </c>
    </row>
    <row r="107" spans="2:7" x14ac:dyDescent="0.35">
      <c r="B107" s="1432" t="s">
        <v>99</v>
      </c>
      <c r="C107" s="1432"/>
      <c r="D107" s="1432"/>
      <c r="E107" s="599">
        <f>+E101+E102+E103+E104+E105+E106</f>
        <v>314171.75000000006</v>
      </c>
      <c r="F107" s="553" t="s">
        <v>63</v>
      </c>
    </row>
    <row r="108" spans="2:7" x14ac:dyDescent="0.35">
      <c r="B108" s="724" t="s">
        <v>19</v>
      </c>
      <c r="C108" s="729" t="s">
        <v>63</v>
      </c>
      <c r="D108" s="730" t="s">
        <v>63</v>
      </c>
      <c r="E108" s="731">
        <v>-50000</v>
      </c>
      <c r="F108" s="553" t="s">
        <v>63</v>
      </c>
    </row>
    <row r="109" spans="2:7" s="997" customFormat="1" ht="15.5" x14ac:dyDescent="0.35">
      <c r="B109" s="992"/>
      <c r="C109" s="993" t="s">
        <v>11</v>
      </c>
      <c r="D109" s="994"/>
      <c r="E109" s="995">
        <f>+E107+E108</f>
        <v>264171.75000000006</v>
      </c>
      <c r="F109" s="1026" t="s">
        <v>63</v>
      </c>
    </row>
    <row r="112" spans="2:7" ht="23.5" x14ac:dyDescent="0.35">
      <c r="B112" s="1431" t="s">
        <v>708</v>
      </c>
      <c r="C112" s="1431"/>
      <c r="D112" s="1431"/>
      <c r="E112" s="1431"/>
    </row>
    <row r="113" spans="1:6" x14ac:dyDescent="0.35">
      <c r="B113" s="2" t="s">
        <v>7</v>
      </c>
      <c r="C113" s="270" t="s">
        <v>8</v>
      </c>
      <c r="D113" s="217" t="s">
        <v>4</v>
      </c>
      <c r="E113" s="597" t="s">
        <v>9</v>
      </c>
    </row>
    <row r="114" spans="1:6" x14ac:dyDescent="0.35">
      <c r="B114" s="772" t="s">
        <v>3</v>
      </c>
      <c r="C114" s="258">
        <v>142</v>
      </c>
      <c r="D114" s="194">
        <f>1720*1.1</f>
        <v>1892.0000000000002</v>
      </c>
      <c r="E114" s="598">
        <f>+C114*D114</f>
        <v>268664.00000000006</v>
      </c>
      <c r="F114" s="553" t="s">
        <v>362</v>
      </c>
    </row>
    <row r="115" spans="1:6" x14ac:dyDescent="0.35">
      <c r="B115" s="772" t="s">
        <v>530</v>
      </c>
      <c r="C115" s="258">
        <v>7</v>
      </c>
      <c r="D115" s="194">
        <f>+D114</f>
        <v>1892.0000000000002</v>
      </c>
      <c r="E115" s="609">
        <f>+C115*D115</f>
        <v>13244.000000000002</v>
      </c>
    </row>
    <row r="116" spans="1:6" x14ac:dyDescent="0.35">
      <c r="B116" s="772" t="s">
        <v>6</v>
      </c>
      <c r="C116" s="258"/>
      <c r="D116" s="194"/>
      <c r="E116" s="609">
        <v>35000</v>
      </c>
      <c r="F116" s="90" t="s">
        <v>711</v>
      </c>
    </row>
    <row r="117" spans="1:6" x14ac:dyDescent="0.35">
      <c r="B117" s="614" t="s">
        <v>556</v>
      </c>
      <c r="C117" s="617"/>
      <c r="D117" s="227">
        <v>15000</v>
      </c>
      <c r="E117" s="609">
        <v>15000</v>
      </c>
      <c r="F117" s="553" t="s">
        <v>63</v>
      </c>
    </row>
    <row r="118" spans="1:6" x14ac:dyDescent="0.35">
      <c r="B118" s="614" t="s">
        <v>63</v>
      </c>
      <c r="C118" s="617"/>
      <c r="D118" s="227" t="s">
        <v>63</v>
      </c>
      <c r="E118" s="609">
        <v>0</v>
      </c>
      <c r="F118" s="553"/>
    </row>
    <row r="119" spans="1:6" s="764" customFormat="1" x14ac:dyDescent="0.35">
      <c r="B119" s="882" t="s">
        <v>99</v>
      </c>
      <c r="C119" s="883"/>
      <c r="D119" s="883"/>
      <c r="E119" s="884">
        <f>+E114+E115+E116+E117+E118</f>
        <v>331908.00000000006</v>
      </c>
      <c r="F119" s="768" t="s">
        <v>63</v>
      </c>
    </row>
    <row r="120" spans="1:6" x14ac:dyDescent="0.35">
      <c r="B120" s="962" t="s">
        <v>709</v>
      </c>
      <c r="C120" s="619"/>
      <c r="D120" s="619"/>
      <c r="E120" s="730">
        <v>-60000</v>
      </c>
      <c r="F120" s="553" t="s">
        <v>63</v>
      </c>
    </row>
    <row r="121" spans="1:6" ht="15.5" x14ac:dyDescent="0.35">
      <c r="B121" s="611" t="s">
        <v>11</v>
      </c>
      <c r="C121" s="612"/>
      <c r="D121" s="613"/>
      <c r="E121" s="603">
        <f>+E119+E120</f>
        <v>271908.00000000006</v>
      </c>
      <c r="F121" s="553" t="s">
        <v>63</v>
      </c>
    </row>
    <row r="124" spans="1:6" ht="23.5" x14ac:dyDescent="0.35">
      <c r="A124" s="4"/>
      <c r="B124" s="1431" t="s">
        <v>801</v>
      </c>
      <c r="C124" s="1431"/>
      <c r="D124" s="1431"/>
      <c r="E124" s="1431"/>
    </row>
    <row r="125" spans="1:6" x14ac:dyDescent="0.35">
      <c r="A125" s="4"/>
      <c r="B125" s="2" t="s">
        <v>7</v>
      </c>
      <c r="C125" s="270" t="s">
        <v>388</v>
      </c>
      <c r="D125" s="217" t="s">
        <v>629</v>
      </c>
      <c r="E125" s="597" t="s">
        <v>9</v>
      </c>
    </row>
    <row r="126" spans="1:6" x14ac:dyDescent="0.35">
      <c r="A126" s="4"/>
      <c r="B126" s="772" t="s">
        <v>3</v>
      </c>
      <c r="C126" s="258">
        <v>176</v>
      </c>
      <c r="D126" s="194">
        <f>1720*1.1</f>
        <v>1892.0000000000002</v>
      </c>
      <c r="E126" s="598">
        <f>+C126*D126</f>
        <v>332992.00000000006</v>
      </c>
      <c r="F126" s="90" t="s">
        <v>362</v>
      </c>
    </row>
    <row r="127" spans="1:6" x14ac:dyDescent="0.35">
      <c r="A127" s="4"/>
      <c r="B127" s="772" t="s">
        <v>403</v>
      </c>
      <c r="C127" s="258">
        <v>8</v>
      </c>
      <c r="D127" s="194">
        <f>+D126</f>
        <v>1892.0000000000002</v>
      </c>
      <c r="E127" s="609">
        <f>+C127*D127</f>
        <v>15136.000000000002</v>
      </c>
    </row>
    <row r="128" spans="1:6" x14ac:dyDescent="0.35">
      <c r="A128" s="4"/>
      <c r="B128" s="772" t="s">
        <v>680</v>
      </c>
      <c r="C128" s="258"/>
      <c r="D128" s="194"/>
      <c r="E128" s="609">
        <v>15000</v>
      </c>
    </row>
    <row r="129" spans="1:6" x14ac:dyDescent="0.35">
      <c r="A129" s="4"/>
      <c r="B129" s="772" t="s">
        <v>6</v>
      </c>
      <c r="C129" s="258"/>
      <c r="D129" s="194"/>
      <c r="E129" s="609">
        <v>35000</v>
      </c>
      <c r="F129" s="90" t="s">
        <v>712</v>
      </c>
    </row>
    <row r="130" spans="1:6" x14ac:dyDescent="0.35">
      <c r="A130" s="4"/>
      <c r="B130" s="614" t="s">
        <v>628</v>
      </c>
      <c r="C130" s="617">
        <v>7.5</v>
      </c>
      <c r="D130" s="227">
        <f>+D126*1.5</f>
        <v>2838.0000000000005</v>
      </c>
      <c r="E130" s="609">
        <f>+C130*D130</f>
        <v>21285.000000000004</v>
      </c>
    </row>
    <row r="131" spans="1:6" x14ac:dyDescent="0.35">
      <c r="A131" s="4"/>
      <c r="B131" s="882" t="s">
        <v>99</v>
      </c>
      <c r="C131" s="883"/>
      <c r="D131" s="883"/>
      <c r="E131" s="884">
        <f>+E126+E127+E128+E129+E130</f>
        <v>419413.00000000006</v>
      </c>
      <c r="F131" s="553" t="s">
        <v>63</v>
      </c>
    </row>
    <row r="132" spans="1:6" x14ac:dyDescent="0.35">
      <c r="A132" s="4"/>
      <c r="B132" s="962" t="s">
        <v>19</v>
      </c>
      <c r="C132" s="619"/>
      <c r="D132" s="619"/>
      <c r="E132" s="730">
        <v>-50000</v>
      </c>
      <c r="F132" s="553" t="s">
        <v>63</v>
      </c>
    </row>
    <row r="133" spans="1:6" x14ac:dyDescent="0.35">
      <c r="A133" s="4"/>
      <c r="B133" s="962"/>
      <c r="C133" s="619"/>
      <c r="D133" s="619"/>
      <c r="E133" s="730"/>
    </row>
    <row r="134" spans="1:6" ht="15.5" x14ac:dyDescent="0.35">
      <c r="A134" s="4"/>
      <c r="B134" s="611" t="s">
        <v>11</v>
      </c>
      <c r="C134" s="612"/>
      <c r="D134" s="613"/>
      <c r="E134" s="603">
        <f>+E131+E132</f>
        <v>369413.00000000006</v>
      </c>
      <c r="F134" s="553" t="s">
        <v>63</v>
      </c>
    </row>
  </sheetData>
  <mergeCells count="20">
    <mergeCell ref="B70:E70"/>
    <mergeCell ref="B3:E3"/>
    <mergeCell ref="B11:D11"/>
    <mergeCell ref="B15:D15"/>
    <mergeCell ref="B17:E17"/>
    <mergeCell ref="B25:D25"/>
    <mergeCell ref="B28:E28"/>
    <mergeCell ref="B36:D36"/>
    <mergeCell ref="B42:E42"/>
    <mergeCell ref="B51:D51"/>
    <mergeCell ref="B56:E56"/>
    <mergeCell ref="B65:D65"/>
    <mergeCell ref="B112:E112"/>
    <mergeCell ref="B124:E124"/>
    <mergeCell ref="B79:D79"/>
    <mergeCell ref="B81:D81"/>
    <mergeCell ref="B84:E84"/>
    <mergeCell ref="B91:D91"/>
    <mergeCell ref="B99:E99"/>
    <mergeCell ref="B107:D107"/>
  </mergeCells>
  <pageMargins left="0.31496062992125984" right="0.11811023622047245" top="0" bottom="0" header="0.31496062992125984" footer="0.31496062992125984"/>
  <pageSetup paperSize="9" scale="29" fitToHeight="0" orientation="portrait" r:id="rId1"/>
  <colBreaks count="1" manualBreakCount="1">
    <brk id="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F36"/>
  <sheetViews>
    <sheetView topLeftCell="A16" workbookViewId="0">
      <selection activeCell="H26" sqref="H26"/>
    </sheetView>
  </sheetViews>
  <sheetFormatPr baseColWidth="10" defaultRowHeight="14.5" x14ac:dyDescent="0.35"/>
  <cols>
    <col min="1" max="1" width="10.90625" style="771"/>
    <col min="2" max="2" width="22" style="771" customWidth="1"/>
    <col min="3" max="3" width="26.90625" style="774" customWidth="1"/>
    <col min="4" max="4" width="21.1796875" style="774" customWidth="1"/>
    <col min="5" max="5" width="14.08984375" style="771" customWidth="1"/>
    <col min="6" max="16384" width="10.90625" style="771"/>
  </cols>
  <sheetData>
    <row r="1" spans="1:5" s="658" customFormat="1" ht="28.5" x14ac:dyDescent="0.65">
      <c r="A1" s="946"/>
      <c r="B1" s="947" t="s">
        <v>713</v>
      </c>
      <c r="C1" s="983"/>
      <c r="D1" s="983"/>
    </row>
    <row r="2" spans="1:5" s="658" customFormat="1" ht="28.5" x14ac:dyDescent="0.65">
      <c r="A2" s="946"/>
      <c r="B2" s="947"/>
      <c r="C2" s="983"/>
      <c r="D2" s="983"/>
    </row>
    <row r="3" spans="1:5" ht="21" x14ac:dyDescent="0.5">
      <c r="A3" s="760"/>
      <c r="B3" s="981" t="s">
        <v>7</v>
      </c>
      <c r="C3" s="984" t="s">
        <v>3</v>
      </c>
      <c r="D3" s="984" t="s">
        <v>688</v>
      </c>
    </row>
    <row r="4" spans="1:5" ht="21" x14ac:dyDescent="0.5">
      <c r="A4" s="760">
        <v>1</v>
      </c>
      <c r="B4" s="949" t="s">
        <v>10</v>
      </c>
      <c r="C4" s="985">
        <v>454260</v>
      </c>
      <c r="D4" s="985">
        <v>73400</v>
      </c>
    </row>
    <row r="5" spans="1:5" ht="21" x14ac:dyDescent="0.5">
      <c r="A5" s="760">
        <v>2</v>
      </c>
      <c r="B5" s="949" t="s">
        <v>15</v>
      </c>
      <c r="C5" s="985">
        <v>0</v>
      </c>
      <c r="D5" s="985">
        <v>0</v>
      </c>
    </row>
    <row r="6" spans="1:5" ht="21" x14ac:dyDescent="0.5">
      <c r="A6" s="760">
        <v>3</v>
      </c>
      <c r="B6" s="949" t="s">
        <v>16</v>
      </c>
      <c r="C6" s="985">
        <v>369953.5</v>
      </c>
      <c r="D6" s="985">
        <v>252100</v>
      </c>
      <c r="E6" s="774" t="s">
        <v>63</v>
      </c>
    </row>
    <row r="7" spans="1:5" ht="21" x14ac:dyDescent="0.5">
      <c r="A7" s="951">
        <v>4</v>
      </c>
      <c r="B7" s="949" t="s">
        <v>0</v>
      </c>
      <c r="C7" s="985">
        <v>615305.5</v>
      </c>
      <c r="D7" s="985">
        <v>425310</v>
      </c>
    </row>
    <row r="8" spans="1:5" ht="21" x14ac:dyDescent="0.5">
      <c r="A8" s="951">
        <v>5</v>
      </c>
      <c r="B8" s="949" t="s">
        <v>245</v>
      </c>
      <c r="C8" s="985">
        <v>315781</v>
      </c>
      <c r="D8" s="985">
        <v>265800</v>
      </c>
    </row>
    <row r="9" spans="1:5" ht="21" x14ac:dyDescent="0.5">
      <c r="A9" s="951">
        <v>6</v>
      </c>
      <c r="B9" s="949" t="s">
        <v>267</v>
      </c>
      <c r="C9" s="985">
        <v>364578</v>
      </c>
      <c r="D9" s="985">
        <v>328120</v>
      </c>
    </row>
    <row r="10" spans="1:5" ht="21" x14ac:dyDescent="0.5">
      <c r="A10" s="951">
        <v>7</v>
      </c>
      <c r="B10" s="949" t="s">
        <v>260</v>
      </c>
      <c r="C10" s="985">
        <v>331908</v>
      </c>
      <c r="D10" s="985">
        <v>271900</v>
      </c>
    </row>
    <row r="11" spans="1:5" ht="21" x14ac:dyDescent="0.5">
      <c r="A11" s="951">
        <v>8</v>
      </c>
      <c r="B11" s="949" t="s">
        <v>553</v>
      </c>
      <c r="C11" s="985">
        <v>314171.75</v>
      </c>
      <c r="D11" s="985">
        <v>264200</v>
      </c>
    </row>
    <row r="12" spans="1:5" ht="21" x14ac:dyDescent="0.5">
      <c r="A12" s="951">
        <v>9</v>
      </c>
      <c r="B12" s="949" t="s">
        <v>463</v>
      </c>
      <c r="C12" s="985">
        <v>346981.75</v>
      </c>
      <c r="D12" s="985">
        <v>253000</v>
      </c>
    </row>
    <row r="13" spans="1:5" ht="21" x14ac:dyDescent="0.5">
      <c r="A13" s="760">
        <v>10</v>
      </c>
      <c r="B13" s="949" t="s">
        <v>613</v>
      </c>
      <c r="C13" s="985">
        <v>419413</v>
      </c>
      <c r="D13" s="985">
        <v>369420</v>
      </c>
    </row>
    <row r="14" spans="1:5" s="658" customFormat="1" ht="28.5" x14ac:dyDescent="0.65">
      <c r="A14" s="946"/>
      <c r="B14" s="952" t="s">
        <v>716</v>
      </c>
      <c r="C14" s="1006">
        <f>+C5+C6+C7+C8+C10+C12+C13</f>
        <v>2399342.75</v>
      </c>
      <c r="D14" s="986">
        <f>+D4+D5+D6+D7+D8+D9+D10+D11+D12+D13</f>
        <v>2503250</v>
      </c>
    </row>
    <row r="15" spans="1:5" ht="21" x14ac:dyDescent="0.5">
      <c r="A15" s="760"/>
      <c r="B15" s="760"/>
      <c r="C15" s="797" t="s">
        <v>63</v>
      </c>
      <c r="D15" s="797"/>
    </row>
    <row r="16" spans="1:5" ht="21" x14ac:dyDescent="0.5">
      <c r="A16" s="760"/>
      <c r="B16" s="760"/>
      <c r="C16" s="797" t="s">
        <v>63</v>
      </c>
      <c r="D16" s="797"/>
    </row>
    <row r="17" spans="1:6" s="648" customFormat="1" ht="46" x14ac:dyDescent="1">
      <c r="A17" s="760"/>
      <c r="B17" s="954" t="s">
        <v>713</v>
      </c>
      <c r="C17" s="797"/>
      <c r="D17" s="797"/>
    </row>
    <row r="18" spans="1:6" ht="18.5" x14ac:dyDescent="0.45">
      <c r="B18" s="643" t="s">
        <v>306</v>
      </c>
      <c r="C18" s="987" t="s">
        <v>272</v>
      </c>
      <c r="D18" s="987" t="s">
        <v>200</v>
      </c>
    </row>
    <row r="19" spans="1:6" ht="18.5" x14ac:dyDescent="0.45">
      <c r="B19" s="644" t="s">
        <v>10</v>
      </c>
      <c r="C19" s="988">
        <v>1952.5</v>
      </c>
      <c r="D19" s="988">
        <v>15000</v>
      </c>
    </row>
    <row r="20" spans="1:6" ht="18.5" x14ac:dyDescent="0.45">
      <c r="B20" s="644" t="s">
        <v>15</v>
      </c>
      <c r="C20" s="988" t="s">
        <v>63</v>
      </c>
      <c r="D20" s="988">
        <v>15000</v>
      </c>
    </row>
    <row r="21" spans="1:6" ht="18.5" x14ac:dyDescent="0.45">
      <c r="B21" s="644" t="s">
        <v>16</v>
      </c>
      <c r="C21" s="988">
        <v>1749</v>
      </c>
      <c r="D21" s="988">
        <v>15000</v>
      </c>
    </row>
    <row r="22" spans="1:6" ht="18.5" x14ac:dyDescent="0.45">
      <c r="B22" s="644" t="s">
        <v>0</v>
      </c>
      <c r="C22" s="988">
        <v>2717</v>
      </c>
      <c r="D22" s="988">
        <v>15000</v>
      </c>
    </row>
    <row r="23" spans="1:6" ht="18.5" x14ac:dyDescent="0.45">
      <c r="B23" s="644" t="s">
        <v>245</v>
      </c>
      <c r="C23" s="988">
        <v>1507</v>
      </c>
      <c r="D23" s="988">
        <v>15000</v>
      </c>
    </row>
    <row r="24" spans="1:6" ht="18.5" x14ac:dyDescent="0.45">
      <c r="B24" s="644" t="s">
        <v>267</v>
      </c>
      <c r="C24" s="988">
        <v>1738</v>
      </c>
      <c r="D24" s="988">
        <v>15000</v>
      </c>
    </row>
    <row r="25" spans="1:6" ht="18.5" x14ac:dyDescent="0.45">
      <c r="B25" s="644" t="s">
        <v>260</v>
      </c>
      <c r="C25" s="988">
        <v>1892</v>
      </c>
      <c r="D25" s="988">
        <v>15000</v>
      </c>
    </row>
    <row r="26" spans="1:6" ht="18.5" x14ac:dyDescent="0.45">
      <c r="B26" s="645" t="s">
        <v>553</v>
      </c>
      <c r="C26" s="988">
        <v>1507</v>
      </c>
      <c r="D26" s="989">
        <v>15000</v>
      </c>
    </row>
    <row r="27" spans="1:6" ht="18.5" x14ac:dyDescent="0.45">
      <c r="B27" s="645" t="s">
        <v>463</v>
      </c>
      <c r="C27" s="988">
        <v>1575.5</v>
      </c>
      <c r="D27" s="989">
        <v>15000</v>
      </c>
      <c r="F27" s="771" t="s">
        <v>63</v>
      </c>
    </row>
    <row r="28" spans="1:6" ht="18.5" x14ac:dyDescent="0.45">
      <c r="B28" s="645" t="s">
        <v>613</v>
      </c>
      <c r="C28" s="988">
        <v>1892</v>
      </c>
      <c r="D28" s="989">
        <v>15000</v>
      </c>
    </row>
    <row r="29" spans="1:6" ht="18.5" x14ac:dyDescent="0.45">
      <c r="B29" s="798"/>
      <c r="C29" s="1007"/>
      <c r="D29" s="990"/>
    </row>
    <row r="31" spans="1:6" x14ac:dyDescent="0.35">
      <c r="A31" s="701" t="s">
        <v>106</v>
      </c>
      <c r="B31" s="702" t="s">
        <v>107</v>
      </c>
      <c r="C31" s="1013" t="s">
        <v>262</v>
      </c>
      <c r="D31" s="991"/>
    </row>
    <row r="32" spans="1:6" x14ac:dyDescent="0.35">
      <c r="A32" s="703">
        <v>16</v>
      </c>
      <c r="B32" s="703">
        <v>9</v>
      </c>
      <c r="C32" s="964">
        <f>+A32*B32</f>
        <v>144</v>
      </c>
      <c r="D32" s="593" t="s">
        <v>116</v>
      </c>
    </row>
    <row r="33" spans="1:4" x14ac:dyDescent="0.35">
      <c r="A33" s="703">
        <v>4</v>
      </c>
      <c r="B33" s="703">
        <v>8</v>
      </c>
      <c r="C33" s="964">
        <f>+A33*B33</f>
        <v>32</v>
      </c>
      <c r="D33" s="593" t="s">
        <v>638</v>
      </c>
    </row>
    <row r="34" spans="1:4" x14ac:dyDescent="0.35">
      <c r="A34" s="703">
        <v>1</v>
      </c>
      <c r="B34" s="703">
        <v>8</v>
      </c>
      <c r="C34" s="964">
        <f>+A34*B34</f>
        <v>8</v>
      </c>
      <c r="D34" s="593" t="s">
        <v>111</v>
      </c>
    </row>
    <row r="35" spans="1:4" x14ac:dyDescent="0.35">
      <c r="A35" s="568" t="s">
        <v>63</v>
      </c>
      <c r="B35" s="773"/>
      <c r="C35" s="964">
        <f>+C32+C33+C34</f>
        <v>184</v>
      </c>
      <c r="D35" s="593" t="s">
        <v>309</v>
      </c>
    </row>
    <row r="36" spans="1:4" x14ac:dyDescent="0.35">
      <c r="A36" s="1014" t="s">
        <v>63</v>
      </c>
    </row>
  </sheetData>
  <pageMargins left="0.7" right="0.7" top="0.75" bottom="0.75" header="0.3" footer="0.3"/>
  <pageSetup paperSize="9" scale="82" fitToHeight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V142"/>
  <sheetViews>
    <sheetView zoomScaleNormal="100" workbookViewId="0">
      <selection activeCell="E11" sqref="E11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90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45383</v>
      </c>
    </row>
    <row r="3" spans="2:21" ht="25.5" customHeight="1" x14ac:dyDescent="0.35">
      <c r="B3" s="1431" t="s">
        <v>717</v>
      </c>
      <c r="C3" s="1431"/>
      <c r="D3" s="1431"/>
      <c r="E3" s="1431"/>
    </row>
    <row r="4" spans="2:21" s="1027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90"/>
      <c r="T4" s="771"/>
      <c r="U4" s="771"/>
    </row>
    <row r="5" spans="2:21" ht="18" customHeight="1" x14ac:dyDescent="0.35">
      <c r="B5" s="772" t="s">
        <v>480</v>
      </c>
      <c r="C5" s="258">
        <v>176</v>
      </c>
      <c r="D5" s="227">
        <f>1775*1.1</f>
        <v>1952.5000000000002</v>
      </c>
      <c r="E5" s="598">
        <f>+C5*D5</f>
        <v>343640.00000000006</v>
      </c>
      <c r="F5" s="553"/>
      <c r="T5" s="1027"/>
    </row>
    <row r="6" spans="2:21" ht="18" customHeight="1" x14ac:dyDescent="0.35">
      <c r="B6" s="772" t="s">
        <v>718</v>
      </c>
      <c r="C6" s="258">
        <v>16</v>
      </c>
      <c r="D6" s="227">
        <f>+D5</f>
        <v>1952.5000000000002</v>
      </c>
      <c r="E6" s="598">
        <f>+C6*D6</f>
        <v>31240.000000000004</v>
      </c>
      <c r="F6" s="553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553" t="s">
        <v>63</v>
      </c>
      <c r="G7" s="771" t="s">
        <v>63</v>
      </c>
    </row>
    <row r="8" spans="2:21" ht="18" customHeight="1" x14ac:dyDescent="0.35">
      <c r="B8" s="772" t="s">
        <v>467</v>
      </c>
      <c r="C8" s="258"/>
      <c r="D8" s="194">
        <f>+D5*1.5</f>
        <v>2928.7500000000005</v>
      </c>
      <c r="E8" s="598">
        <f>+C8*D8</f>
        <v>0</v>
      </c>
      <c r="F8" s="553" t="s">
        <v>63</v>
      </c>
      <c r="G8" s="774"/>
    </row>
    <row r="9" spans="2:21" ht="18" customHeight="1" x14ac:dyDescent="0.35">
      <c r="B9" s="772" t="s">
        <v>489</v>
      </c>
      <c r="C9" s="258"/>
      <c r="D9" s="194"/>
      <c r="E9" s="598">
        <v>70000</v>
      </c>
      <c r="F9" s="553"/>
      <c r="G9" s="774" t="s">
        <v>63</v>
      </c>
      <c r="U9" s="1027"/>
    </row>
    <row r="10" spans="2:21" ht="18" customHeight="1" x14ac:dyDescent="0.35">
      <c r="B10" s="772" t="s">
        <v>63</v>
      </c>
      <c r="C10" s="258"/>
      <c r="D10" s="194" t="s">
        <v>63</v>
      </c>
      <c r="E10" s="598">
        <v>0</v>
      </c>
      <c r="F10" s="553"/>
      <c r="U10" s="1027"/>
    </row>
    <row r="11" spans="2:21" ht="18" customHeight="1" x14ac:dyDescent="0.35">
      <c r="B11" s="1432" t="s">
        <v>99</v>
      </c>
      <c r="C11" s="1432"/>
      <c r="D11" s="1432"/>
      <c r="E11" s="599">
        <f>+E5+E6+E7+E9+E10</f>
        <v>459880.00000000006</v>
      </c>
      <c r="F11" s="553" t="s">
        <v>63</v>
      </c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1027"/>
    </row>
    <row r="12" spans="2:21" ht="18" customHeight="1" x14ac:dyDescent="0.35">
      <c r="B12" s="1030" t="s">
        <v>384</v>
      </c>
      <c r="C12" s="1029"/>
      <c r="D12" s="1029"/>
      <c r="E12" s="221">
        <v>-212609.88</v>
      </c>
      <c r="F12" s="553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1027"/>
    </row>
    <row r="13" spans="2:21" ht="18" customHeight="1" x14ac:dyDescent="0.35">
      <c r="B13" s="800" t="s">
        <v>743</v>
      </c>
      <c r="C13" s="721" t="s">
        <v>477</v>
      </c>
      <c r="D13" s="905">
        <f>+E5+E6+E7+E9</f>
        <v>459880.00000000006</v>
      </c>
      <c r="E13" s="722">
        <f>-D13*0.1</f>
        <v>-45988.000000000007</v>
      </c>
      <c r="F13" s="553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1027"/>
    </row>
    <row r="14" spans="2:21" ht="18" customHeight="1" x14ac:dyDescent="0.35">
      <c r="B14" s="800" t="s">
        <v>19</v>
      </c>
      <c r="C14" s="721"/>
      <c r="D14" s="905"/>
      <c r="E14" s="722">
        <v>0</v>
      </c>
      <c r="F14" s="553" t="s">
        <v>63</v>
      </c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R14" s="1027"/>
    </row>
    <row r="15" spans="2:21" ht="18" customHeight="1" x14ac:dyDescent="0.35">
      <c r="B15" s="1433" t="s">
        <v>11</v>
      </c>
      <c r="C15" s="1433"/>
      <c r="D15" s="1433"/>
      <c r="E15" s="603">
        <f>+E11+E12+E13+E14</f>
        <v>201282.12000000005</v>
      </c>
      <c r="F15" s="553" t="s">
        <v>63</v>
      </c>
      <c r="H15" s="321"/>
      <c r="I15" s="321"/>
      <c r="J15" s="321"/>
      <c r="K15" s="473"/>
      <c r="L15" s="321"/>
      <c r="M15" s="321"/>
      <c r="T15" s="1027"/>
    </row>
    <row r="16" spans="2:21" ht="18" customHeight="1" x14ac:dyDescent="0.35">
      <c r="E16" s="203" t="s">
        <v>63</v>
      </c>
      <c r="F16" s="679"/>
      <c r="G16" s="4"/>
      <c r="N16" s="4"/>
      <c r="T16" s="1027"/>
    </row>
    <row r="17" spans="2:22" ht="18" customHeight="1" x14ac:dyDescent="0.35">
      <c r="B17" s="1442" t="s">
        <v>728</v>
      </c>
      <c r="C17" s="1443"/>
      <c r="D17" s="1443"/>
      <c r="E17" s="1444"/>
      <c r="F17" s="406"/>
      <c r="K17" s="465"/>
      <c r="L17" s="465"/>
      <c r="M17" s="465"/>
    </row>
    <row r="18" spans="2:22" ht="18" customHeight="1" x14ac:dyDescent="0.35">
      <c r="B18" s="2" t="s">
        <v>7</v>
      </c>
      <c r="C18" s="270" t="s">
        <v>8</v>
      </c>
      <c r="D18" s="217" t="s">
        <v>4</v>
      </c>
      <c r="E18" s="597" t="s">
        <v>9</v>
      </c>
      <c r="F18" s="1028"/>
      <c r="K18" s="101"/>
      <c r="L18" s="101"/>
      <c r="M18" s="101"/>
    </row>
    <row r="19" spans="2:22" ht="18" customHeight="1" x14ac:dyDescent="0.35">
      <c r="B19" s="772" t="s">
        <v>683</v>
      </c>
      <c r="C19" s="258"/>
      <c r="D19" s="194"/>
      <c r="E19" s="598">
        <v>0</v>
      </c>
      <c r="F19" s="553" t="s">
        <v>63</v>
      </c>
      <c r="K19" s="101"/>
      <c r="L19" s="101"/>
      <c r="M19" s="101"/>
    </row>
    <row r="20" spans="2:22" ht="18" customHeight="1" x14ac:dyDescent="0.35">
      <c r="B20" s="772" t="s">
        <v>684</v>
      </c>
      <c r="C20" s="258"/>
      <c r="D20" s="194"/>
      <c r="E20" s="598">
        <v>0</v>
      </c>
      <c r="F20" s="1028"/>
      <c r="H20" s="1028"/>
      <c r="N20" s="51"/>
      <c r="O20" s="51"/>
      <c r="P20" s="66"/>
      <c r="Q20" s="49"/>
      <c r="R20" s="49"/>
    </row>
    <row r="21" spans="2:22" ht="18" customHeight="1" x14ac:dyDescent="0.35">
      <c r="B21" s="772"/>
      <c r="C21" s="258"/>
      <c r="D21" s="194"/>
      <c r="E21" s="598"/>
      <c r="F21" s="1025" t="s">
        <v>63</v>
      </c>
      <c r="H21" s="1028"/>
      <c r="N21" s="51"/>
      <c r="O21" s="51"/>
      <c r="P21" s="66"/>
      <c r="Q21" s="49"/>
      <c r="R21" s="49"/>
    </row>
    <row r="22" spans="2:22" s="90" customFormat="1" ht="18" customHeight="1" x14ac:dyDescent="0.35">
      <c r="B22" s="141" t="s">
        <v>685</v>
      </c>
      <c r="C22" s="1016"/>
      <c r="D22" s="195"/>
      <c r="E22" s="1017">
        <f>+E19+E20</f>
        <v>0</v>
      </c>
      <c r="F22" s="553"/>
      <c r="G22" s="95"/>
      <c r="L22" s="180"/>
      <c r="M22" s="184"/>
    </row>
    <row r="23" spans="2:22" s="1027" customFormat="1" ht="18" customHeight="1" x14ac:dyDescent="0.35">
      <c r="B23" s="772" t="s">
        <v>682</v>
      </c>
      <c r="C23" s="258"/>
      <c r="D23" s="194"/>
      <c r="E23" s="598">
        <v>9173</v>
      </c>
      <c r="F23" s="553" t="s">
        <v>63</v>
      </c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1027" customFormat="1" ht="18" customHeight="1" x14ac:dyDescent="0.35">
      <c r="B24" s="772"/>
      <c r="C24" s="258"/>
      <c r="D24" s="194"/>
      <c r="E24" s="598"/>
      <c r="F24" s="553"/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1027" customFormat="1" ht="18" customHeight="1" x14ac:dyDescent="0.35">
      <c r="B25" s="1439" t="s">
        <v>686</v>
      </c>
      <c r="C25" s="1440"/>
      <c r="D25" s="1441"/>
      <c r="E25" s="599" t="s">
        <v>63</v>
      </c>
      <c r="F25" s="553" t="s">
        <v>63</v>
      </c>
      <c r="G25" s="771"/>
      <c r="L25" s="181"/>
      <c r="M25" s="184"/>
      <c r="N25" s="180"/>
      <c r="O25" s="180"/>
      <c r="P25" s="181"/>
      <c r="Q25" s="181"/>
      <c r="R25" s="181"/>
      <c r="S25" s="771"/>
      <c r="V25" s="771"/>
    </row>
    <row r="26" spans="2:22" s="908" customFormat="1" ht="18" customHeight="1" x14ac:dyDescent="0.35">
      <c r="B26" s="689"/>
      <c r="C26" s="689"/>
      <c r="D26" s="689"/>
      <c r="E26" s="688"/>
      <c r="F26" s="768"/>
      <c r="G26" s="764"/>
      <c r="L26" s="910"/>
      <c r="M26" s="911"/>
      <c r="N26" s="912"/>
      <c r="O26" s="912"/>
      <c r="P26" s="910"/>
      <c r="Q26" s="910"/>
      <c r="R26" s="910"/>
      <c r="S26" s="764"/>
      <c r="V26" s="764"/>
    </row>
    <row r="27" spans="2:22" ht="18" customHeight="1" x14ac:dyDescent="0.35">
      <c r="B27" s="455"/>
      <c r="C27" s="455"/>
      <c r="D27" s="455"/>
      <c r="E27" s="456" t="s">
        <v>63</v>
      </c>
      <c r="F27" s="409"/>
      <c r="G27" s="115"/>
      <c r="M27" s="189"/>
      <c r="N27" s="180"/>
      <c r="O27" s="180"/>
      <c r="P27" s="181"/>
      <c r="Q27" s="181"/>
      <c r="R27" s="181"/>
    </row>
    <row r="28" spans="2:22" ht="18" customHeight="1" x14ac:dyDescent="0.45">
      <c r="B28" s="1450" t="s">
        <v>727</v>
      </c>
      <c r="C28" s="1451"/>
      <c r="D28" s="1451"/>
      <c r="E28" s="1452"/>
      <c r="F28" s="409"/>
      <c r="G28" s="115"/>
      <c r="M28" s="185"/>
      <c r="N28" s="181"/>
      <c r="O28" s="181"/>
      <c r="P28" s="181"/>
      <c r="Q28" s="181"/>
    </row>
    <row r="29" spans="2:22" ht="18" customHeight="1" x14ac:dyDescent="0.35">
      <c r="B29" s="604" t="s">
        <v>7</v>
      </c>
      <c r="C29" s="605" t="s">
        <v>8</v>
      </c>
      <c r="D29" s="606" t="s">
        <v>4</v>
      </c>
      <c r="E29" s="606" t="s">
        <v>9</v>
      </c>
      <c r="M29" s="185"/>
      <c r="N29" s="181"/>
      <c r="O29" s="181"/>
      <c r="P29" s="184"/>
    </row>
    <row r="30" spans="2:22" ht="18" customHeight="1" x14ac:dyDescent="0.35">
      <c r="B30" s="607" t="s">
        <v>480</v>
      </c>
      <c r="C30" s="267">
        <v>123</v>
      </c>
      <c r="D30" s="211">
        <f>1590*1.1</f>
        <v>1749.0000000000002</v>
      </c>
      <c r="E30" s="211">
        <f>+C30*D30</f>
        <v>215127.00000000003</v>
      </c>
      <c r="F30" s="90" t="s">
        <v>63</v>
      </c>
      <c r="G30" s="774" t="s">
        <v>63</v>
      </c>
      <c r="M30" s="182"/>
    </row>
    <row r="31" spans="2:22" ht="18" customHeight="1" x14ac:dyDescent="0.35">
      <c r="B31" s="772" t="s">
        <v>719</v>
      </c>
      <c r="C31" s="267">
        <v>16</v>
      </c>
      <c r="D31" s="211">
        <f>+D30</f>
        <v>1749.0000000000002</v>
      </c>
      <c r="E31" s="211">
        <f>+C31*D31</f>
        <v>27984.000000000004</v>
      </c>
      <c r="F31" s="553"/>
      <c r="I31" s="1027"/>
      <c r="J31" s="1027"/>
      <c r="K31" s="1027"/>
    </row>
    <row r="32" spans="2:22" ht="18" customHeight="1" x14ac:dyDescent="0.35">
      <c r="B32" s="772" t="s">
        <v>488</v>
      </c>
      <c r="C32" s="267"/>
      <c r="D32" s="211"/>
      <c r="E32" s="211">
        <v>0</v>
      </c>
      <c r="F32" s="553"/>
      <c r="L32" s="1027"/>
    </row>
    <row r="33" spans="2:15" ht="18" customHeight="1" x14ac:dyDescent="0.35">
      <c r="B33" s="772" t="s">
        <v>489</v>
      </c>
      <c r="C33" s="267"/>
      <c r="D33" s="211"/>
      <c r="E33" s="211">
        <v>50000</v>
      </c>
      <c r="F33" s="553" t="s">
        <v>63</v>
      </c>
      <c r="L33" s="1027"/>
    </row>
    <row r="34" spans="2:15" ht="18" customHeight="1" x14ac:dyDescent="0.35">
      <c r="B34" s="772" t="s">
        <v>720</v>
      </c>
      <c r="C34" s="267">
        <v>48</v>
      </c>
      <c r="D34" s="211">
        <f>+D30</f>
        <v>1749.0000000000002</v>
      </c>
      <c r="E34" s="211">
        <f>+C34*D34</f>
        <v>83952.000000000015</v>
      </c>
      <c r="F34" s="553"/>
      <c r="L34" s="1027"/>
    </row>
    <row r="35" spans="2:15" ht="18" customHeight="1" x14ac:dyDescent="0.35">
      <c r="B35" s="772" t="s">
        <v>468</v>
      </c>
      <c r="C35" s="267">
        <v>5.5</v>
      </c>
      <c r="D35" s="211">
        <f>+D30*1.5</f>
        <v>2623.5000000000005</v>
      </c>
      <c r="E35" s="211">
        <f>C35*D35</f>
        <v>14429.250000000002</v>
      </c>
      <c r="F35" s="1025" t="s">
        <v>63</v>
      </c>
      <c r="G35" s="180"/>
      <c r="H35" s="180"/>
      <c r="I35" s="181"/>
      <c r="J35" s="187"/>
      <c r="K35" s="188"/>
      <c r="L35" s="1027"/>
      <c r="O35" s="1027"/>
    </row>
    <row r="36" spans="2:15" ht="18" customHeight="1" x14ac:dyDescent="0.35">
      <c r="B36" s="772" t="s">
        <v>128</v>
      </c>
      <c r="C36" s="267" t="s">
        <v>63</v>
      </c>
      <c r="D36" s="211" t="s">
        <v>63</v>
      </c>
      <c r="E36" s="211">
        <v>5000</v>
      </c>
      <c r="F36" s="1025"/>
      <c r="G36" s="180"/>
      <c r="H36" s="180"/>
      <c r="I36" s="181"/>
      <c r="J36" s="187"/>
      <c r="K36" s="188"/>
      <c r="L36" s="1027"/>
      <c r="O36" s="1027"/>
    </row>
    <row r="37" spans="2:15" s="1027" customFormat="1" ht="18" customHeight="1" x14ac:dyDescent="0.35">
      <c r="B37" s="1459" t="s">
        <v>99</v>
      </c>
      <c r="C37" s="1459"/>
      <c r="D37" s="1459"/>
      <c r="E37" s="599">
        <f>+E30+E31+E32+E33+E34+E35+E36</f>
        <v>396492.25</v>
      </c>
      <c r="F37" s="553" t="s">
        <v>63</v>
      </c>
      <c r="G37" s="180"/>
      <c r="H37" s="180"/>
      <c r="I37" s="181"/>
      <c r="J37" s="181"/>
      <c r="K37" s="184"/>
      <c r="L37" s="771"/>
      <c r="N37" s="771"/>
      <c r="O37" s="771"/>
    </row>
    <row r="38" spans="2:15" s="1027" customFormat="1" ht="18" customHeight="1" x14ac:dyDescent="0.35">
      <c r="B38" s="825" t="s">
        <v>742</v>
      </c>
      <c r="C38" s="824"/>
      <c r="D38" s="823" t="s">
        <v>63</v>
      </c>
      <c r="E38" s="930">
        <v>-100000</v>
      </c>
      <c r="F38" s="553" t="s">
        <v>63</v>
      </c>
      <c r="G38" s="180"/>
      <c r="H38" s="180"/>
      <c r="I38" s="181"/>
      <c r="J38" s="181"/>
      <c r="K38" s="184"/>
      <c r="L38" s="771"/>
      <c r="N38" s="771"/>
      <c r="O38" s="771"/>
    </row>
    <row r="39" spans="2:15" s="1027" customFormat="1" ht="18" customHeight="1" x14ac:dyDescent="0.35">
      <c r="B39" s="825"/>
      <c r="C39" s="824" t="s">
        <v>63</v>
      </c>
      <c r="D39" s="823"/>
      <c r="E39" s="930"/>
      <c r="F39" s="553" t="s">
        <v>63</v>
      </c>
      <c r="G39" s="180"/>
      <c r="H39" s="180"/>
      <c r="I39" s="181"/>
      <c r="J39" s="181"/>
      <c r="K39" s="184"/>
      <c r="L39" s="771"/>
      <c r="N39" s="771"/>
      <c r="O39" s="771"/>
    </row>
    <row r="40" spans="2:15" ht="18" customHeight="1" x14ac:dyDescent="0.35">
      <c r="B40" s="786" t="s">
        <v>11</v>
      </c>
      <c r="C40" s="783"/>
      <c r="D40" s="783"/>
      <c r="E40" s="784">
        <f>+E37+E38+E39</f>
        <v>296492.25</v>
      </c>
      <c r="F40" s="553" t="s">
        <v>63</v>
      </c>
      <c r="G40" s="180"/>
      <c r="H40" s="180"/>
      <c r="I40" s="181"/>
      <c r="J40" s="181"/>
      <c r="K40" s="184"/>
    </row>
    <row r="41" spans="2:15" ht="18" customHeight="1" x14ac:dyDescent="0.35">
      <c r="B41" s="594"/>
      <c r="C41" s="594"/>
      <c r="D41" s="594"/>
      <c r="E41" s="595"/>
      <c r="G41" s="180"/>
      <c r="H41" s="180"/>
      <c r="I41" s="181"/>
      <c r="J41" s="181"/>
      <c r="K41" s="184"/>
    </row>
    <row r="42" spans="2:15" ht="18" customHeight="1" x14ac:dyDescent="0.35">
      <c r="B42" s="594"/>
      <c r="C42" s="594"/>
      <c r="D42" s="594"/>
      <c r="E42" s="595"/>
      <c r="G42" s="180"/>
      <c r="H42" s="180"/>
      <c r="I42" s="181"/>
      <c r="J42" s="181"/>
      <c r="K42" s="184"/>
    </row>
    <row r="43" spans="2:15" ht="18" customHeight="1" x14ac:dyDescent="0.35">
      <c r="B43" s="1431" t="s">
        <v>726</v>
      </c>
      <c r="C43" s="1431"/>
      <c r="D43" s="1431"/>
      <c r="E43" s="1431"/>
      <c r="G43" s="180"/>
      <c r="H43" s="180"/>
      <c r="I43" s="181"/>
      <c r="J43" s="181"/>
      <c r="K43" s="184"/>
    </row>
    <row r="44" spans="2:15" ht="18" customHeight="1" x14ac:dyDescent="0.35">
      <c r="B44" s="2"/>
      <c r="C44" s="270" t="s">
        <v>8</v>
      </c>
      <c r="D44" s="217" t="s">
        <v>4</v>
      </c>
      <c r="E44" s="597" t="s">
        <v>9</v>
      </c>
      <c r="G44" s="180"/>
      <c r="H44" s="180"/>
      <c r="I44" s="181"/>
      <c r="J44" s="181"/>
      <c r="K44" s="184"/>
    </row>
    <row r="45" spans="2:15" ht="18" customHeight="1" x14ac:dyDescent="0.35">
      <c r="B45" s="772" t="s">
        <v>253</v>
      </c>
      <c r="C45" s="258">
        <v>159</v>
      </c>
      <c r="D45" s="194">
        <f>2090*1.3</f>
        <v>2717</v>
      </c>
      <c r="E45" s="598">
        <f>+C45*D45</f>
        <v>432003</v>
      </c>
      <c r="F45" s="90" t="s">
        <v>63</v>
      </c>
      <c r="G45" s="906" t="s">
        <v>63</v>
      </c>
      <c r="H45" s="180"/>
      <c r="I45" s="181"/>
      <c r="J45" s="181"/>
      <c r="K45" s="184"/>
    </row>
    <row r="46" spans="2:15" ht="18" customHeight="1" x14ac:dyDescent="0.35">
      <c r="B46" s="772" t="s">
        <v>623</v>
      </c>
      <c r="C46" s="258">
        <v>16</v>
      </c>
      <c r="D46" s="194">
        <f>+D45</f>
        <v>2717</v>
      </c>
      <c r="E46" s="598">
        <f>+C46*D46</f>
        <v>43472</v>
      </c>
      <c r="F46" s="553" t="s">
        <v>63</v>
      </c>
      <c r="G46" s="180"/>
      <c r="H46" s="180"/>
      <c r="I46" s="181"/>
      <c r="J46" s="181"/>
      <c r="K46" s="184"/>
    </row>
    <row r="47" spans="2:15" ht="15" customHeight="1" x14ac:dyDescent="0.35">
      <c r="B47" s="772" t="s">
        <v>196</v>
      </c>
      <c r="C47" s="258"/>
      <c r="D47" s="194"/>
      <c r="E47" s="598">
        <v>7500</v>
      </c>
      <c r="G47" s="180"/>
      <c r="H47" s="180"/>
      <c r="I47" s="181"/>
      <c r="J47" s="181"/>
      <c r="K47" s="184"/>
      <c r="L47" s="1027"/>
    </row>
    <row r="48" spans="2:15" ht="15" customHeight="1" x14ac:dyDescent="0.35">
      <c r="B48" s="772" t="s">
        <v>6</v>
      </c>
      <c r="C48" s="258"/>
      <c r="D48" s="194"/>
      <c r="E48" s="598">
        <v>70000</v>
      </c>
      <c r="F48" s="90" t="s">
        <v>63</v>
      </c>
      <c r="G48" s="180"/>
      <c r="H48" s="180"/>
      <c r="I48" s="181"/>
      <c r="J48" s="181"/>
      <c r="K48" s="184"/>
      <c r="L48" s="1027"/>
    </row>
    <row r="49" spans="2:22" ht="15" customHeight="1" x14ac:dyDescent="0.35">
      <c r="B49" s="772" t="s">
        <v>721</v>
      </c>
      <c r="C49" s="258">
        <v>16</v>
      </c>
      <c r="D49" s="194">
        <f>+D45</f>
        <v>2717</v>
      </c>
      <c r="E49" s="598">
        <f>+C49*D49</f>
        <v>43472</v>
      </c>
      <c r="G49" s="180"/>
      <c r="H49" s="180"/>
      <c r="I49" s="181"/>
      <c r="J49" s="181"/>
      <c r="K49" s="184"/>
      <c r="L49" s="1027"/>
    </row>
    <row r="50" spans="2:22" ht="15" customHeight="1" x14ac:dyDescent="0.35">
      <c r="B50" s="772" t="s">
        <v>195</v>
      </c>
      <c r="C50" s="315">
        <v>6</v>
      </c>
      <c r="D50" s="194">
        <f>+D45*1.5</f>
        <v>4075.5</v>
      </c>
      <c r="E50" s="598">
        <f>+C50*D50</f>
        <v>24453</v>
      </c>
      <c r="G50" s="180"/>
      <c r="H50" s="180"/>
      <c r="I50" s="181"/>
      <c r="J50" s="181"/>
      <c r="K50" s="184"/>
      <c r="L50" s="1027"/>
    </row>
    <row r="51" spans="2:22" ht="15" customHeight="1" x14ac:dyDescent="0.35">
      <c r="B51" s="772" t="s">
        <v>449</v>
      </c>
      <c r="C51" s="315">
        <v>0</v>
      </c>
      <c r="D51" s="194">
        <f>+D45*2</f>
        <v>5434</v>
      </c>
      <c r="E51" s="598">
        <f>+C51*D51</f>
        <v>0</v>
      </c>
      <c r="G51" s="180"/>
      <c r="H51" s="180"/>
      <c r="I51" s="181"/>
      <c r="J51" s="181"/>
      <c r="K51" s="184"/>
      <c r="L51" s="1027"/>
    </row>
    <row r="52" spans="2:22" ht="15" customHeight="1" x14ac:dyDescent="0.35">
      <c r="B52" s="772"/>
      <c r="C52" s="258"/>
      <c r="D52" s="194"/>
      <c r="E52" s="598">
        <f>+C52*D52</f>
        <v>0</v>
      </c>
      <c r="F52" s="553" t="s">
        <v>63</v>
      </c>
      <c r="M52" s="176"/>
      <c r="N52" s="180"/>
      <c r="O52" s="180"/>
      <c r="P52" s="181"/>
      <c r="Q52" s="181"/>
      <c r="R52" s="184"/>
    </row>
    <row r="53" spans="2:22" ht="15" customHeight="1" x14ac:dyDescent="0.35">
      <c r="B53" s="1432" t="s">
        <v>99</v>
      </c>
      <c r="C53" s="1432"/>
      <c r="D53" s="1432"/>
      <c r="E53" s="599">
        <f>+E45+E46+E47+E48+E49+E50+E51+E52</f>
        <v>620900</v>
      </c>
      <c r="F53" s="553" t="s">
        <v>63</v>
      </c>
      <c r="G53" s="774" t="s">
        <v>63</v>
      </c>
      <c r="M53" s="176"/>
      <c r="N53" s="176"/>
      <c r="O53" s="176"/>
      <c r="P53" s="181"/>
      <c r="Q53" s="181"/>
      <c r="R53" s="184"/>
      <c r="T53" s="1027"/>
    </row>
    <row r="54" spans="2:22" s="1027" customFormat="1" ht="15" customHeight="1" x14ac:dyDescent="0.35">
      <c r="B54" s="723" t="s">
        <v>630</v>
      </c>
      <c r="C54" s="727" t="s">
        <v>63</v>
      </c>
      <c r="D54" s="727" t="s">
        <v>63</v>
      </c>
      <c r="E54" s="722">
        <v>-216623.28</v>
      </c>
      <c r="F54" s="1025" t="s">
        <v>63</v>
      </c>
      <c r="G54" s="771"/>
      <c r="H54" s="771"/>
      <c r="I54" s="771"/>
      <c r="J54" s="771"/>
      <c r="K54" s="771"/>
      <c r="L54" s="771"/>
      <c r="M54" s="176"/>
      <c r="N54" s="176"/>
      <c r="O54" s="176"/>
      <c r="P54" s="176"/>
      <c r="Q54" s="176"/>
      <c r="R54" s="176"/>
      <c r="S54" s="771"/>
      <c r="T54" s="771"/>
      <c r="U54" s="771"/>
      <c r="V54" s="771"/>
    </row>
    <row r="55" spans="2:22" s="1027" customFormat="1" ht="15" customHeight="1" x14ac:dyDescent="0.35">
      <c r="B55" s="672"/>
      <c r="C55" s="673" t="s">
        <v>11</v>
      </c>
      <c r="D55" s="674"/>
      <c r="E55" s="675">
        <f>+E53+E54</f>
        <v>404276.72</v>
      </c>
      <c r="F55" s="1025" t="s">
        <v>63</v>
      </c>
      <c r="G55" s="771"/>
      <c r="H55" s="771"/>
      <c r="I55" s="771"/>
      <c r="J55" s="771"/>
      <c r="K55" s="771"/>
      <c r="L55" s="771"/>
      <c r="M55" s="176"/>
      <c r="N55" s="176"/>
      <c r="O55" s="176"/>
      <c r="P55" s="176"/>
      <c r="Q55" s="176"/>
      <c r="R55" s="176"/>
      <c r="S55" s="771"/>
      <c r="T55" s="771"/>
      <c r="U55" s="771"/>
      <c r="V55" s="771"/>
    </row>
    <row r="56" spans="2:22" ht="15" customHeight="1" x14ac:dyDescent="0.35">
      <c r="C56" s="771"/>
      <c r="D56" s="771"/>
      <c r="E56" s="771"/>
      <c r="F56" s="553" t="s">
        <v>63</v>
      </c>
      <c r="N56" s="183"/>
      <c r="O56" s="183"/>
      <c r="P56" s="176"/>
      <c r="Q56" s="176"/>
      <c r="R56" s="176"/>
      <c r="T56" s="1027"/>
    </row>
    <row r="57" spans="2:22" ht="15" customHeight="1" x14ac:dyDescent="0.35">
      <c r="C57" s="771"/>
      <c r="D57" s="771"/>
      <c r="E57" s="774" t="s">
        <v>63</v>
      </c>
    </row>
    <row r="58" spans="2:22" ht="15" customHeight="1" x14ac:dyDescent="0.35">
      <c r="B58" s="1442" t="s">
        <v>725</v>
      </c>
      <c r="C58" s="1443"/>
      <c r="D58" s="1443"/>
      <c r="E58" s="1444"/>
      <c r="V58" s="1027"/>
    </row>
    <row r="59" spans="2:22" x14ac:dyDescent="0.35">
      <c r="B59" s="2" t="s">
        <v>7</v>
      </c>
      <c r="C59" s="270" t="s">
        <v>8</v>
      </c>
      <c r="D59" s="217" t="s">
        <v>4</v>
      </c>
      <c r="E59" s="597" t="s">
        <v>9</v>
      </c>
    </row>
    <row r="60" spans="2:22" x14ac:dyDescent="0.35">
      <c r="B60" s="772" t="s">
        <v>501</v>
      </c>
      <c r="C60" s="258">
        <v>176</v>
      </c>
      <c r="D60" s="227">
        <f>1580*1.1</f>
        <v>1738.0000000000002</v>
      </c>
      <c r="E60" s="598">
        <f>+C60*D60</f>
        <v>305888.00000000006</v>
      </c>
      <c r="F60" s="553" t="s">
        <v>63</v>
      </c>
    </row>
    <row r="61" spans="2:22" x14ac:dyDescent="0.35">
      <c r="B61" s="772" t="s">
        <v>722</v>
      </c>
      <c r="C61" s="258">
        <v>16</v>
      </c>
      <c r="D61" s="227">
        <f>+D60</f>
        <v>1738.0000000000002</v>
      </c>
      <c r="E61" s="598">
        <f>+C61*D61</f>
        <v>27808.000000000004</v>
      </c>
    </row>
    <row r="62" spans="2:22" x14ac:dyDescent="0.35">
      <c r="B62" s="772" t="s">
        <v>723</v>
      </c>
      <c r="C62" s="258">
        <v>0</v>
      </c>
      <c r="D62" s="227">
        <f>+D60</f>
        <v>1738.0000000000002</v>
      </c>
      <c r="E62" s="598">
        <f>+C62*D62</f>
        <v>0</v>
      </c>
    </row>
    <row r="63" spans="2:22" x14ac:dyDescent="0.35">
      <c r="B63" s="772" t="s">
        <v>490</v>
      </c>
      <c r="C63" s="258"/>
      <c r="D63" s="227" t="s">
        <v>63</v>
      </c>
      <c r="E63" s="598">
        <v>15000</v>
      </c>
    </row>
    <row r="64" spans="2:22" x14ac:dyDescent="0.35">
      <c r="B64" s="772" t="s">
        <v>489</v>
      </c>
      <c r="C64" s="258"/>
      <c r="D64" s="227"/>
      <c r="E64" s="598">
        <v>50000</v>
      </c>
      <c r="F64" s="90" t="s">
        <v>63</v>
      </c>
    </row>
    <row r="65" spans="1:7" x14ac:dyDescent="0.35">
      <c r="B65" s="772" t="s">
        <v>195</v>
      </c>
      <c r="C65" s="258">
        <v>1.5</v>
      </c>
      <c r="D65" s="194">
        <f>+D60*1.5</f>
        <v>2607.0000000000005</v>
      </c>
      <c r="E65" s="598">
        <f>+C65*D65</f>
        <v>3910.5000000000009</v>
      </c>
      <c r="F65" s="553" t="s">
        <v>63</v>
      </c>
      <c r="G65" s="774" t="s">
        <v>63</v>
      </c>
    </row>
    <row r="66" spans="1:7" x14ac:dyDescent="0.35">
      <c r="B66" s="772" t="s">
        <v>449</v>
      </c>
      <c r="C66" s="258"/>
      <c r="D66" s="194" t="s">
        <v>63</v>
      </c>
      <c r="E66" s="598" t="s">
        <v>63</v>
      </c>
      <c r="F66" s="553" t="s">
        <v>63</v>
      </c>
      <c r="G66" s="774"/>
    </row>
    <row r="67" spans="1:7" x14ac:dyDescent="0.35">
      <c r="B67" s="1439" t="s">
        <v>99</v>
      </c>
      <c r="C67" s="1440"/>
      <c r="D67" s="1441"/>
      <c r="E67" s="599">
        <f>+E60+E61+E62+E63+E64+E65</f>
        <v>402606.50000000006</v>
      </c>
      <c r="F67" s="553" t="s">
        <v>63</v>
      </c>
    </row>
    <row r="68" spans="1:7" x14ac:dyDescent="0.35">
      <c r="B68" s="921" t="s">
        <v>744</v>
      </c>
      <c r="C68" s="922">
        <f>+E60+E61+E63+E64+E62</f>
        <v>398696.00000000006</v>
      </c>
      <c r="D68" s="720"/>
      <c r="E68" s="722">
        <f>-C68*0.1</f>
        <v>-39869.600000000006</v>
      </c>
      <c r="F68" s="553" t="s">
        <v>63</v>
      </c>
    </row>
    <row r="69" spans="1:7" x14ac:dyDescent="0.35">
      <c r="B69" s="672"/>
      <c r="C69" s="673" t="s">
        <v>11</v>
      </c>
      <c r="D69" s="674"/>
      <c r="E69" s="675">
        <f>+E67+E68</f>
        <v>362736.9</v>
      </c>
      <c r="F69" s="553" t="s">
        <v>63</v>
      </c>
    </row>
    <row r="70" spans="1:7" x14ac:dyDescent="0.35">
      <c r="C70" s="771"/>
      <c r="D70" s="771"/>
      <c r="E70" s="771"/>
    </row>
    <row r="72" spans="1:7" ht="23.5" x14ac:dyDescent="0.35">
      <c r="B72" s="1442" t="s">
        <v>724</v>
      </c>
      <c r="C72" s="1443"/>
      <c r="D72" s="1443"/>
      <c r="E72" s="1444"/>
    </row>
    <row r="73" spans="1:7" x14ac:dyDescent="0.35">
      <c r="B73" s="2" t="s">
        <v>7</v>
      </c>
      <c r="C73" s="270" t="s">
        <v>8</v>
      </c>
      <c r="D73" s="217" t="s">
        <v>4</v>
      </c>
      <c r="E73" s="597" t="s">
        <v>63</v>
      </c>
      <c r="F73" s="90" t="s">
        <v>63</v>
      </c>
    </row>
    <row r="74" spans="1:7" x14ac:dyDescent="0.35">
      <c r="A74" s="771" t="s">
        <v>63</v>
      </c>
      <c r="B74" s="772" t="s">
        <v>3</v>
      </c>
      <c r="C74" s="258">
        <v>115</v>
      </c>
      <c r="D74" s="227">
        <f>1370*1.1</f>
        <v>1507.0000000000002</v>
      </c>
      <c r="E74" s="598">
        <f>+C74*D74</f>
        <v>173305.00000000003</v>
      </c>
      <c r="F74" s="90" t="s">
        <v>63</v>
      </c>
    </row>
    <row r="75" spans="1:7" x14ac:dyDescent="0.35">
      <c r="B75" s="772" t="s">
        <v>353</v>
      </c>
      <c r="C75" s="258">
        <v>16</v>
      </c>
      <c r="D75" s="227">
        <f>+D74</f>
        <v>1507.0000000000002</v>
      </c>
      <c r="E75" s="598">
        <f>+C75*D75</f>
        <v>24112.000000000004</v>
      </c>
    </row>
    <row r="76" spans="1:7" x14ac:dyDescent="0.35">
      <c r="B76" s="772" t="s">
        <v>729</v>
      </c>
      <c r="C76" s="258">
        <v>56</v>
      </c>
      <c r="D76" s="227">
        <f>+D74</f>
        <v>1507.0000000000002</v>
      </c>
      <c r="E76" s="598">
        <f>+C76*D76</f>
        <v>84392.000000000015</v>
      </c>
    </row>
    <row r="77" spans="1:7" x14ac:dyDescent="0.35">
      <c r="B77" s="772" t="s">
        <v>196</v>
      </c>
      <c r="C77" s="258"/>
      <c r="D77" s="227"/>
      <c r="E77" s="598">
        <v>0</v>
      </c>
    </row>
    <row r="78" spans="1:7" x14ac:dyDescent="0.35">
      <c r="B78" s="772" t="s">
        <v>6</v>
      </c>
      <c r="C78" s="258"/>
      <c r="D78" s="227" t="s">
        <v>63</v>
      </c>
      <c r="E78" s="598">
        <v>35000</v>
      </c>
      <c r="F78" s="90" t="s">
        <v>63</v>
      </c>
    </row>
    <row r="79" spans="1:7" x14ac:dyDescent="0.35">
      <c r="B79" s="772" t="s">
        <v>270</v>
      </c>
      <c r="C79" s="258"/>
      <c r="D79" s="227">
        <f>+D74*1.5</f>
        <v>2260.5000000000005</v>
      </c>
      <c r="E79" s="711">
        <f>+C79*D79</f>
        <v>0</v>
      </c>
      <c r="F79" s="553" t="s">
        <v>63</v>
      </c>
    </row>
    <row r="80" spans="1:7" x14ac:dyDescent="0.35">
      <c r="B80" s="772" t="s">
        <v>281</v>
      </c>
      <c r="C80" s="258"/>
      <c r="D80" s="227" t="s">
        <v>63</v>
      </c>
      <c r="E80" s="598" t="s">
        <v>63</v>
      </c>
    </row>
    <row r="81" spans="2:8" x14ac:dyDescent="0.35">
      <c r="B81" s="1439" t="s">
        <v>99</v>
      </c>
      <c r="C81" s="1440"/>
      <c r="D81" s="1441"/>
      <c r="E81" s="599">
        <f>+E74+E75+E76+E77+E78</f>
        <v>316809.00000000006</v>
      </c>
      <c r="F81" s="553" t="s">
        <v>63</v>
      </c>
    </row>
    <row r="82" spans="2:8" x14ac:dyDescent="0.35">
      <c r="B82" s="723" t="s">
        <v>50</v>
      </c>
      <c r="C82" s="721"/>
      <c r="D82" s="721"/>
      <c r="E82" s="722">
        <v>-135000</v>
      </c>
      <c r="F82" s="553" t="s">
        <v>63</v>
      </c>
      <c r="G82" s="774" t="s">
        <v>63</v>
      </c>
    </row>
    <row r="83" spans="2:8" ht="15.5" x14ac:dyDescent="0.35">
      <c r="B83" s="1446" t="s">
        <v>11</v>
      </c>
      <c r="C83" s="1447"/>
      <c r="D83" s="1448"/>
      <c r="E83" s="603">
        <f>+E81+E82</f>
        <v>181809.00000000006</v>
      </c>
      <c r="F83" s="553" t="s">
        <v>63</v>
      </c>
    </row>
    <row r="84" spans="2:8" x14ac:dyDescent="0.35">
      <c r="F84" s="553" t="s">
        <v>63</v>
      </c>
    </row>
    <row r="85" spans="2:8" x14ac:dyDescent="0.35">
      <c r="F85" s="553" t="s">
        <v>63</v>
      </c>
    </row>
    <row r="86" spans="2:8" ht="23.5" x14ac:dyDescent="0.35">
      <c r="B86" s="1442" t="s">
        <v>730</v>
      </c>
      <c r="C86" s="1443"/>
      <c r="D86" s="1443"/>
      <c r="E86" s="1444"/>
    </row>
    <row r="87" spans="2:8" x14ac:dyDescent="0.35">
      <c r="B87" s="2" t="s">
        <v>7</v>
      </c>
      <c r="C87" s="270" t="s">
        <v>388</v>
      </c>
      <c r="D87" s="217" t="s">
        <v>272</v>
      </c>
      <c r="E87" s="597" t="s">
        <v>9</v>
      </c>
    </row>
    <row r="88" spans="2:8" x14ac:dyDescent="0.35">
      <c r="B88" s="772" t="s">
        <v>480</v>
      </c>
      <c r="C88" s="258">
        <v>167</v>
      </c>
      <c r="D88" s="227">
        <f>1370*1.15</f>
        <v>1575.4999999999998</v>
      </c>
      <c r="E88" s="598">
        <f>+C88*D88</f>
        <v>263108.49999999994</v>
      </c>
      <c r="F88" s="90" t="s">
        <v>63</v>
      </c>
    </row>
    <row r="89" spans="2:8" x14ac:dyDescent="0.35">
      <c r="B89" s="772" t="s">
        <v>718</v>
      </c>
      <c r="C89" s="258">
        <v>16</v>
      </c>
      <c r="D89" s="227">
        <f>+D88</f>
        <v>1575.4999999999998</v>
      </c>
      <c r="E89" s="598">
        <f>+C89*D89</f>
        <v>25207.999999999996</v>
      </c>
      <c r="F89" s="553" t="s">
        <v>63</v>
      </c>
    </row>
    <row r="90" spans="2:8" x14ac:dyDescent="0.35">
      <c r="B90" s="772" t="s">
        <v>489</v>
      </c>
      <c r="C90" s="258"/>
      <c r="D90" s="227" t="s">
        <v>63</v>
      </c>
      <c r="E90" s="598">
        <v>35000</v>
      </c>
      <c r="F90" s="90" t="s">
        <v>63</v>
      </c>
    </row>
    <row r="91" spans="2:8" x14ac:dyDescent="0.35">
      <c r="B91" s="772" t="s">
        <v>745</v>
      </c>
      <c r="C91" s="258"/>
      <c r="D91" s="227"/>
      <c r="E91" s="598">
        <v>7500</v>
      </c>
    </row>
    <row r="92" spans="2:8" x14ac:dyDescent="0.35">
      <c r="B92" s="772" t="s">
        <v>746</v>
      </c>
      <c r="C92" s="258">
        <v>8</v>
      </c>
      <c r="D92" s="227">
        <f>+D88</f>
        <v>1575.4999999999998</v>
      </c>
      <c r="E92" s="598">
        <f>+C92*D92</f>
        <v>12603.999999999998</v>
      </c>
    </row>
    <row r="93" spans="2:8" x14ac:dyDescent="0.35">
      <c r="B93" s="772" t="s">
        <v>475</v>
      </c>
      <c r="C93" s="258">
        <v>6.5</v>
      </c>
      <c r="D93" s="227">
        <f>+D88*1.5</f>
        <v>2363.2499999999995</v>
      </c>
      <c r="E93" s="711">
        <f>+C93*D93</f>
        <v>15361.124999999996</v>
      </c>
      <c r="F93" s="553" t="s">
        <v>63</v>
      </c>
    </row>
    <row r="94" spans="2:8" x14ac:dyDescent="0.35">
      <c r="B94" s="772" t="s">
        <v>389</v>
      </c>
      <c r="C94" s="258"/>
      <c r="D94" s="227"/>
      <c r="E94" s="598">
        <f>+E88+E89+E90+E91+E92+E93</f>
        <v>358781.62499999994</v>
      </c>
      <c r="F94" s="553" t="s">
        <v>63</v>
      </c>
    </row>
    <row r="95" spans="2:8" x14ac:dyDescent="0.35">
      <c r="B95" s="1439" t="s">
        <v>731</v>
      </c>
      <c r="C95" s="1440">
        <f>+E88+E89+E90+E91</f>
        <v>330816.49999999994</v>
      </c>
      <c r="D95" s="1441">
        <f>+C95*10/100</f>
        <v>33081.649999999994</v>
      </c>
      <c r="E95" s="599">
        <f>-D95</f>
        <v>-33081.649999999994</v>
      </c>
      <c r="F95" s="553"/>
      <c r="G95" s="771" t="s">
        <v>63</v>
      </c>
      <c r="H95" s="771" t="s">
        <v>63</v>
      </c>
    </row>
    <row r="96" spans="2:8" x14ac:dyDescent="0.35">
      <c r="B96" s="723" t="s">
        <v>19</v>
      </c>
      <c r="C96" s="721"/>
      <c r="D96" s="721"/>
      <c r="E96" s="722">
        <v>-60000</v>
      </c>
    </row>
    <row r="97" spans="2:7" ht="15.5" x14ac:dyDescent="0.35">
      <c r="B97" s="1446" t="s">
        <v>11</v>
      </c>
      <c r="C97" s="1447"/>
      <c r="D97" s="1448"/>
      <c r="E97" s="603">
        <f>+E94+E95+E96</f>
        <v>265699.97499999998</v>
      </c>
    </row>
    <row r="98" spans="2:7" x14ac:dyDescent="0.35">
      <c r="E98" s="203" t="s">
        <v>63</v>
      </c>
    </row>
    <row r="100" spans="2:7" ht="23.5" x14ac:dyDescent="0.35">
      <c r="B100" s="1431" t="s">
        <v>734</v>
      </c>
      <c r="C100" s="1431"/>
      <c r="D100" s="1431"/>
      <c r="E100" s="1431"/>
    </row>
    <row r="101" spans="2:7" x14ac:dyDescent="0.35">
      <c r="B101" s="2" t="s">
        <v>7</v>
      </c>
      <c r="C101" s="270" t="s">
        <v>8</v>
      </c>
      <c r="D101" s="217" t="s">
        <v>4</v>
      </c>
      <c r="E101" s="597" t="s">
        <v>9</v>
      </c>
    </row>
    <row r="102" spans="2:7" x14ac:dyDescent="0.35">
      <c r="B102" s="772" t="s">
        <v>3</v>
      </c>
      <c r="C102" s="258">
        <v>176</v>
      </c>
      <c r="D102" s="227">
        <f>1370*1.1</f>
        <v>1507.0000000000002</v>
      </c>
      <c r="E102" s="598">
        <f>+C102*D102</f>
        <v>265232.00000000006</v>
      </c>
      <c r="F102" s="90" t="s">
        <v>63</v>
      </c>
      <c r="G102" s="771" t="s">
        <v>63</v>
      </c>
    </row>
    <row r="103" spans="2:7" x14ac:dyDescent="0.35">
      <c r="B103" s="772" t="s">
        <v>732</v>
      </c>
      <c r="C103" s="258">
        <v>16</v>
      </c>
      <c r="D103" s="227">
        <f>+D102</f>
        <v>1507.0000000000002</v>
      </c>
      <c r="E103" s="598">
        <f>+C103*D103</f>
        <v>24112.000000000004</v>
      </c>
    </row>
    <row r="104" spans="2:7" x14ac:dyDescent="0.35">
      <c r="B104" s="772" t="s">
        <v>733</v>
      </c>
      <c r="C104" s="258">
        <v>0</v>
      </c>
      <c r="D104" s="227">
        <f>+D102</f>
        <v>1507.0000000000002</v>
      </c>
      <c r="E104" s="598">
        <f>+C104*D104</f>
        <v>0</v>
      </c>
    </row>
    <row r="105" spans="2:7" x14ac:dyDescent="0.35">
      <c r="B105" s="772" t="s">
        <v>200</v>
      </c>
      <c r="C105" s="258"/>
      <c r="D105" s="227"/>
      <c r="E105" s="598">
        <v>15000</v>
      </c>
    </row>
    <row r="106" spans="2:7" x14ac:dyDescent="0.35">
      <c r="B106" s="772" t="s">
        <v>6</v>
      </c>
      <c r="C106" s="258"/>
      <c r="D106" s="194" t="s">
        <v>63</v>
      </c>
      <c r="E106" s="598">
        <v>35000</v>
      </c>
      <c r="F106" s="90" t="s">
        <v>63</v>
      </c>
    </row>
    <row r="107" spans="2:7" x14ac:dyDescent="0.35">
      <c r="B107" s="772" t="s">
        <v>270</v>
      </c>
      <c r="C107" s="258">
        <v>1</v>
      </c>
      <c r="D107" s="194">
        <f>+D102*1.5</f>
        <v>2260.5000000000005</v>
      </c>
      <c r="E107" s="598">
        <f>+C107*D107</f>
        <v>2260.5000000000005</v>
      </c>
      <c r="F107" s="90" t="s">
        <v>63</v>
      </c>
    </row>
    <row r="108" spans="2:7" x14ac:dyDescent="0.35">
      <c r="B108" s="1432" t="s">
        <v>99</v>
      </c>
      <c r="C108" s="1432"/>
      <c r="D108" s="1432"/>
      <c r="E108" s="599">
        <f>+E102+E103+E104+E105+E106+E107</f>
        <v>341604.50000000006</v>
      </c>
      <c r="F108" s="553" t="s">
        <v>63</v>
      </c>
    </row>
    <row r="109" spans="2:7" x14ac:dyDescent="0.35">
      <c r="B109" s="724" t="s">
        <v>19</v>
      </c>
      <c r="C109" s="729" t="s">
        <v>63</v>
      </c>
      <c r="D109" s="730" t="s">
        <v>63</v>
      </c>
      <c r="E109" s="731">
        <v>-50000</v>
      </c>
      <c r="F109" s="553" t="s">
        <v>63</v>
      </c>
    </row>
    <row r="110" spans="2:7" s="997" customFormat="1" ht="15.5" x14ac:dyDescent="0.35">
      <c r="B110" s="992"/>
      <c r="C110" s="993" t="s">
        <v>11</v>
      </c>
      <c r="D110" s="994"/>
      <c r="E110" s="995">
        <f>+E108+E109</f>
        <v>291604.50000000006</v>
      </c>
      <c r="F110" s="1026" t="s">
        <v>63</v>
      </c>
    </row>
    <row r="113" spans="1:6" ht="23.5" x14ac:dyDescent="0.35">
      <c r="B113" s="1442" t="s">
        <v>735</v>
      </c>
      <c r="C113" s="1443"/>
      <c r="D113" s="1443"/>
      <c r="E113" s="1444"/>
    </row>
    <row r="114" spans="1:6" x14ac:dyDescent="0.35">
      <c r="B114" s="2" t="s">
        <v>7</v>
      </c>
      <c r="C114" s="270" t="s">
        <v>8</v>
      </c>
      <c r="D114" s="217" t="s">
        <v>4</v>
      </c>
      <c r="E114" s="597" t="s">
        <v>9</v>
      </c>
    </row>
    <row r="115" spans="1:6" x14ac:dyDescent="0.35">
      <c r="B115" s="772" t="s">
        <v>3</v>
      </c>
      <c r="C115" s="258">
        <v>142.5</v>
      </c>
      <c r="D115" s="194">
        <f>1720*1.1</f>
        <v>1892.0000000000002</v>
      </c>
      <c r="E115" s="598">
        <f>+C115*D115</f>
        <v>269610.00000000006</v>
      </c>
      <c r="F115" s="553" t="s">
        <v>63</v>
      </c>
    </row>
    <row r="116" spans="1:6" x14ac:dyDescent="0.35">
      <c r="B116" s="772" t="s">
        <v>738</v>
      </c>
      <c r="C116" s="258">
        <v>14</v>
      </c>
      <c r="D116" s="194">
        <f>+D115</f>
        <v>1892.0000000000002</v>
      </c>
      <c r="E116" s="609">
        <f>+C116*D116</f>
        <v>26488.000000000004</v>
      </c>
    </row>
    <row r="117" spans="1:6" x14ac:dyDescent="0.35">
      <c r="B117" s="772" t="s">
        <v>6</v>
      </c>
      <c r="C117" s="258"/>
      <c r="D117" s="194"/>
      <c r="E117" s="609">
        <v>35000</v>
      </c>
      <c r="F117" s="90" t="s">
        <v>63</v>
      </c>
    </row>
    <row r="118" spans="1:6" x14ac:dyDescent="0.35">
      <c r="B118" s="614" t="s">
        <v>556</v>
      </c>
      <c r="C118" s="617"/>
      <c r="D118" s="227">
        <v>15000</v>
      </c>
      <c r="E118" s="609">
        <v>15000</v>
      </c>
      <c r="F118" s="553" t="s">
        <v>63</v>
      </c>
    </row>
    <row r="119" spans="1:6" x14ac:dyDescent="0.35">
      <c r="B119" s="614" t="s">
        <v>63</v>
      </c>
      <c r="C119" s="617"/>
      <c r="D119" s="227" t="s">
        <v>63</v>
      </c>
      <c r="E119" s="609">
        <v>0</v>
      </c>
      <c r="F119" s="553"/>
    </row>
    <row r="120" spans="1:6" s="764" customFormat="1" x14ac:dyDescent="0.35">
      <c r="B120" s="882" t="s">
        <v>99</v>
      </c>
      <c r="C120" s="883"/>
      <c r="D120" s="883"/>
      <c r="E120" s="884">
        <f>+E115+E116+E117+E118+E119</f>
        <v>346098.00000000006</v>
      </c>
      <c r="F120" s="768" t="s">
        <v>63</v>
      </c>
    </row>
    <row r="121" spans="1:6" x14ac:dyDescent="0.35">
      <c r="B121" s="962" t="s">
        <v>736</v>
      </c>
      <c r="C121" s="619"/>
      <c r="D121" s="619"/>
      <c r="E121" s="730">
        <v>-135000</v>
      </c>
      <c r="F121" s="553" t="s">
        <v>63</v>
      </c>
    </row>
    <row r="122" spans="1:6" ht="15.5" x14ac:dyDescent="0.35">
      <c r="B122" s="611" t="s">
        <v>11</v>
      </c>
      <c r="C122" s="612"/>
      <c r="D122" s="613"/>
      <c r="E122" s="603">
        <f>+E120+E121</f>
        <v>211098.00000000006</v>
      </c>
      <c r="F122" s="553" t="s">
        <v>63</v>
      </c>
    </row>
    <row r="125" spans="1:6" ht="23.5" x14ac:dyDescent="0.35">
      <c r="A125" s="4"/>
      <c r="B125" s="1442" t="s">
        <v>737</v>
      </c>
      <c r="C125" s="1443"/>
      <c r="D125" s="1443"/>
      <c r="E125" s="1444"/>
    </row>
    <row r="126" spans="1:6" x14ac:dyDescent="0.35">
      <c r="A126" s="4"/>
      <c r="B126" s="2" t="s">
        <v>7</v>
      </c>
      <c r="C126" s="270" t="s">
        <v>388</v>
      </c>
      <c r="D126" s="217" t="s">
        <v>629</v>
      </c>
      <c r="E126" s="597" t="s">
        <v>9</v>
      </c>
    </row>
    <row r="127" spans="1:6" x14ac:dyDescent="0.35">
      <c r="A127" s="4"/>
      <c r="B127" s="772" t="s">
        <v>3</v>
      </c>
      <c r="C127" s="258">
        <v>112</v>
      </c>
      <c r="D127" s="194">
        <f>1720*1.1</f>
        <v>1892.0000000000002</v>
      </c>
      <c r="E127" s="598">
        <f>+C127*D127</f>
        <v>211904.00000000003</v>
      </c>
      <c r="F127" s="90" t="s">
        <v>63</v>
      </c>
    </row>
    <row r="128" spans="1:6" x14ac:dyDescent="0.35">
      <c r="A128" s="4"/>
      <c r="B128" s="772" t="s">
        <v>379</v>
      </c>
      <c r="C128" s="258">
        <v>16</v>
      </c>
      <c r="D128" s="194">
        <f>+D127</f>
        <v>1892.0000000000002</v>
      </c>
      <c r="E128" s="609">
        <f>+C128*D128</f>
        <v>30272.000000000004</v>
      </c>
      <c r="F128" s="553"/>
    </row>
    <row r="129" spans="1:6" x14ac:dyDescent="0.35">
      <c r="A129" s="4"/>
      <c r="B129" s="772" t="s">
        <v>739</v>
      </c>
      <c r="C129" s="258"/>
      <c r="D129" s="194"/>
      <c r="E129" s="609">
        <v>0</v>
      </c>
    </row>
    <row r="130" spans="1:6" x14ac:dyDescent="0.35">
      <c r="A130" s="4"/>
      <c r="B130" s="772" t="s">
        <v>6</v>
      </c>
      <c r="C130" s="258"/>
      <c r="D130" s="194"/>
      <c r="E130" s="609">
        <v>35000</v>
      </c>
      <c r="F130" s="90" t="s">
        <v>63</v>
      </c>
    </row>
    <row r="131" spans="1:6" x14ac:dyDescent="0.35">
      <c r="A131" s="4"/>
      <c r="B131" s="772" t="s">
        <v>720</v>
      </c>
      <c r="C131" s="258">
        <v>48</v>
      </c>
      <c r="D131" s="194">
        <f>+D127</f>
        <v>1892.0000000000002</v>
      </c>
      <c r="E131" s="609">
        <f>+C131*D131</f>
        <v>90816.000000000015</v>
      </c>
    </row>
    <row r="132" spans="1:6" x14ac:dyDescent="0.35">
      <c r="A132" s="4"/>
      <c r="B132" s="614" t="s">
        <v>628</v>
      </c>
      <c r="C132" s="617">
        <v>1</v>
      </c>
      <c r="D132" s="227">
        <f>+D127*1.5</f>
        <v>2838.0000000000005</v>
      </c>
      <c r="E132" s="609">
        <f>+C132*D132</f>
        <v>2838.0000000000005</v>
      </c>
      <c r="F132" s="553">
        <f>+E127+E128+E129+E130+E131+E132</f>
        <v>370830</v>
      </c>
    </row>
    <row r="133" spans="1:6" x14ac:dyDescent="0.35">
      <c r="A133" s="4"/>
      <c r="B133" s="614" t="s">
        <v>741</v>
      </c>
      <c r="C133" s="617"/>
      <c r="D133" s="227"/>
      <c r="E133" s="609">
        <v>11100</v>
      </c>
    </row>
    <row r="134" spans="1:6" x14ac:dyDescent="0.35">
      <c r="A134" s="4"/>
      <c r="B134" s="614" t="s">
        <v>740</v>
      </c>
      <c r="C134" s="617"/>
      <c r="D134" s="227"/>
      <c r="E134" s="609">
        <v>25000</v>
      </c>
    </row>
    <row r="135" spans="1:6" x14ac:dyDescent="0.35">
      <c r="A135" s="4"/>
      <c r="B135" s="882" t="s">
        <v>99</v>
      </c>
      <c r="C135" s="883"/>
      <c r="D135" s="883"/>
      <c r="E135" s="884">
        <f>+E127+E128+E129+E130+E131+E132+E133+E134</f>
        <v>406930</v>
      </c>
      <c r="F135" s="553" t="s">
        <v>63</v>
      </c>
    </row>
    <row r="136" spans="1:6" x14ac:dyDescent="0.35">
      <c r="A136" s="4"/>
      <c r="B136" s="962" t="s">
        <v>19</v>
      </c>
      <c r="C136" s="619"/>
      <c r="D136" s="619"/>
      <c r="E136" s="730">
        <v>0</v>
      </c>
      <c r="F136" s="553" t="s">
        <v>63</v>
      </c>
    </row>
    <row r="137" spans="1:6" x14ac:dyDescent="0.35">
      <c r="A137" s="4"/>
      <c r="B137" s="962"/>
      <c r="C137" s="619"/>
      <c r="D137" s="619"/>
      <c r="E137" s="730"/>
    </row>
    <row r="138" spans="1:6" ht="15.5" x14ac:dyDescent="0.35">
      <c r="A138" s="4"/>
      <c r="B138" s="611" t="s">
        <v>11</v>
      </c>
      <c r="C138" s="612"/>
      <c r="D138" s="613"/>
      <c r="E138" s="603">
        <f>+E135+E136</f>
        <v>406930</v>
      </c>
      <c r="F138" s="553" t="s">
        <v>63</v>
      </c>
    </row>
    <row r="142" spans="1:6" x14ac:dyDescent="0.35">
      <c r="E142" s="203" t="s">
        <v>63</v>
      </c>
    </row>
  </sheetData>
  <mergeCells count="21">
    <mergeCell ref="B113:E113"/>
    <mergeCell ref="B125:E125"/>
    <mergeCell ref="B95:D95"/>
    <mergeCell ref="B97:D97"/>
    <mergeCell ref="B81:D81"/>
    <mergeCell ref="B83:D83"/>
    <mergeCell ref="B86:E86"/>
    <mergeCell ref="B100:E100"/>
    <mergeCell ref="B108:D108"/>
    <mergeCell ref="B72:E72"/>
    <mergeCell ref="B3:E3"/>
    <mergeCell ref="B11:D11"/>
    <mergeCell ref="B15:D15"/>
    <mergeCell ref="B17:E17"/>
    <mergeCell ref="B25:D25"/>
    <mergeCell ref="B28:E28"/>
    <mergeCell ref="B37:D37"/>
    <mergeCell ref="B43:E43"/>
    <mergeCell ref="B53:D53"/>
    <mergeCell ref="B58:E58"/>
    <mergeCell ref="B67:D67"/>
  </mergeCells>
  <pageMargins left="0.31496062992125984" right="0.11811023622047245" top="0" bottom="0" header="0.31496062992125984" footer="0.31496062992125984"/>
  <pageSetup paperSize="9" scale="29" orientation="portrait" r:id="rId1"/>
  <colBreaks count="1" manualBreakCount="1">
    <brk id="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F36"/>
  <sheetViews>
    <sheetView topLeftCell="A19" workbookViewId="0">
      <selection activeCell="E23" sqref="E23"/>
    </sheetView>
  </sheetViews>
  <sheetFormatPr baseColWidth="10" defaultRowHeight="14.5" x14ac:dyDescent="0.35"/>
  <cols>
    <col min="1" max="1" width="10.90625" style="771"/>
    <col min="2" max="2" width="22" style="771" customWidth="1"/>
    <col min="3" max="3" width="26.90625" style="774" customWidth="1"/>
    <col min="4" max="4" width="21.1796875" style="774" customWidth="1"/>
    <col min="5" max="5" width="14.08984375" style="771" customWidth="1"/>
    <col min="6" max="16384" width="10.90625" style="771"/>
  </cols>
  <sheetData>
    <row r="1" spans="1:5" s="658" customFormat="1" ht="28.5" x14ac:dyDescent="0.65">
      <c r="A1" s="946"/>
      <c r="B1" s="947" t="s">
        <v>747</v>
      </c>
      <c r="C1" s="983"/>
      <c r="D1" s="983"/>
    </row>
    <row r="2" spans="1:5" s="658" customFormat="1" ht="28.5" x14ac:dyDescent="0.65">
      <c r="A2" s="946"/>
      <c r="B2" s="947"/>
      <c r="C2" s="983"/>
      <c r="D2" s="983"/>
    </row>
    <row r="3" spans="1:5" ht="21" x14ac:dyDescent="0.5">
      <c r="A3" s="760"/>
      <c r="B3" s="981" t="s">
        <v>7</v>
      </c>
      <c r="C3" s="984" t="s">
        <v>3</v>
      </c>
      <c r="D3" s="984" t="s">
        <v>688</v>
      </c>
    </row>
    <row r="4" spans="1:5" ht="21" x14ac:dyDescent="0.5">
      <c r="A4" s="760">
        <v>1</v>
      </c>
      <c r="B4" s="949" t="s">
        <v>10</v>
      </c>
      <c r="C4" s="985">
        <v>459880</v>
      </c>
      <c r="D4" s="985">
        <v>201282.12</v>
      </c>
    </row>
    <row r="5" spans="1:5" ht="21" x14ac:dyDescent="0.5">
      <c r="A5" s="760">
        <v>2</v>
      </c>
      <c r="B5" s="949" t="s">
        <v>15</v>
      </c>
      <c r="C5" s="985">
        <v>0</v>
      </c>
      <c r="D5" s="985">
        <v>0</v>
      </c>
    </row>
    <row r="6" spans="1:5" ht="21" x14ac:dyDescent="0.5">
      <c r="A6" s="760">
        <v>3</v>
      </c>
      <c r="B6" s="949" t="s">
        <v>16</v>
      </c>
      <c r="C6" s="985">
        <v>396492.25</v>
      </c>
      <c r="D6" s="985">
        <v>296492.25</v>
      </c>
      <c r="E6" s="774" t="s">
        <v>63</v>
      </c>
    </row>
    <row r="7" spans="1:5" ht="21" x14ac:dyDescent="0.5">
      <c r="A7" s="951">
        <v>4</v>
      </c>
      <c r="B7" s="949" t="s">
        <v>0</v>
      </c>
      <c r="C7" s="985">
        <v>620900</v>
      </c>
      <c r="D7" s="985">
        <v>404276.72</v>
      </c>
    </row>
    <row r="8" spans="1:5" ht="21" x14ac:dyDescent="0.5">
      <c r="A8" s="951">
        <v>5</v>
      </c>
      <c r="B8" s="949" t="s">
        <v>245</v>
      </c>
      <c r="C8" s="985">
        <v>316809</v>
      </c>
      <c r="D8" s="985">
        <v>181809</v>
      </c>
    </row>
    <row r="9" spans="1:5" ht="21" x14ac:dyDescent="0.5">
      <c r="A9" s="951">
        <v>6</v>
      </c>
      <c r="B9" s="949" t="s">
        <v>267</v>
      </c>
      <c r="C9" s="985">
        <v>402606.5</v>
      </c>
      <c r="D9" s="985">
        <v>362736.9</v>
      </c>
    </row>
    <row r="10" spans="1:5" ht="21" x14ac:dyDescent="0.5">
      <c r="A10" s="951">
        <v>7</v>
      </c>
      <c r="B10" s="949" t="s">
        <v>260</v>
      </c>
      <c r="C10" s="985">
        <v>346098</v>
      </c>
      <c r="D10" s="985">
        <v>211098</v>
      </c>
    </row>
    <row r="11" spans="1:5" ht="21" x14ac:dyDescent="0.5">
      <c r="A11" s="951">
        <v>8</v>
      </c>
      <c r="B11" s="949" t="s">
        <v>553</v>
      </c>
      <c r="C11" s="985">
        <v>341604.5</v>
      </c>
      <c r="D11" s="985">
        <v>291604.5</v>
      </c>
    </row>
    <row r="12" spans="1:5" ht="21" x14ac:dyDescent="0.5">
      <c r="A12" s="951">
        <v>9</v>
      </c>
      <c r="B12" s="949" t="s">
        <v>463</v>
      </c>
      <c r="C12" s="985">
        <v>346981.75</v>
      </c>
      <c r="D12" s="985">
        <v>265699.98</v>
      </c>
    </row>
    <row r="13" spans="1:5" ht="21" x14ac:dyDescent="0.5">
      <c r="A13" s="760">
        <v>10</v>
      </c>
      <c r="B13" s="949" t="s">
        <v>613</v>
      </c>
      <c r="C13" s="985">
        <v>406930</v>
      </c>
      <c r="D13" s="985">
        <v>406930</v>
      </c>
    </row>
    <row r="14" spans="1:5" s="658" customFormat="1" ht="28.5" x14ac:dyDescent="0.65">
      <c r="A14" s="946"/>
      <c r="B14" s="952" t="s">
        <v>748</v>
      </c>
      <c r="C14" s="1006">
        <f>+C4+C6+C7+C8+C9+C10+C11+C12+C13</f>
        <v>3638302</v>
      </c>
      <c r="D14" s="986">
        <f>+D4+D5+D6+D7+D8+D9+D10+D11+D12+D13</f>
        <v>2621929.4699999997</v>
      </c>
    </row>
    <row r="15" spans="1:5" ht="21" x14ac:dyDescent="0.5">
      <c r="A15" s="760"/>
      <c r="B15" s="760"/>
      <c r="C15" s="797"/>
      <c r="D15" s="797"/>
    </row>
    <row r="16" spans="1:5" ht="21" x14ac:dyDescent="0.5">
      <c r="A16" s="760"/>
      <c r="B16" s="760"/>
      <c r="C16" s="797" t="s">
        <v>63</v>
      </c>
      <c r="D16" s="797"/>
    </row>
    <row r="17" spans="1:6" s="648" customFormat="1" ht="46" x14ac:dyDescent="1">
      <c r="A17" s="760"/>
      <c r="B17" s="954" t="s">
        <v>747</v>
      </c>
      <c r="C17" s="797"/>
      <c r="D17" s="797"/>
    </row>
    <row r="18" spans="1:6" ht="18.5" x14ac:dyDescent="0.45">
      <c r="B18" s="643" t="s">
        <v>306</v>
      </c>
      <c r="C18" s="987" t="s">
        <v>272</v>
      </c>
      <c r="D18" s="987" t="s">
        <v>200</v>
      </c>
    </row>
    <row r="19" spans="1:6" ht="18.5" x14ac:dyDescent="0.45">
      <c r="B19" s="644" t="s">
        <v>10</v>
      </c>
      <c r="C19" s="988">
        <v>1952.5</v>
      </c>
      <c r="D19" s="988">
        <v>15000</v>
      </c>
    </row>
    <row r="20" spans="1:6" ht="18.5" x14ac:dyDescent="0.45">
      <c r="B20" s="644" t="s">
        <v>15</v>
      </c>
      <c r="C20" s="988" t="s">
        <v>63</v>
      </c>
      <c r="D20" s="988">
        <v>15000</v>
      </c>
    </row>
    <row r="21" spans="1:6" ht="18.5" x14ac:dyDescent="0.45">
      <c r="B21" s="644" t="s">
        <v>16</v>
      </c>
      <c r="C21" s="988">
        <v>1749</v>
      </c>
      <c r="D21" s="988">
        <v>15000</v>
      </c>
    </row>
    <row r="22" spans="1:6" ht="18.5" x14ac:dyDescent="0.45">
      <c r="B22" s="644" t="s">
        <v>0</v>
      </c>
      <c r="C22" s="988">
        <v>2717</v>
      </c>
      <c r="D22" s="988">
        <v>15000</v>
      </c>
    </row>
    <row r="23" spans="1:6" ht="18.5" x14ac:dyDescent="0.45">
      <c r="B23" s="644" t="s">
        <v>245</v>
      </c>
      <c r="C23" s="988">
        <v>1507</v>
      </c>
      <c r="D23" s="988">
        <v>15000</v>
      </c>
    </row>
    <row r="24" spans="1:6" ht="18.5" x14ac:dyDescent="0.45">
      <c r="B24" s="644" t="s">
        <v>267</v>
      </c>
      <c r="C24" s="988">
        <v>1738</v>
      </c>
      <c r="D24" s="988">
        <v>15000</v>
      </c>
    </row>
    <row r="25" spans="1:6" ht="18.5" x14ac:dyDescent="0.45">
      <c r="B25" s="644" t="s">
        <v>260</v>
      </c>
      <c r="C25" s="988">
        <v>1892</v>
      </c>
      <c r="D25" s="988">
        <v>15000</v>
      </c>
    </row>
    <row r="26" spans="1:6" ht="18.5" x14ac:dyDescent="0.45">
      <c r="B26" s="645" t="s">
        <v>553</v>
      </c>
      <c r="C26" s="988">
        <v>1507</v>
      </c>
      <c r="D26" s="989">
        <v>15000</v>
      </c>
    </row>
    <row r="27" spans="1:6" ht="18.5" x14ac:dyDescent="0.45">
      <c r="B27" s="645" t="s">
        <v>463</v>
      </c>
      <c r="C27" s="988">
        <v>1575.5</v>
      </c>
      <c r="D27" s="989">
        <v>15000</v>
      </c>
      <c r="F27" s="771" t="s">
        <v>63</v>
      </c>
    </row>
    <row r="28" spans="1:6" ht="18.5" x14ac:dyDescent="0.45">
      <c r="B28" s="645" t="s">
        <v>613</v>
      </c>
      <c r="C28" s="988">
        <v>1892</v>
      </c>
      <c r="D28" s="989">
        <v>15000</v>
      </c>
    </row>
    <row r="29" spans="1:6" ht="18.5" x14ac:dyDescent="0.45">
      <c r="B29" s="798"/>
      <c r="C29" s="1007"/>
      <c r="D29" s="990"/>
    </row>
    <row r="31" spans="1:6" x14ac:dyDescent="0.35">
      <c r="A31" s="701" t="s">
        <v>106</v>
      </c>
      <c r="B31" s="702" t="s">
        <v>107</v>
      </c>
      <c r="C31" s="1013" t="s">
        <v>262</v>
      </c>
      <c r="D31" s="991"/>
    </row>
    <row r="32" spans="1:6" x14ac:dyDescent="0.35">
      <c r="A32" s="703">
        <v>16</v>
      </c>
      <c r="B32" s="703">
        <v>9</v>
      </c>
      <c r="C32" s="964">
        <f>+A32*B32</f>
        <v>144</v>
      </c>
      <c r="D32" s="593" t="s">
        <v>116</v>
      </c>
    </row>
    <row r="33" spans="1:4" x14ac:dyDescent="0.35">
      <c r="A33" s="703">
        <v>4</v>
      </c>
      <c r="B33" s="703">
        <v>8</v>
      </c>
      <c r="C33" s="964">
        <f>+A33*B33</f>
        <v>32</v>
      </c>
      <c r="D33" s="593" t="s">
        <v>638</v>
      </c>
    </row>
    <row r="34" spans="1:4" x14ac:dyDescent="0.35">
      <c r="A34" s="703">
        <v>2</v>
      </c>
      <c r="B34" s="703">
        <v>8</v>
      </c>
      <c r="C34" s="964">
        <f>+A34*B34</f>
        <v>16</v>
      </c>
      <c r="D34" s="593" t="s">
        <v>111</v>
      </c>
    </row>
    <row r="35" spans="1:4" x14ac:dyDescent="0.35">
      <c r="A35" s="568" t="s">
        <v>63</v>
      </c>
      <c r="B35" s="773"/>
      <c r="C35" s="964">
        <f>+C32+C33+C34</f>
        <v>192</v>
      </c>
      <c r="D35" s="593" t="s">
        <v>309</v>
      </c>
    </row>
    <row r="36" spans="1:4" x14ac:dyDescent="0.35">
      <c r="A36" s="1014" t="s">
        <v>63</v>
      </c>
    </row>
  </sheetData>
  <pageMargins left="0.7" right="0.7" top="0.75" bottom="0.75" header="0.3" footer="0.3"/>
  <pageSetup paperSize="9" scale="82" fitToHeight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V138"/>
  <sheetViews>
    <sheetView zoomScaleNormal="100" workbookViewId="0">
      <selection activeCell="E11" sqref="E11"/>
    </sheetView>
  </sheetViews>
  <sheetFormatPr baseColWidth="10" defaultRowHeight="14.5" x14ac:dyDescent="0.35"/>
  <cols>
    <col min="1" max="1" width="4.08984375" style="771" customWidth="1"/>
    <col min="2" max="2" width="27.6328125" style="771" customWidth="1"/>
    <col min="3" max="3" width="18.90625" style="261" customWidth="1"/>
    <col min="4" max="4" width="19.90625" style="774" customWidth="1"/>
    <col min="5" max="5" width="18.54296875" style="203" customWidth="1"/>
    <col min="6" max="6" width="23.08984375" style="90" bestFit="1" customWidth="1"/>
    <col min="7" max="7" width="14.6328125" style="771" bestFit="1" customWidth="1"/>
    <col min="8" max="8" width="27" style="771" customWidth="1"/>
    <col min="9" max="9" width="12.6328125" style="771" bestFit="1" customWidth="1"/>
    <col min="10" max="10" width="12.54296875" style="771" customWidth="1"/>
    <col min="11" max="11" width="13.54296875" style="771" bestFit="1" customWidth="1"/>
    <col min="12" max="12" width="13.54296875" style="771" customWidth="1"/>
    <col min="13" max="13" width="14.6328125" style="771" customWidth="1"/>
    <col min="14" max="14" width="14.54296875" style="771" bestFit="1" customWidth="1"/>
    <col min="15" max="15" width="14.54296875" style="771" customWidth="1"/>
    <col min="16" max="16" width="13" style="771" customWidth="1"/>
    <col min="17" max="18" width="14.453125" style="771" bestFit="1" customWidth="1"/>
    <col min="19" max="19" width="14.08984375" style="771" customWidth="1"/>
    <col min="20" max="16384" width="10.90625" style="771"/>
  </cols>
  <sheetData>
    <row r="1" spans="2:21" ht="36" x14ac:dyDescent="0.8">
      <c r="C1" s="937">
        <v>45413</v>
      </c>
    </row>
    <row r="3" spans="2:21" ht="25.5" customHeight="1" x14ac:dyDescent="0.35">
      <c r="B3" s="1431" t="s">
        <v>769</v>
      </c>
      <c r="C3" s="1431"/>
      <c r="D3" s="1431"/>
      <c r="E3" s="1431"/>
    </row>
    <row r="4" spans="2:21" s="1031" customFormat="1" ht="18" customHeight="1" x14ac:dyDescent="0.35">
      <c r="B4" s="2" t="s">
        <v>7</v>
      </c>
      <c r="C4" s="270" t="s">
        <v>8</v>
      </c>
      <c r="D4" s="217" t="s">
        <v>4</v>
      </c>
      <c r="E4" s="597" t="s">
        <v>9</v>
      </c>
      <c r="F4" s="90" t="s">
        <v>362</v>
      </c>
      <c r="T4" s="771"/>
      <c r="U4" s="771"/>
    </row>
    <row r="5" spans="2:21" ht="18" customHeight="1" x14ac:dyDescent="0.35">
      <c r="B5" s="772" t="s">
        <v>480</v>
      </c>
      <c r="C5" s="258">
        <v>193</v>
      </c>
      <c r="D5" s="227">
        <v>2148</v>
      </c>
      <c r="E5" s="598">
        <f>+C5*D5</f>
        <v>414564</v>
      </c>
      <c r="F5" s="553"/>
      <c r="T5" s="1031"/>
    </row>
    <row r="6" spans="2:21" ht="18" customHeight="1" x14ac:dyDescent="0.35">
      <c r="B6" s="772" t="s">
        <v>692</v>
      </c>
      <c r="C6" s="258">
        <v>8</v>
      </c>
      <c r="D6" s="227">
        <f>+D5</f>
        <v>2148</v>
      </c>
      <c r="E6" s="598">
        <f>+C6*D6</f>
        <v>17184</v>
      </c>
      <c r="F6" s="553" t="s">
        <v>63</v>
      </c>
      <c r="T6" s="774"/>
    </row>
    <row r="7" spans="2:21" ht="18" customHeight="1" x14ac:dyDescent="0.35">
      <c r="B7" s="772" t="s">
        <v>488</v>
      </c>
      <c r="C7" s="258"/>
      <c r="D7" s="227"/>
      <c r="E7" s="598">
        <v>15000</v>
      </c>
      <c r="F7" s="553" t="s">
        <v>63</v>
      </c>
      <c r="G7" s="771" t="s">
        <v>63</v>
      </c>
    </row>
    <row r="8" spans="2:21" ht="18" customHeight="1" x14ac:dyDescent="0.35">
      <c r="B8" s="772" t="s">
        <v>467</v>
      </c>
      <c r="C8" s="258"/>
      <c r="D8" s="194">
        <f>+D5*1.5</f>
        <v>3222</v>
      </c>
      <c r="E8" s="598">
        <f>+C8*D8</f>
        <v>0</v>
      </c>
      <c r="F8" s="553" t="s">
        <v>63</v>
      </c>
      <c r="G8" s="774"/>
    </row>
    <row r="9" spans="2:21" ht="18" customHeight="1" x14ac:dyDescent="0.35">
      <c r="B9" s="772" t="s">
        <v>489</v>
      </c>
      <c r="C9" s="258"/>
      <c r="D9" s="194"/>
      <c r="E9" s="598">
        <v>70000</v>
      </c>
      <c r="F9" s="553"/>
      <c r="G9" s="774" t="s">
        <v>63</v>
      </c>
      <c r="U9" s="1031"/>
    </row>
    <row r="10" spans="2:21" ht="18" customHeight="1" x14ac:dyDescent="0.35">
      <c r="B10" s="772" t="s">
        <v>749</v>
      </c>
      <c r="C10" s="258"/>
      <c r="D10" s="194" t="s">
        <v>63</v>
      </c>
      <c r="E10" s="598">
        <v>10000</v>
      </c>
      <c r="F10" s="553"/>
      <c r="U10" s="1031"/>
    </row>
    <row r="11" spans="2:21" ht="18" customHeight="1" x14ac:dyDescent="0.35">
      <c r="B11" s="1432" t="s">
        <v>99</v>
      </c>
      <c r="C11" s="1432"/>
      <c r="D11" s="1432"/>
      <c r="E11" s="599">
        <f>+E5+E6+E7+E8+E9+E10</f>
        <v>526748</v>
      </c>
      <c r="F11" s="553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R11" s="1031"/>
    </row>
    <row r="12" spans="2:21" ht="18" customHeight="1" x14ac:dyDescent="0.35">
      <c r="B12" s="1034" t="s">
        <v>384</v>
      </c>
      <c r="C12" s="1033"/>
      <c r="D12" s="1033"/>
      <c r="E12" s="221">
        <v>-253296.29</v>
      </c>
      <c r="F12" s="553" t="s">
        <v>63</v>
      </c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R12" s="1031"/>
    </row>
    <row r="13" spans="2:21" ht="18" customHeight="1" x14ac:dyDescent="0.35">
      <c r="B13" s="800"/>
      <c r="C13" s="721"/>
      <c r="D13" s="905"/>
      <c r="E13" s="722"/>
      <c r="F13" s="553" t="s">
        <v>63</v>
      </c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R13" s="1031"/>
    </row>
    <row r="14" spans="2:21" ht="18" customHeight="1" x14ac:dyDescent="0.35">
      <c r="B14" s="1433" t="s">
        <v>11</v>
      </c>
      <c r="C14" s="1433"/>
      <c r="D14" s="1433"/>
      <c r="E14" s="603">
        <f>+E11+E12</f>
        <v>273451.70999999996</v>
      </c>
      <c r="F14" s="553" t="s">
        <v>63</v>
      </c>
      <c r="H14" s="321"/>
      <c r="I14" s="321"/>
      <c r="J14" s="321"/>
      <c r="K14" s="473"/>
      <c r="L14" s="321"/>
      <c r="M14" s="321"/>
      <c r="T14" s="1031"/>
    </row>
    <row r="15" spans="2:21" ht="18" customHeight="1" x14ac:dyDescent="0.35">
      <c r="E15" s="203" t="s">
        <v>63</v>
      </c>
      <c r="F15" s="679"/>
      <c r="G15" s="4"/>
      <c r="N15" s="4"/>
      <c r="T15" s="1031"/>
    </row>
    <row r="16" spans="2:21" ht="18" customHeight="1" x14ac:dyDescent="0.35">
      <c r="B16" s="1442" t="s">
        <v>768</v>
      </c>
      <c r="C16" s="1443"/>
      <c r="D16" s="1443"/>
      <c r="E16" s="1444"/>
      <c r="F16" s="406"/>
      <c r="K16" s="465"/>
      <c r="L16" s="465"/>
      <c r="M16" s="465"/>
    </row>
    <row r="17" spans="2:22" ht="18" customHeight="1" x14ac:dyDescent="0.35">
      <c r="B17" s="2" t="s">
        <v>7</v>
      </c>
      <c r="C17" s="270" t="s">
        <v>8</v>
      </c>
      <c r="D17" s="217" t="s">
        <v>4</v>
      </c>
      <c r="E17" s="597" t="s">
        <v>9</v>
      </c>
      <c r="F17" s="1032"/>
      <c r="K17" s="101"/>
      <c r="L17" s="101"/>
      <c r="M17" s="101"/>
    </row>
    <row r="18" spans="2:22" ht="18" customHeight="1" x14ac:dyDescent="0.35">
      <c r="B18" s="772" t="s">
        <v>683</v>
      </c>
      <c r="C18" s="258"/>
      <c r="D18" s="194"/>
      <c r="E18" s="598">
        <v>0</v>
      </c>
      <c r="F18" s="553" t="s">
        <v>63</v>
      </c>
      <c r="K18" s="101"/>
      <c r="L18" s="101"/>
      <c r="M18" s="101"/>
    </row>
    <row r="19" spans="2:22" ht="18" customHeight="1" x14ac:dyDescent="0.35">
      <c r="B19" s="772" t="s">
        <v>684</v>
      </c>
      <c r="C19" s="258"/>
      <c r="D19" s="194"/>
      <c r="E19" s="598">
        <v>0</v>
      </c>
      <c r="F19" s="1032"/>
      <c r="H19" s="1032"/>
      <c r="N19" s="51"/>
      <c r="O19" s="51"/>
      <c r="P19" s="66"/>
      <c r="Q19" s="49"/>
      <c r="R19" s="49"/>
    </row>
    <row r="20" spans="2:22" ht="18" customHeight="1" x14ac:dyDescent="0.35">
      <c r="B20" s="772"/>
      <c r="C20" s="258"/>
      <c r="D20" s="194"/>
      <c r="E20" s="598"/>
      <c r="F20" s="1025" t="s">
        <v>63</v>
      </c>
      <c r="H20" s="1032"/>
      <c r="N20" s="51"/>
      <c r="O20" s="51"/>
      <c r="P20" s="66"/>
      <c r="Q20" s="49"/>
      <c r="R20" s="49"/>
    </row>
    <row r="21" spans="2:22" s="90" customFormat="1" ht="18" customHeight="1" x14ac:dyDescent="0.35">
      <c r="B21" s="141" t="s">
        <v>685</v>
      </c>
      <c r="C21" s="1016"/>
      <c r="D21" s="195"/>
      <c r="E21" s="1017">
        <f>+E18+E19</f>
        <v>0</v>
      </c>
      <c r="F21" s="553"/>
      <c r="G21" s="95"/>
      <c r="L21" s="180"/>
      <c r="M21" s="184"/>
    </row>
    <row r="22" spans="2:22" s="1031" customFormat="1" ht="18" customHeight="1" x14ac:dyDescent="0.35">
      <c r="B22" s="772" t="s">
        <v>682</v>
      </c>
      <c r="C22" s="258"/>
      <c r="D22" s="194"/>
      <c r="E22" s="598">
        <v>9173</v>
      </c>
      <c r="F22" s="553" t="s">
        <v>63</v>
      </c>
      <c r="G22" s="771"/>
      <c r="L22" s="181"/>
      <c r="M22" s="184"/>
      <c r="N22" s="180"/>
      <c r="O22" s="180"/>
      <c r="P22" s="181"/>
      <c r="Q22" s="181"/>
      <c r="R22" s="181"/>
      <c r="S22" s="771"/>
      <c r="V22" s="771"/>
    </row>
    <row r="23" spans="2:22" s="1031" customFormat="1" ht="18" customHeight="1" x14ac:dyDescent="0.35">
      <c r="B23" s="772"/>
      <c r="C23" s="258"/>
      <c r="D23" s="194"/>
      <c r="E23" s="598"/>
      <c r="F23" s="553"/>
      <c r="G23" s="771"/>
      <c r="L23" s="181"/>
      <c r="M23" s="184"/>
      <c r="N23" s="180"/>
      <c r="O23" s="180"/>
      <c r="P23" s="181"/>
      <c r="Q23" s="181"/>
      <c r="R23" s="181"/>
      <c r="S23" s="771"/>
      <c r="V23" s="771"/>
    </row>
    <row r="24" spans="2:22" s="1031" customFormat="1" ht="18" customHeight="1" x14ac:dyDescent="0.35">
      <c r="B24" s="1439" t="s">
        <v>686</v>
      </c>
      <c r="C24" s="1440"/>
      <c r="D24" s="1441"/>
      <c r="E24" s="599" t="s">
        <v>63</v>
      </c>
      <c r="F24" s="553" t="s">
        <v>63</v>
      </c>
      <c r="G24" s="771"/>
      <c r="L24" s="181"/>
      <c r="M24" s="184"/>
      <c r="N24" s="180"/>
      <c r="O24" s="180"/>
      <c r="P24" s="181"/>
      <c r="Q24" s="181"/>
      <c r="R24" s="181"/>
      <c r="S24" s="771"/>
      <c r="V24" s="771"/>
    </row>
    <row r="25" spans="2:22" s="908" customFormat="1" ht="18" customHeight="1" x14ac:dyDescent="0.35">
      <c r="B25" s="689"/>
      <c r="C25" s="689"/>
      <c r="D25" s="689"/>
      <c r="E25" s="688"/>
      <c r="F25" s="768"/>
      <c r="G25" s="764"/>
      <c r="L25" s="910"/>
      <c r="M25" s="911"/>
      <c r="N25" s="912"/>
      <c r="O25" s="912"/>
      <c r="P25" s="910"/>
      <c r="Q25" s="910"/>
      <c r="R25" s="910"/>
      <c r="S25" s="764"/>
      <c r="V25" s="764"/>
    </row>
    <row r="26" spans="2:22" ht="18" customHeight="1" x14ac:dyDescent="0.35">
      <c r="B26" s="455"/>
      <c r="C26" s="455"/>
      <c r="D26" s="455"/>
      <c r="E26" s="456" t="s">
        <v>63</v>
      </c>
      <c r="F26" s="409"/>
      <c r="G26" s="115"/>
      <c r="M26" s="189"/>
      <c r="N26" s="180"/>
      <c r="O26" s="180"/>
      <c r="P26" s="181"/>
      <c r="Q26" s="181"/>
      <c r="R26" s="181"/>
    </row>
    <row r="27" spans="2:22" ht="18" customHeight="1" x14ac:dyDescent="0.45">
      <c r="B27" s="1450" t="s">
        <v>752</v>
      </c>
      <c r="C27" s="1451"/>
      <c r="D27" s="1451"/>
      <c r="E27" s="1452"/>
      <c r="F27" s="409"/>
      <c r="G27" s="115"/>
      <c r="M27" s="185"/>
      <c r="N27" s="181"/>
      <c r="O27" s="181"/>
      <c r="P27" s="181"/>
      <c r="Q27" s="181"/>
    </row>
    <row r="28" spans="2:22" ht="18" customHeight="1" x14ac:dyDescent="0.35">
      <c r="B28" s="604" t="s">
        <v>7</v>
      </c>
      <c r="C28" s="605" t="s">
        <v>8</v>
      </c>
      <c r="D28" s="606" t="s">
        <v>4</v>
      </c>
      <c r="E28" s="606" t="s">
        <v>9</v>
      </c>
      <c r="F28" s="90" t="s">
        <v>362</v>
      </c>
      <c r="M28" s="185"/>
      <c r="N28" s="181"/>
      <c r="O28" s="181"/>
      <c r="P28" s="184"/>
    </row>
    <row r="29" spans="2:22" ht="18" customHeight="1" x14ac:dyDescent="0.35">
      <c r="B29" s="607" t="s">
        <v>480</v>
      </c>
      <c r="C29" s="267">
        <v>193</v>
      </c>
      <c r="D29" s="211">
        <v>1924</v>
      </c>
      <c r="E29" s="211">
        <f>+C29*D29</f>
        <v>371332</v>
      </c>
      <c r="G29" s="774" t="s">
        <v>63</v>
      </c>
      <c r="M29" s="182"/>
    </row>
    <row r="30" spans="2:22" ht="18" customHeight="1" x14ac:dyDescent="0.35">
      <c r="B30" s="772" t="s">
        <v>714</v>
      </c>
      <c r="C30" s="267">
        <v>8</v>
      </c>
      <c r="D30" s="211">
        <f>+D29</f>
        <v>1924</v>
      </c>
      <c r="E30" s="211">
        <f>+C30*D30</f>
        <v>15392</v>
      </c>
      <c r="F30" s="553"/>
      <c r="I30" s="1031"/>
      <c r="J30" s="1031"/>
      <c r="K30" s="1031"/>
    </row>
    <row r="31" spans="2:22" ht="18" customHeight="1" x14ac:dyDescent="0.35">
      <c r="B31" s="772" t="s">
        <v>488</v>
      </c>
      <c r="C31" s="267"/>
      <c r="D31" s="211"/>
      <c r="E31" s="211">
        <v>0</v>
      </c>
      <c r="F31" s="553"/>
      <c r="L31" s="1031"/>
    </row>
    <row r="32" spans="2:22" ht="18" customHeight="1" x14ac:dyDescent="0.35">
      <c r="B32" s="772" t="s">
        <v>489</v>
      </c>
      <c r="C32" s="267"/>
      <c r="D32" s="211"/>
      <c r="E32" s="211">
        <v>50000</v>
      </c>
      <c r="F32" s="553" t="s">
        <v>63</v>
      </c>
      <c r="L32" s="1031"/>
    </row>
    <row r="33" spans="2:15" ht="18" customHeight="1" x14ac:dyDescent="0.35">
      <c r="B33" s="772" t="s">
        <v>468</v>
      </c>
      <c r="C33" s="267">
        <v>3.15</v>
      </c>
      <c r="D33" s="211">
        <f>+D29*1.5</f>
        <v>2886</v>
      </c>
      <c r="E33" s="211">
        <f>C33*D33</f>
        <v>9090.9</v>
      </c>
      <c r="F33" s="1025" t="s">
        <v>63</v>
      </c>
      <c r="G33" s="180"/>
      <c r="H33" s="180"/>
      <c r="I33" s="181"/>
      <c r="J33" s="187"/>
      <c r="K33" s="188"/>
      <c r="L33" s="1031"/>
      <c r="O33" s="1031"/>
    </row>
    <row r="34" spans="2:15" ht="18" customHeight="1" x14ac:dyDescent="0.35">
      <c r="B34" s="772" t="s">
        <v>63</v>
      </c>
      <c r="C34" s="267" t="s">
        <v>63</v>
      </c>
      <c r="D34" s="211" t="s">
        <v>63</v>
      </c>
      <c r="E34" s="211"/>
      <c r="F34" s="1025"/>
      <c r="G34" s="180"/>
      <c r="H34" s="180"/>
      <c r="I34" s="181"/>
      <c r="J34" s="187"/>
      <c r="K34" s="188"/>
      <c r="L34" s="1031"/>
      <c r="O34" s="1031"/>
    </row>
    <row r="35" spans="2:15" s="1031" customFormat="1" ht="18" customHeight="1" x14ac:dyDescent="0.35">
      <c r="B35" s="1459" t="s">
        <v>99</v>
      </c>
      <c r="C35" s="1459"/>
      <c r="D35" s="1459"/>
      <c r="E35" s="599">
        <f>+E29+E30+E31+E32+E33</f>
        <v>445814.9</v>
      </c>
      <c r="F35" s="553" t="s">
        <v>63</v>
      </c>
      <c r="G35" s="180"/>
      <c r="H35" s="180"/>
      <c r="I35" s="181"/>
      <c r="J35" s="181"/>
      <c r="K35" s="184"/>
      <c r="L35" s="771"/>
      <c r="N35" s="771"/>
      <c r="O35" s="771"/>
    </row>
    <row r="36" spans="2:15" s="1031" customFormat="1" ht="18" customHeight="1" x14ac:dyDescent="0.35">
      <c r="B36" s="825" t="s">
        <v>750</v>
      </c>
      <c r="C36" s="824"/>
      <c r="D36" s="823" t="s">
        <v>63</v>
      </c>
      <c r="E36" s="930">
        <v>-100000</v>
      </c>
      <c r="F36" s="553" t="s">
        <v>63</v>
      </c>
      <c r="G36" s="180"/>
      <c r="H36" s="180"/>
      <c r="I36" s="181"/>
      <c r="J36" s="181"/>
      <c r="K36" s="184"/>
      <c r="L36" s="771"/>
      <c r="N36" s="771"/>
      <c r="O36" s="771"/>
    </row>
    <row r="37" spans="2:15" s="1031" customFormat="1" ht="18" customHeight="1" x14ac:dyDescent="0.35">
      <c r="B37" s="825" t="s">
        <v>751</v>
      </c>
      <c r="C37" s="824" t="s">
        <v>63</v>
      </c>
      <c r="D37" s="823"/>
      <c r="E37" s="930">
        <v>-100000</v>
      </c>
      <c r="F37" s="553" t="s">
        <v>63</v>
      </c>
      <c r="G37" s="180"/>
      <c r="H37" s="180"/>
      <c r="I37" s="181"/>
      <c r="J37" s="181"/>
      <c r="K37" s="184"/>
      <c r="L37" s="771"/>
      <c r="N37" s="771"/>
      <c r="O37" s="771"/>
    </row>
    <row r="38" spans="2:15" ht="18" customHeight="1" x14ac:dyDescent="0.35">
      <c r="B38" s="786" t="s">
        <v>11</v>
      </c>
      <c r="C38" s="783"/>
      <c r="D38" s="783"/>
      <c r="E38" s="784">
        <f>+E35+E36+E37</f>
        <v>245814.90000000002</v>
      </c>
      <c r="F38" s="553" t="s">
        <v>63</v>
      </c>
      <c r="G38" s="180"/>
      <c r="H38" s="180"/>
      <c r="I38" s="181"/>
      <c r="J38" s="181"/>
      <c r="K38" s="184"/>
    </row>
    <row r="39" spans="2:15" ht="18" customHeight="1" x14ac:dyDescent="0.35">
      <c r="B39" s="594"/>
      <c r="C39" s="594"/>
      <c r="D39" s="594"/>
      <c r="E39" s="595"/>
      <c r="G39" s="180"/>
      <c r="H39" s="180"/>
      <c r="I39" s="181"/>
      <c r="J39" s="181"/>
      <c r="K39" s="184"/>
    </row>
    <row r="40" spans="2:15" ht="18" customHeight="1" x14ac:dyDescent="0.35">
      <c r="B40" s="594"/>
      <c r="C40" s="594"/>
      <c r="D40" s="594"/>
      <c r="E40" s="595"/>
      <c r="G40" s="180"/>
      <c r="H40" s="180"/>
      <c r="I40" s="181"/>
      <c r="J40" s="181"/>
      <c r="K40" s="184"/>
    </row>
    <row r="41" spans="2:15" ht="18" customHeight="1" x14ac:dyDescent="0.35">
      <c r="B41" s="1431" t="s">
        <v>767</v>
      </c>
      <c r="C41" s="1431"/>
      <c r="D41" s="1431"/>
      <c r="E41" s="1431"/>
      <c r="G41" s="180"/>
      <c r="H41" s="180"/>
      <c r="I41" s="181"/>
      <c r="J41" s="181"/>
      <c r="K41" s="184"/>
    </row>
    <row r="42" spans="2:15" ht="18" customHeight="1" x14ac:dyDescent="0.35">
      <c r="B42" s="2"/>
      <c r="C42" s="270" t="s">
        <v>8</v>
      </c>
      <c r="D42" s="217" t="s">
        <v>4</v>
      </c>
      <c r="E42" s="597" t="s">
        <v>9</v>
      </c>
      <c r="G42" s="180"/>
      <c r="H42" s="180"/>
      <c r="I42" s="181"/>
      <c r="J42" s="181"/>
      <c r="K42" s="184"/>
    </row>
    <row r="43" spans="2:15" ht="18" customHeight="1" x14ac:dyDescent="0.35">
      <c r="B43" s="772" t="s">
        <v>253</v>
      </c>
      <c r="C43" s="258">
        <v>193</v>
      </c>
      <c r="D43" s="194">
        <v>2989</v>
      </c>
      <c r="E43" s="598">
        <f>+C43*D43</f>
        <v>576877</v>
      </c>
      <c r="F43" s="90" t="s">
        <v>362</v>
      </c>
      <c r="G43" s="906" t="s">
        <v>63</v>
      </c>
      <c r="H43" s="180"/>
      <c r="I43" s="181"/>
      <c r="J43" s="181"/>
      <c r="K43" s="184"/>
    </row>
    <row r="44" spans="2:15" ht="18" customHeight="1" x14ac:dyDescent="0.35">
      <c r="B44" s="772" t="s">
        <v>520</v>
      </c>
      <c r="C44" s="258">
        <v>8</v>
      </c>
      <c r="D44" s="194">
        <f>+D43</f>
        <v>2989</v>
      </c>
      <c r="E44" s="598">
        <f>+C44*D44</f>
        <v>23912</v>
      </c>
      <c r="F44" s="553"/>
      <c r="G44" s="180"/>
      <c r="H44" s="180"/>
      <c r="I44" s="181"/>
      <c r="J44" s="181"/>
      <c r="K44" s="184"/>
    </row>
    <row r="45" spans="2:15" ht="15" customHeight="1" x14ac:dyDescent="0.35">
      <c r="B45" s="772" t="s">
        <v>196</v>
      </c>
      <c r="C45" s="258"/>
      <c r="D45" s="194"/>
      <c r="E45" s="598">
        <v>15000</v>
      </c>
      <c r="G45" s="180"/>
      <c r="H45" s="180"/>
      <c r="I45" s="181"/>
      <c r="J45" s="181"/>
      <c r="K45" s="184"/>
      <c r="L45" s="1031"/>
    </row>
    <row r="46" spans="2:15" ht="15" customHeight="1" x14ac:dyDescent="0.35">
      <c r="B46" s="772" t="s">
        <v>6</v>
      </c>
      <c r="C46" s="258"/>
      <c r="D46" s="194"/>
      <c r="E46" s="598">
        <v>70000</v>
      </c>
      <c r="F46" s="90" t="s">
        <v>63</v>
      </c>
      <c r="G46" s="180"/>
      <c r="H46" s="180"/>
      <c r="I46" s="181"/>
      <c r="J46" s="181"/>
      <c r="K46" s="184"/>
      <c r="L46" s="1031"/>
    </row>
    <row r="47" spans="2:15" ht="15" customHeight="1" x14ac:dyDescent="0.35">
      <c r="B47" s="772" t="s">
        <v>195</v>
      </c>
      <c r="C47" s="315">
        <v>7.5</v>
      </c>
      <c r="D47" s="194">
        <f>+D43*1.5</f>
        <v>4483.5</v>
      </c>
      <c r="E47" s="598">
        <f>+C47*D47</f>
        <v>33626.25</v>
      </c>
      <c r="G47" s="180"/>
      <c r="H47" s="180"/>
      <c r="I47" s="181"/>
      <c r="J47" s="181"/>
      <c r="K47" s="184"/>
      <c r="L47" s="1031"/>
    </row>
    <row r="48" spans="2:15" ht="15" customHeight="1" x14ac:dyDescent="0.35">
      <c r="B48" s="772" t="s">
        <v>449</v>
      </c>
      <c r="C48" s="315">
        <v>0</v>
      </c>
      <c r="D48" s="194">
        <f>+D43*2</f>
        <v>5978</v>
      </c>
      <c r="E48" s="598">
        <f>+C48*D48</f>
        <v>0</v>
      </c>
      <c r="G48" s="180"/>
      <c r="H48" s="180"/>
      <c r="I48" s="181"/>
      <c r="J48" s="181"/>
      <c r="K48" s="184"/>
      <c r="L48" s="1031"/>
    </row>
    <row r="49" spans="2:22" ht="15" customHeight="1" x14ac:dyDescent="0.35">
      <c r="B49" s="772" t="s">
        <v>749</v>
      </c>
      <c r="C49" s="258"/>
      <c r="D49" s="194"/>
      <c r="E49" s="598">
        <v>10000</v>
      </c>
      <c r="F49" s="553" t="s">
        <v>63</v>
      </c>
      <c r="M49" s="176"/>
      <c r="N49" s="180"/>
      <c r="O49" s="180"/>
      <c r="P49" s="181"/>
      <c r="Q49" s="181"/>
      <c r="R49" s="184"/>
    </row>
    <row r="50" spans="2:22" ht="15" customHeight="1" x14ac:dyDescent="0.35">
      <c r="B50" s="1432" t="s">
        <v>99</v>
      </c>
      <c r="C50" s="1432"/>
      <c r="D50" s="1432"/>
      <c r="E50" s="599">
        <f>+E43+E44+E45+E46+E47+E48+E49</f>
        <v>729415.25</v>
      </c>
      <c r="F50" s="553" t="s">
        <v>63</v>
      </c>
      <c r="G50" s="774" t="s">
        <v>63</v>
      </c>
      <c r="M50" s="176"/>
      <c r="N50" s="176"/>
      <c r="O50" s="176"/>
      <c r="P50" s="181"/>
      <c r="Q50" s="181"/>
      <c r="R50" s="184"/>
      <c r="T50" s="1031"/>
    </row>
    <row r="51" spans="2:22" s="1031" customFormat="1" ht="15" customHeight="1" x14ac:dyDescent="0.35">
      <c r="B51" s="723" t="s">
        <v>630</v>
      </c>
      <c r="C51" s="727" t="s">
        <v>63</v>
      </c>
      <c r="D51" s="727" t="s">
        <v>63</v>
      </c>
      <c r="E51" s="722">
        <v>-260467.88</v>
      </c>
      <c r="F51" s="1025" t="s">
        <v>63</v>
      </c>
      <c r="G51" s="771"/>
      <c r="H51" s="771"/>
      <c r="I51" s="771"/>
      <c r="J51" s="771"/>
      <c r="K51" s="771"/>
      <c r="L51" s="771"/>
      <c r="M51" s="176"/>
      <c r="N51" s="176"/>
      <c r="O51" s="176"/>
      <c r="P51" s="176"/>
      <c r="Q51" s="176"/>
      <c r="R51" s="176"/>
      <c r="S51" s="771"/>
      <c r="T51" s="771"/>
      <c r="U51" s="771"/>
      <c r="V51" s="771"/>
    </row>
    <row r="52" spans="2:22" s="1031" customFormat="1" ht="15" customHeight="1" x14ac:dyDescent="0.35">
      <c r="B52" s="672"/>
      <c r="C52" s="673" t="s">
        <v>11</v>
      </c>
      <c r="D52" s="674"/>
      <c r="E52" s="675">
        <f>+E50+E51</f>
        <v>468947.37</v>
      </c>
      <c r="F52" s="1025" t="s">
        <v>63</v>
      </c>
      <c r="G52" s="771"/>
      <c r="H52" s="771"/>
      <c r="I52" s="771"/>
      <c r="J52" s="771"/>
      <c r="K52" s="771"/>
      <c r="L52" s="771"/>
      <c r="M52" s="176"/>
      <c r="N52" s="176"/>
      <c r="O52" s="176"/>
      <c r="P52" s="176"/>
      <c r="Q52" s="176"/>
      <c r="R52" s="176"/>
      <c r="S52" s="771"/>
      <c r="T52" s="771"/>
      <c r="U52" s="771"/>
      <c r="V52" s="771"/>
    </row>
    <row r="53" spans="2:22" ht="15" customHeight="1" x14ac:dyDescent="0.35">
      <c r="C53" s="771"/>
      <c r="D53" s="771"/>
      <c r="E53" s="771"/>
      <c r="F53" s="553" t="s">
        <v>63</v>
      </c>
      <c r="N53" s="183"/>
      <c r="O53" s="183"/>
      <c r="P53" s="176"/>
      <c r="Q53" s="176"/>
      <c r="R53" s="176"/>
      <c r="T53" s="1031"/>
    </row>
    <row r="54" spans="2:22" ht="15" customHeight="1" x14ac:dyDescent="0.35">
      <c r="C54" s="771"/>
      <c r="D54" s="771"/>
      <c r="E54" s="774" t="s">
        <v>63</v>
      </c>
    </row>
    <row r="55" spans="2:22" ht="15" customHeight="1" x14ac:dyDescent="0.35">
      <c r="B55" s="1442" t="s">
        <v>754</v>
      </c>
      <c r="C55" s="1443"/>
      <c r="D55" s="1443"/>
      <c r="E55" s="1444"/>
      <c r="V55" s="1031"/>
    </row>
    <row r="56" spans="2:22" x14ac:dyDescent="0.35">
      <c r="B56" s="2" t="s">
        <v>7</v>
      </c>
      <c r="C56" s="270" t="s">
        <v>8</v>
      </c>
      <c r="D56" s="217" t="s">
        <v>4</v>
      </c>
      <c r="E56" s="597" t="s">
        <v>9</v>
      </c>
    </row>
    <row r="57" spans="2:22" x14ac:dyDescent="0.35">
      <c r="B57" s="772" t="s">
        <v>501</v>
      </c>
      <c r="C57" s="258">
        <v>193</v>
      </c>
      <c r="D57" s="227">
        <v>1912</v>
      </c>
      <c r="E57" s="598">
        <f>+C57*D57</f>
        <v>369016</v>
      </c>
      <c r="F57" s="553" t="s">
        <v>362</v>
      </c>
    </row>
    <row r="58" spans="2:22" x14ac:dyDescent="0.35">
      <c r="B58" s="772" t="s">
        <v>699</v>
      </c>
      <c r="C58" s="258">
        <v>8</v>
      </c>
      <c r="D58" s="227">
        <f>+D57</f>
        <v>1912</v>
      </c>
      <c r="E58" s="598">
        <f>+C58*D58</f>
        <v>15296</v>
      </c>
    </row>
    <row r="59" spans="2:22" x14ac:dyDescent="0.35">
      <c r="B59" s="772" t="s">
        <v>490</v>
      </c>
      <c r="C59" s="258"/>
      <c r="D59" s="227" t="s">
        <v>63</v>
      </c>
      <c r="E59" s="598">
        <v>15000</v>
      </c>
    </row>
    <row r="60" spans="2:22" x14ac:dyDescent="0.35">
      <c r="B60" s="772" t="s">
        <v>489</v>
      </c>
      <c r="C60" s="258"/>
      <c r="D60" s="227"/>
      <c r="E60" s="598">
        <v>50000</v>
      </c>
      <c r="F60" s="90" t="s">
        <v>63</v>
      </c>
    </row>
    <row r="61" spans="2:22" x14ac:dyDescent="0.35">
      <c r="B61" s="772" t="s">
        <v>195</v>
      </c>
      <c r="C61" s="258">
        <v>0.5</v>
      </c>
      <c r="D61" s="194">
        <f>+D57*1.5</f>
        <v>2868</v>
      </c>
      <c r="E61" s="598">
        <f>+C61*D61</f>
        <v>1434</v>
      </c>
      <c r="F61" s="553" t="s">
        <v>63</v>
      </c>
      <c r="G61" s="774" t="s">
        <v>63</v>
      </c>
    </row>
    <row r="62" spans="2:22" x14ac:dyDescent="0.35">
      <c r="B62" s="772" t="s">
        <v>449</v>
      </c>
      <c r="C62" s="258">
        <v>0</v>
      </c>
      <c r="D62" s="194">
        <f>+D57*2</f>
        <v>3824</v>
      </c>
      <c r="E62" s="598">
        <f>+C62*D62</f>
        <v>0</v>
      </c>
      <c r="F62" s="553" t="s">
        <v>63</v>
      </c>
      <c r="G62" s="774"/>
    </row>
    <row r="63" spans="2:22" x14ac:dyDescent="0.35">
      <c r="B63" s="1439" t="s">
        <v>99</v>
      </c>
      <c r="C63" s="1440"/>
      <c r="D63" s="1441"/>
      <c r="E63" s="599">
        <f>+E57+E58+E59+E60+E61+E62</f>
        <v>450746</v>
      </c>
      <c r="F63" s="553" t="s">
        <v>63</v>
      </c>
    </row>
    <row r="64" spans="2:22" x14ac:dyDescent="0.35">
      <c r="B64" s="921" t="s">
        <v>753</v>
      </c>
      <c r="C64" s="922">
        <f>+E57+E58+E59+E60</f>
        <v>449312</v>
      </c>
      <c r="D64" s="720"/>
      <c r="E64" s="722">
        <f>-C64*0.1</f>
        <v>-44931.200000000004</v>
      </c>
      <c r="F64" s="553" t="s">
        <v>63</v>
      </c>
    </row>
    <row r="65" spans="1:7" x14ac:dyDescent="0.35">
      <c r="B65" s="672"/>
      <c r="C65" s="673" t="s">
        <v>11</v>
      </c>
      <c r="D65" s="674"/>
      <c r="E65" s="675">
        <f>+E63+E64</f>
        <v>405814.8</v>
      </c>
      <c r="F65" s="553" t="s">
        <v>63</v>
      </c>
    </row>
    <row r="66" spans="1:7" x14ac:dyDescent="0.35">
      <c r="C66" s="771"/>
      <c r="D66" s="771"/>
      <c r="E66" s="771"/>
    </row>
    <row r="68" spans="1:7" ht="23.5" x14ac:dyDescent="0.35">
      <c r="B68" s="1442" t="s">
        <v>755</v>
      </c>
      <c r="C68" s="1443"/>
      <c r="D68" s="1443"/>
      <c r="E68" s="1444"/>
    </row>
    <row r="69" spans="1:7" x14ac:dyDescent="0.35">
      <c r="B69" s="2" t="s">
        <v>7</v>
      </c>
      <c r="C69" s="270" t="s">
        <v>8</v>
      </c>
      <c r="D69" s="217" t="s">
        <v>4</v>
      </c>
      <c r="E69" s="597" t="s">
        <v>63</v>
      </c>
      <c r="F69" s="90" t="s">
        <v>63</v>
      </c>
    </row>
    <row r="70" spans="1:7" x14ac:dyDescent="0.35">
      <c r="A70" s="771" t="s">
        <v>63</v>
      </c>
      <c r="B70" s="772" t="s">
        <v>3</v>
      </c>
      <c r="C70" s="258">
        <v>193</v>
      </c>
      <c r="D70" s="227">
        <v>1658</v>
      </c>
      <c r="E70" s="598">
        <f>+C70*D70</f>
        <v>319994</v>
      </c>
    </row>
    <row r="71" spans="1:7" x14ac:dyDescent="0.35">
      <c r="B71" s="772" t="s">
        <v>791</v>
      </c>
      <c r="C71" s="258">
        <v>0</v>
      </c>
      <c r="D71" s="227">
        <f>+D70</f>
        <v>1658</v>
      </c>
      <c r="E71" s="598">
        <f>+C71*D71</f>
        <v>0</v>
      </c>
    </row>
    <row r="72" spans="1:7" x14ac:dyDescent="0.35">
      <c r="B72" s="772" t="s">
        <v>196</v>
      </c>
      <c r="C72" s="258"/>
      <c r="D72" s="227"/>
      <c r="E72" s="598">
        <v>15000</v>
      </c>
    </row>
    <row r="73" spans="1:7" x14ac:dyDescent="0.35">
      <c r="B73" s="772" t="s">
        <v>6</v>
      </c>
      <c r="C73" s="258"/>
      <c r="D73" s="227" t="s">
        <v>63</v>
      </c>
      <c r="E73" s="598">
        <v>35000</v>
      </c>
      <c r="F73" s="90" t="s">
        <v>63</v>
      </c>
    </row>
    <row r="74" spans="1:7" x14ac:dyDescent="0.35">
      <c r="B74" s="772" t="s">
        <v>270</v>
      </c>
      <c r="C74" s="258">
        <v>4.0999999999999996</v>
      </c>
      <c r="D74" s="227">
        <f>+D70*1.5</f>
        <v>2487</v>
      </c>
      <c r="E74" s="711">
        <f>+C74*D74</f>
        <v>10196.699999999999</v>
      </c>
      <c r="F74" s="553" t="s">
        <v>63</v>
      </c>
    </row>
    <row r="75" spans="1:7" x14ac:dyDescent="0.35">
      <c r="B75" s="772" t="s">
        <v>281</v>
      </c>
      <c r="C75" s="258">
        <v>0</v>
      </c>
      <c r="D75" s="227">
        <f>+D70*2</f>
        <v>3316</v>
      </c>
      <c r="E75" s="598">
        <f>+C75*D75</f>
        <v>0</v>
      </c>
    </row>
    <row r="76" spans="1:7" x14ac:dyDescent="0.35">
      <c r="B76" s="772" t="s">
        <v>783</v>
      </c>
      <c r="C76" s="258"/>
      <c r="D76" s="227"/>
      <c r="E76" s="598"/>
    </row>
    <row r="77" spans="1:7" x14ac:dyDescent="0.35">
      <c r="B77" s="1439" t="s">
        <v>99</v>
      </c>
      <c r="C77" s="1440"/>
      <c r="D77" s="1441"/>
      <c r="E77" s="599">
        <f>+E70+E71+E72+E73+E74+E75</f>
        <v>380190.7</v>
      </c>
      <c r="F77" s="553" t="s">
        <v>63</v>
      </c>
    </row>
    <row r="78" spans="1:7" x14ac:dyDescent="0.35">
      <c r="B78" s="723" t="s">
        <v>50</v>
      </c>
      <c r="C78" s="721"/>
      <c r="D78" s="721"/>
      <c r="E78" s="722">
        <v>-105000</v>
      </c>
      <c r="F78" s="553" t="s">
        <v>63</v>
      </c>
      <c r="G78" s="774" t="s">
        <v>63</v>
      </c>
    </row>
    <row r="79" spans="1:7" ht="15.5" x14ac:dyDescent="0.35">
      <c r="B79" s="1446" t="s">
        <v>11</v>
      </c>
      <c r="C79" s="1447"/>
      <c r="D79" s="1448"/>
      <c r="E79" s="603">
        <f>+E77+E78</f>
        <v>275190.7</v>
      </c>
      <c r="F79" s="553"/>
    </row>
    <row r="80" spans="1:7" x14ac:dyDescent="0.35">
      <c r="F80" s="553" t="s">
        <v>63</v>
      </c>
    </row>
    <row r="81" spans="2:8" x14ac:dyDescent="0.35">
      <c r="F81" s="553" t="s">
        <v>63</v>
      </c>
    </row>
    <row r="82" spans="2:8" ht="23.5" x14ac:dyDescent="0.35">
      <c r="B82" s="1442" t="s">
        <v>756</v>
      </c>
      <c r="C82" s="1443"/>
      <c r="D82" s="1443"/>
      <c r="E82" s="1444"/>
    </row>
    <row r="83" spans="2:8" x14ac:dyDescent="0.35">
      <c r="B83" s="2" t="s">
        <v>7</v>
      </c>
      <c r="C83" s="270" t="s">
        <v>388</v>
      </c>
      <c r="D83" s="217" t="s">
        <v>272</v>
      </c>
      <c r="E83" s="597" t="s">
        <v>9</v>
      </c>
    </row>
    <row r="84" spans="2:8" x14ac:dyDescent="0.35">
      <c r="B84" s="772" t="s">
        <v>480</v>
      </c>
      <c r="C84" s="258">
        <v>193</v>
      </c>
      <c r="D84" s="227">
        <v>1891</v>
      </c>
      <c r="E84" s="598">
        <f>+C84*D84</f>
        <v>364963</v>
      </c>
      <c r="F84" s="1035" t="s">
        <v>509</v>
      </c>
    </row>
    <row r="85" spans="2:8" x14ac:dyDescent="0.35">
      <c r="B85" s="772" t="s">
        <v>692</v>
      </c>
      <c r="C85" s="258">
        <v>8</v>
      </c>
      <c r="D85" s="227">
        <f>+D84</f>
        <v>1891</v>
      </c>
      <c r="E85" s="598">
        <f>+C85*D85</f>
        <v>15128</v>
      </c>
      <c r="F85" s="553" t="s">
        <v>63</v>
      </c>
    </row>
    <row r="86" spans="2:8" x14ac:dyDescent="0.35">
      <c r="B86" s="772" t="s">
        <v>489</v>
      </c>
      <c r="C86" s="258"/>
      <c r="D86" s="227" t="s">
        <v>63</v>
      </c>
      <c r="E86" s="598">
        <v>50000</v>
      </c>
      <c r="F86" s="90" t="s">
        <v>363</v>
      </c>
    </row>
    <row r="87" spans="2:8" x14ac:dyDescent="0.35">
      <c r="B87" s="772" t="s">
        <v>745</v>
      </c>
      <c r="C87" s="258"/>
      <c r="D87" s="227"/>
      <c r="E87" s="598">
        <v>15000</v>
      </c>
    </row>
    <row r="88" spans="2:8" x14ac:dyDescent="0.35">
      <c r="B88" s="772" t="s">
        <v>475</v>
      </c>
      <c r="C88" s="258">
        <v>4.45</v>
      </c>
      <c r="D88" s="227">
        <f>+D84*1.5</f>
        <v>2836.5</v>
      </c>
      <c r="E88" s="711">
        <f>+C88*D88</f>
        <v>12622.425000000001</v>
      </c>
      <c r="F88" s="553" t="s">
        <v>63</v>
      </c>
    </row>
    <row r="89" spans="2:8" x14ac:dyDescent="0.35">
      <c r="B89" s="772" t="s">
        <v>757</v>
      </c>
      <c r="C89" s="258">
        <v>0</v>
      </c>
      <c r="D89" s="227">
        <f>+D84*2</f>
        <v>3782</v>
      </c>
      <c r="E89" s="598">
        <f>+C89*D89</f>
        <v>0</v>
      </c>
      <c r="F89" s="553" t="s">
        <v>63</v>
      </c>
    </row>
    <row r="90" spans="2:8" x14ac:dyDescent="0.35">
      <c r="B90" s="1036" t="s">
        <v>389</v>
      </c>
      <c r="C90" s="681"/>
      <c r="D90" s="1037"/>
      <c r="E90" s="1038">
        <f>+E84+E85+E86+E87+E88+E89</f>
        <v>457713.42499999999</v>
      </c>
      <c r="F90" s="553" t="s">
        <v>63</v>
      </c>
    </row>
    <row r="91" spans="2:8" x14ac:dyDescent="0.35">
      <c r="B91" s="772" t="s">
        <v>758</v>
      </c>
      <c r="C91" s="258"/>
      <c r="D91" s="227">
        <f>+E84+E85+E86+E87</f>
        <v>445091</v>
      </c>
      <c r="E91" s="731">
        <f>-D91*0.1</f>
        <v>-44509.100000000006</v>
      </c>
      <c r="F91" s="553"/>
      <c r="G91" s="771" t="s">
        <v>63</v>
      </c>
      <c r="H91" s="771" t="s">
        <v>63</v>
      </c>
    </row>
    <row r="92" spans="2:8" x14ac:dyDescent="0.35">
      <c r="B92" s="723" t="s">
        <v>19</v>
      </c>
      <c r="C92" s="721"/>
      <c r="D92" s="721"/>
      <c r="E92" s="722">
        <v>-60000</v>
      </c>
    </row>
    <row r="93" spans="2:8" ht="15.5" x14ac:dyDescent="0.35">
      <c r="B93" s="1446" t="s">
        <v>11</v>
      </c>
      <c r="C93" s="1447"/>
      <c r="D93" s="1448"/>
      <c r="E93" s="603">
        <f>+E90+E91+E92</f>
        <v>353204.32499999995</v>
      </c>
    </row>
    <row r="94" spans="2:8" x14ac:dyDescent="0.35">
      <c r="E94" s="203" t="s">
        <v>63</v>
      </c>
    </row>
    <row r="96" spans="2:8" ht="23.5" x14ac:dyDescent="0.35">
      <c r="B96" s="1431" t="s">
        <v>759</v>
      </c>
      <c r="C96" s="1431"/>
      <c r="D96" s="1431"/>
      <c r="E96" s="1431"/>
    </row>
    <row r="97" spans="2:7" x14ac:dyDescent="0.35">
      <c r="B97" s="2" t="s">
        <v>7</v>
      </c>
      <c r="C97" s="270" t="s">
        <v>8</v>
      </c>
      <c r="D97" s="217" t="s">
        <v>4</v>
      </c>
      <c r="E97" s="597" t="s">
        <v>9</v>
      </c>
    </row>
    <row r="98" spans="2:7" x14ac:dyDescent="0.35">
      <c r="B98" s="772" t="s">
        <v>3</v>
      </c>
      <c r="C98" s="258">
        <v>193</v>
      </c>
      <c r="D98" s="227">
        <v>1658</v>
      </c>
      <c r="E98" s="598">
        <f>+C98*D98</f>
        <v>319994</v>
      </c>
      <c r="F98" s="90" t="s">
        <v>362</v>
      </c>
      <c r="G98" s="771" t="s">
        <v>63</v>
      </c>
    </row>
    <row r="99" spans="2:7" x14ac:dyDescent="0.35">
      <c r="B99" s="772" t="s">
        <v>706</v>
      </c>
      <c r="C99" s="258">
        <v>8</v>
      </c>
      <c r="D99" s="227">
        <f>+D98</f>
        <v>1658</v>
      </c>
      <c r="E99" s="598">
        <f>+C99*D99</f>
        <v>13264</v>
      </c>
    </row>
    <row r="100" spans="2:7" x14ac:dyDescent="0.35">
      <c r="B100" s="772" t="s">
        <v>200</v>
      </c>
      <c r="C100" s="258"/>
      <c r="D100" s="227"/>
      <c r="E100" s="598">
        <v>15000</v>
      </c>
    </row>
    <row r="101" spans="2:7" x14ac:dyDescent="0.35">
      <c r="B101" s="772" t="s">
        <v>6</v>
      </c>
      <c r="C101" s="258"/>
      <c r="D101" s="194" t="s">
        <v>63</v>
      </c>
      <c r="E101" s="598">
        <v>35000</v>
      </c>
      <c r="F101" s="90" t="s">
        <v>63</v>
      </c>
    </row>
    <row r="102" spans="2:7" x14ac:dyDescent="0.35">
      <c r="B102" s="772" t="s">
        <v>270</v>
      </c>
      <c r="C102" s="258">
        <v>2.5</v>
      </c>
      <c r="D102" s="194">
        <f>+D98*1.5</f>
        <v>2487</v>
      </c>
      <c r="E102" s="598">
        <f>+C102*D102</f>
        <v>6217.5</v>
      </c>
      <c r="F102" s="90" t="s">
        <v>63</v>
      </c>
    </row>
    <row r="103" spans="2:7" x14ac:dyDescent="0.35">
      <c r="B103" s="772" t="s">
        <v>281</v>
      </c>
      <c r="C103" s="258">
        <v>0</v>
      </c>
      <c r="D103" s="194">
        <f>+D98*2</f>
        <v>3316</v>
      </c>
      <c r="E103" s="598">
        <f>+C103*D103</f>
        <v>0</v>
      </c>
    </row>
    <row r="104" spans="2:7" x14ac:dyDescent="0.35">
      <c r="B104" s="1432" t="s">
        <v>99</v>
      </c>
      <c r="C104" s="1432"/>
      <c r="D104" s="1432"/>
      <c r="E104" s="599">
        <f>+E98+E99+E100+E101+E102+E103</f>
        <v>389475.5</v>
      </c>
      <c r="F104" s="553" t="s">
        <v>63</v>
      </c>
    </row>
    <row r="105" spans="2:7" x14ac:dyDescent="0.35">
      <c r="B105" s="724" t="s">
        <v>19</v>
      </c>
      <c r="C105" s="729" t="s">
        <v>63</v>
      </c>
      <c r="D105" s="730" t="s">
        <v>63</v>
      </c>
      <c r="E105" s="731">
        <v>-50000</v>
      </c>
      <c r="F105" s="553" t="s">
        <v>63</v>
      </c>
    </row>
    <row r="106" spans="2:7" s="997" customFormat="1" ht="15.5" x14ac:dyDescent="0.35">
      <c r="B106" s="992"/>
      <c r="C106" s="993" t="s">
        <v>11</v>
      </c>
      <c r="D106" s="994"/>
      <c r="E106" s="995">
        <f>+E104+E105</f>
        <v>339475.5</v>
      </c>
      <c r="F106" s="1026" t="s">
        <v>63</v>
      </c>
    </row>
    <row r="109" spans="2:7" ht="23.5" x14ac:dyDescent="0.35">
      <c r="B109" s="1442" t="s">
        <v>766</v>
      </c>
      <c r="C109" s="1443"/>
      <c r="D109" s="1443"/>
      <c r="E109" s="1444"/>
      <c r="F109" s="90" t="s">
        <v>362</v>
      </c>
    </row>
    <row r="110" spans="2:7" x14ac:dyDescent="0.35">
      <c r="B110" s="2" t="s">
        <v>7</v>
      </c>
      <c r="C110" s="270" t="s">
        <v>8</v>
      </c>
      <c r="D110" s="217" t="s">
        <v>4</v>
      </c>
      <c r="E110" s="597" t="s">
        <v>9</v>
      </c>
    </row>
    <row r="111" spans="2:7" x14ac:dyDescent="0.35">
      <c r="B111" s="772" t="s">
        <v>3</v>
      </c>
      <c r="C111" s="258">
        <v>152.5</v>
      </c>
      <c r="D111" s="194">
        <v>2082</v>
      </c>
      <c r="E111" s="598">
        <f>+C111*D111</f>
        <v>317505</v>
      </c>
      <c r="F111" s="553" t="s">
        <v>63</v>
      </c>
    </row>
    <row r="112" spans="2:7" x14ac:dyDescent="0.35">
      <c r="B112" s="772" t="s">
        <v>530</v>
      </c>
      <c r="C112" s="258">
        <v>7</v>
      </c>
      <c r="D112" s="194">
        <f>+D111</f>
        <v>2082</v>
      </c>
      <c r="E112" s="609">
        <f>+C112*D112</f>
        <v>14574</v>
      </c>
    </row>
    <row r="113" spans="1:6" x14ac:dyDescent="0.35">
      <c r="B113" s="772" t="s">
        <v>760</v>
      </c>
      <c r="C113" s="258">
        <v>7</v>
      </c>
      <c r="D113" s="194">
        <f>+D111</f>
        <v>2082</v>
      </c>
      <c r="E113" s="609">
        <f>+C113*D113</f>
        <v>14574</v>
      </c>
    </row>
    <row r="114" spans="1:6" x14ac:dyDescent="0.35">
      <c r="B114" s="772" t="s">
        <v>6</v>
      </c>
      <c r="C114" s="258"/>
      <c r="D114" s="194"/>
      <c r="E114" s="609">
        <v>35000</v>
      </c>
      <c r="F114" s="90" t="s">
        <v>63</v>
      </c>
    </row>
    <row r="115" spans="1:6" x14ac:dyDescent="0.35">
      <c r="B115" s="614" t="s">
        <v>556</v>
      </c>
      <c r="C115" s="617"/>
      <c r="D115" s="227">
        <v>15000</v>
      </c>
      <c r="E115" s="609">
        <v>7500</v>
      </c>
      <c r="F115" s="553" t="s">
        <v>63</v>
      </c>
    </row>
    <row r="116" spans="1:6" s="764" customFormat="1" x14ac:dyDescent="0.35">
      <c r="B116" s="882" t="s">
        <v>99</v>
      </c>
      <c r="C116" s="883"/>
      <c r="D116" s="883"/>
      <c r="E116" s="884">
        <f>+E111+E112+E113+E114+E115</f>
        <v>389153</v>
      </c>
      <c r="F116" s="768" t="s">
        <v>63</v>
      </c>
    </row>
    <row r="117" spans="1:6" x14ac:dyDescent="0.35">
      <c r="B117" s="962" t="s">
        <v>761</v>
      </c>
      <c r="C117" s="619"/>
      <c r="D117" s="619"/>
      <c r="E117" s="730">
        <v>-130593</v>
      </c>
      <c r="F117" s="553" t="s">
        <v>63</v>
      </c>
    </row>
    <row r="118" spans="1:6" x14ac:dyDescent="0.35">
      <c r="B118" s="962" t="s">
        <v>762</v>
      </c>
      <c r="C118" s="619"/>
      <c r="D118" s="619"/>
      <c r="E118" s="730">
        <v>-70700</v>
      </c>
      <c r="F118" s="553"/>
    </row>
    <row r="119" spans="1:6" ht="15.5" x14ac:dyDescent="0.35">
      <c r="B119" s="611" t="s">
        <v>11</v>
      </c>
      <c r="C119" s="612"/>
      <c r="D119" s="613"/>
      <c r="E119" s="603">
        <f>+E116+E117+E118</f>
        <v>187860</v>
      </c>
      <c r="F119" s="553" t="s">
        <v>63</v>
      </c>
    </row>
    <row r="122" spans="1:6" ht="23.5" x14ac:dyDescent="0.35">
      <c r="A122" s="4"/>
      <c r="B122" s="1442" t="s">
        <v>765</v>
      </c>
      <c r="C122" s="1443"/>
      <c r="D122" s="1443"/>
      <c r="E122" s="1444"/>
    </row>
    <row r="123" spans="1:6" x14ac:dyDescent="0.35">
      <c r="A123" s="4"/>
      <c r="B123" s="2" t="s">
        <v>7</v>
      </c>
      <c r="C123" s="270" t="s">
        <v>388</v>
      </c>
      <c r="D123" s="217" t="s">
        <v>629</v>
      </c>
      <c r="E123" s="597" t="s">
        <v>9</v>
      </c>
    </row>
    <row r="124" spans="1:6" x14ac:dyDescent="0.35">
      <c r="A124" s="4"/>
      <c r="B124" s="772" t="s">
        <v>3</v>
      </c>
      <c r="C124" s="258">
        <v>147.5</v>
      </c>
      <c r="D124" s="194">
        <v>2082</v>
      </c>
      <c r="E124" s="598">
        <f>+C124*D124</f>
        <v>307095</v>
      </c>
      <c r="F124" s="90" t="s">
        <v>362</v>
      </c>
    </row>
    <row r="125" spans="1:6" x14ac:dyDescent="0.35">
      <c r="A125" s="4"/>
      <c r="B125" s="772" t="s">
        <v>394</v>
      </c>
      <c r="C125" s="258">
        <v>8</v>
      </c>
      <c r="D125" s="194">
        <f>+D124</f>
        <v>2082</v>
      </c>
      <c r="E125" s="609">
        <f>+C125*D125</f>
        <v>16656</v>
      </c>
    </row>
    <row r="126" spans="1:6" x14ac:dyDescent="0.35">
      <c r="A126" s="4"/>
      <c r="B126" s="772" t="s">
        <v>556</v>
      </c>
      <c r="C126" s="258"/>
      <c r="D126" s="194"/>
      <c r="E126" s="609">
        <v>0</v>
      </c>
    </row>
    <row r="127" spans="1:6" x14ac:dyDescent="0.35">
      <c r="A127" s="4"/>
      <c r="B127" s="772" t="s">
        <v>6</v>
      </c>
      <c r="C127" s="258"/>
      <c r="D127" s="194"/>
      <c r="E127" s="609">
        <v>35000</v>
      </c>
      <c r="F127" s="90" t="s">
        <v>63</v>
      </c>
    </row>
    <row r="128" spans="1:6" x14ac:dyDescent="0.35">
      <c r="A128" s="4"/>
      <c r="B128" s="614" t="s">
        <v>628</v>
      </c>
      <c r="C128" s="617">
        <v>3.45</v>
      </c>
      <c r="D128" s="227">
        <f>+D124*1.5</f>
        <v>3123</v>
      </c>
      <c r="E128" s="609">
        <f>+C128*D128</f>
        <v>10774.35</v>
      </c>
    </row>
    <row r="129" spans="1:6" x14ac:dyDescent="0.35">
      <c r="A129" s="4"/>
      <c r="B129" s="614" t="s">
        <v>763</v>
      </c>
      <c r="C129" s="617"/>
      <c r="D129" s="227"/>
      <c r="E129" s="609">
        <v>11100</v>
      </c>
    </row>
    <row r="130" spans="1:6" x14ac:dyDescent="0.35">
      <c r="A130" s="4"/>
      <c r="B130" s="614" t="s">
        <v>764</v>
      </c>
      <c r="C130" s="617"/>
      <c r="D130" s="227"/>
      <c r="E130" s="609">
        <v>26700</v>
      </c>
      <c r="F130" s="553">
        <f>+E124+E125+E126+E127+E128</f>
        <v>369525.35</v>
      </c>
    </row>
    <row r="131" spans="1:6" x14ac:dyDescent="0.35">
      <c r="A131" s="4"/>
      <c r="B131" s="882" t="s">
        <v>99</v>
      </c>
      <c r="C131" s="883"/>
      <c r="D131" s="883"/>
      <c r="E131" s="884">
        <f>+E124+E125+E126+E127+E128+E129+E130</f>
        <v>407325.35</v>
      </c>
      <c r="F131" s="553" t="s">
        <v>63</v>
      </c>
    </row>
    <row r="132" spans="1:6" x14ac:dyDescent="0.35">
      <c r="A132" s="4"/>
      <c r="B132" s="962" t="s">
        <v>19</v>
      </c>
      <c r="C132" s="619"/>
      <c r="D132" s="619"/>
      <c r="E132" s="730">
        <v>-30000</v>
      </c>
      <c r="F132" s="553" t="s">
        <v>63</v>
      </c>
    </row>
    <row r="133" spans="1:6" x14ac:dyDescent="0.35">
      <c r="A133" s="4"/>
      <c r="B133" s="962"/>
      <c r="C133" s="619"/>
      <c r="D133" s="619"/>
      <c r="E133" s="730"/>
    </row>
    <row r="134" spans="1:6" ht="15.5" x14ac:dyDescent="0.35">
      <c r="A134" s="4"/>
      <c r="B134" s="611" t="s">
        <v>11</v>
      </c>
      <c r="C134" s="612"/>
      <c r="D134" s="613"/>
      <c r="E134" s="603">
        <f>+E131+E132</f>
        <v>377325.35</v>
      </c>
      <c r="F134" s="553" t="s">
        <v>63</v>
      </c>
    </row>
    <row r="138" spans="1:6" x14ac:dyDescent="0.35">
      <c r="E138" s="203" t="s">
        <v>63</v>
      </c>
    </row>
  </sheetData>
  <mergeCells count="20">
    <mergeCell ref="B68:E68"/>
    <mergeCell ref="B3:E3"/>
    <mergeCell ref="B11:D11"/>
    <mergeCell ref="B14:D14"/>
    <mergeCell ref="B16:E16"/>
    <mergeCell ref="B24:D24"/>
    <mergeCell ref="B27:E27"/>
    <mergeCell ref="B35:D35"/>
    <mergeCell ref="B41:E41"/>
    <mergeCell ref="B50:D50"/>
    <mergeCell ref="B55:E55"/>
    <mergeCell ref="B63:D63"/>
    <mergeCell ref="B104:D104"/>
    <mergeCell ref="B109:E109"/>
    <mergeCell ref="B122:E122"/>
    <mergeCell ref="B77:D77"/>
    <mergeCell ref="B79:D79"/>
    <mergeCell ref="B82:E82"/>
    <mergeCell ref="B93:D93"/>
    <mergeCell ref="B96:E96"/>
  </mergeCells>
  <pageMargins left="0.31496062992125984" right="0.11811023622047245" top="0" bottom="0" header="0.31496062992125984" footer="0.31496062992125984"/>
  <pageSetup paperSize="9" scale="29" orientation="portrait" r:id="rId1"/>
  <colBreaks count="1" manualBreakCount="1">
    <brk id="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F36"/>
  <sheetViews>
    <sheetView workbookViewId="0">
      <selection activeCell="A31" sqref="A31:D35"/>
    </sheetView>
  </sheetViews>
  <sheetFormatPr baseColWidth="10" defaultRowHeight="14.5" x14ac:dyDescent="0.35"/>
  <cols>
    <col min="1" max="1" width="10.90625" style="77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947" t="s">
        <v>770</v>
      </c>
      <c r="C1" s="983"/>
      <c r="D1" s="983"/>
    </row>
    <row r="2" spans="1:5" s="658" customFormat="1" ht="28.5" x14ac:dyDescent="0.65">
      <c r="A2" s="946"/>
      <c r="B2" s="947"/>
      <c r="C2" s="983"/>
      <c r="D2" s="983"/>
    </row>
    <row r="3" spans="1:5" ht="21" x14ac:dyDescent="0.5">
      <c r="A3" s="760"/>
      <c r="B3" s="981" t="s">
        <v>7</v>
      </c>
      <c r="C3" s="984" t="s">
        <v>3</v>
      </c>
      <c r="D3" s="984" t="s">
        <v>688</v>
      </c>
    </row>
    <row r="4" spans="1:5" ht="21" x14ac:dyDescent="0.5">
      <c r="A4" s="760">
        <v>1</v>
      </c>
      <c r="B4" s="949" t="s">
        <v>10</v>
      </c>
      <c r="C4" s="985">
        <v>526748</v>
      </c>
      <c r="D4" s="985">
        <v>273500</v>
      </c>
    </row>
    <row r="5" spans="1:5" ht="21" x14ac:dyDescent="0.5">
      <c r="A5" s="760">
        <v>2</v>
      </c>
      <c r="B5" s="949" t="s">
        <v>15</v>
      </c>
      <c r="C5" s="985">
        <v>0</v>
      </c>
      <c r="D5" s="985">
        <v>0</v>
      </c>
    </row>
    <row r="6" spans="1:5" ht="21" x14ac:dyDescent="0.5">
      <c r="A6" s="760">
        <v>3</v>
      </c>
      <c r="B6" s="949" t="s">
        <v>16</v>
      </c>
      <c r="C6" s="985">
        <v>445814.9</v>
      </c>
      <c r="D6" s="985">
        <v>245850</v>
      </c>
      <c r="E6" s="774" t="s">
        <v>63</v>
      </c>
    </row>
    <row r="7" spans="1:5" ht="21" x14ac:dyDescent="0.5">
      <c r="A7" s="951">
        <v>4</v>
      </c>
      <c r="B7" s="949" t="s">
        <v>0</v>
      </c>
      <c r="C7" s="985">
        <v>729415.25</v>
      </c>
      <c r="D7" s="985">
        <v>469000</v>
      </c>
    </row>
    <row r="8" spans="1:5" ht="21" x14ac:dyDescent="0.5">
      <c r="A8" s="951">
        <v>5</v>
      </c>
      <c r="B8" s="949" t="s">
        <v>267</v>
      </c>
      <c r="C8" s="985">
        <v>450746</v>
      </c>
      <c r="D8" s="985">
        <v>405814.8</v>
      </c>
    </row>
    <row r="9" spans="1:5" ht="21" x14ac:dyDescent="0.5">
      <c r="A9" s="951">
        <v>6</v>
      </c>
      <c r="B9" s="949" t="s">
        <v>245</v>
      </c>
      <c r="C9" s="985">
        <v>383258</v>
      </c>
      <c r="D9" s="985">
        <v>278300</v>
      </c>
    </row>
    <row r="10" spans="1:5" ht="21" x14ac:dyDescent="0.5">
      <c r="A10" s="951">
        <v>7</v>
      </c>
      <c r="B10" s="949" t="s">
        <v>463</v>
      </c>
      <c r="C10" s="985">
        <v>457713.43</v>
      </c>
      <c r="D10" s="985">
        <v>353200</v>
      </c>
    </row>
    <row r="11" spans="1:5" ht="21" x14ac:dyDescent="0.5">
      <c r="A11" s="951">
        <v>8</v>
      </c>
      <c r="B11" s="949" t="s">
        <v>553</v>
      </c>
      <c r="C11" s="985">
        <v>389475.5</v>
      </c>
      <c r="D11" s="985">
        <v>339500</v>
      </c>
    </row>
    <row r="12" spans="1:5" ht="21" x14ac:dyDescent="0.5">
      <c r="A12" s="951">
        <v>9</v>
      </c>
      <c r="B12" s="949" t="s">
        <v>260</v>
      </c>
      <c r="C12" s="985">
        <v>389153</v>
      </c>
      <c r="D12" s="985">
        <v>187900</v>
      </c>
    </row>
    <row r="13" spans="1:5" ht="21" x14ac:dyDescent="0.5">
      <c r="A13" s="760">
        <v>10</v>
      </c>
      <c r="B13" s="949" t="s">
        <v>613</v>
      </c>
      <c r="C13" s="985">
        <v>407325.35</v>
      </c>
      <c r="D13" s="985">
        <v>377400</v>
      </c>
    </row>
    <row r="14" spans="1:5" s="658" customFormat="1" ht="28.5" x14ac:dyDescent="0.65">
      <c r="A14" s="946"/>
      <c r="B14" s="952" t="s">
        <v>748</v>
      </c>
      <c r="C14" s="1006">
        <f>+C4+C6+C7+C8+C9+C10+C11+C12+C13</f>
        <v>4179649.43</v>
      </c>
      <c r="D14" s="986">
        <f>+D4+D5+D6+D7+D8+D9+D10+D11+D12+D13</f>
        <v>2930464.8</v>
      </c>
      <c r="E14" s="1039"/>
    </row>
    <row r="15" spans="1:5" ht="21" x14ac:dyDescent="0.5">
      <c r="A15" s="760"/>
      <c r="B15" s="760"/>
      <c r="C15" s="797"/>
      <c r="D15" s="797"/>
    </row>
    <row r="16" spans="1:5" ht="21" x14ac:dyDescent="0.5">
      <c r="A16" s="760"/>
      <c r="B16" s="760"/>
      <c r="C16" s="797" t="s">
        <v>63</v>
      </c>
      <c r="D16" s="797"/>
    </row>
    <row r="17" spans="1:6" s="648" customFormat="1" ht="46" x14ac:dyDescent="1">
      <c r="A17" s="760"/>
      <c r="B17" s="954" t="s">
        <v>770</v>
      </c>
      <c r="C17" s="797"/>
      <c r="D17" s="797"/>
    </row>
    <row r="18" spans="1:6" ht="18.5" x14ac:dyDescent="0.45">
      <c r="B18" s="643" t="s">
        <v>306</v>
      </c>
      <c r="C18" s="987" t="s">
        <v>272</v>
      </c>
      <c r="D18" s="987" t="s">
        <v>200</v>
      </c>
    </row>
    <row r="19" spans="1:6" ht="18.5" x14ac:dyDescent="0.45">
      <c r="B19" s="644" t="s">
        <v>10</v>
      </c>
      <c r="C19" s="988">
        <v>2148</v>
      </c>
      <c r="D19" s="988">
        <v>15000</v>
      </c>
    </row>
    <row r="20" spans="1:6" ht="18.5" x14ac:dyDescent="0.45">
      <c r="B20" s="644" t="s">
        <v>15</v>
      </c>
      <c r="C20" s="988" t="s">
        <v>63</v>
      </c>
      <c r="D20" s="988">
        <v>15000</v>
      </c>
    </row>
    <row r="21" spans="1:6" ht="18.5" x14ac:dyDescent="0.45">
      <c r="B21" s="644" t="s">
        <v>16</v>
      </c>
      <c r="C21" s="988">
        <v>1924</v>
      </c>
      <c r="D21" s="988">
        <v>15000</v>
      </c>
    </row>
    <row r="22" spans="1:6" ht="18.5" x14ac:dyDescent="0.45">
      <c r="B22" s="644" t="s">
        <v>0</v>
      </c>
      <c r="C22" s="988">
        <v>2989</v>
      </c>
      <c r="D22" s="988">
        <v>15000</v>
      </c>
    </row>
    <row r="23" spans="1:6" ht="18.5" x14ac:dyDescent="0.45">
      <c r="B23" s="644" t="s">
        <v>267</v>
      </c>
      <c r="C23" s="988">
        <v>1912</v>
      </c>
      <c r="D23" s="988">
        <v>15000</v>
      </c>
    </row>
    <row r="24" spans="1:6" ht="18.5" x14ac:dyDescent="0.45">
      <c r="B24" s="644" t="s">
        <v>245</v>
      </c>
      <c r="C24" s="988">
        <v>1658</v>
      </c>
      <c r="D24" s="988">
        <v>15000</v>
      </c>
    </row>
    <row r="25" spans="1:6" ht="18.5" x14ac:dyDescent="0.45">
      <c r="B25" s="644" t="s">
        <v>463</v>
      </c>
      <c r="C25" s="988">
        <v>1891</v>
      </c>
      <c r="D25" s="988">
        <v>15000</v>
      </c>
    </row>
    <row r="26" spans="1:6" ht="18.5" x14ac:dyDescent="0.45">
      <c r="B26" s="645" t="s">
        <v>553</v>
      </c>
      <c r="C26" s="988">
        <v>1658</v>
      </c>
      <c r="D26" s="989">
        <v>15000</v>
      </c>
    </row>
    <row r="27" spans="1:6" ht="18.5" x14ac:dyDescent="0.45">
      <c r="B27" s="645" t="s">
        <v>260</v>
      </c>
      <c r="C27" s="988">
        <v>2082</v>
      </c>
      <c r="D27" s="989">
        <v>15000</v>
      </c>
      <c r="F27" s="771" t="s">
        <v>63</v>
      </c>
    </row>
    <row r="28" spans="1:6" ht="18.5" x14ac:dyDescent="0.45">
      <c r="B28" s="645" t="s">
        <v>613</v>
      </c>
      <c r="C28" s="988">
        <v>2082</v>
      </c>
      <c r="D28" s="989">
        <v>15000</v>
      </c>
    </row>
    <row r="29" spans="1:6" ht="18.5" x14ac:dyDescent="0.45">
      <c r="B29" s="798"/>
      <c r="C29" s="1007"/>
      <c r="D29" s="990"/>
    </row>
    <row r="31" spans="1:6" x14ac:dyDescent="0.35">
      <c r="A31" s="701" t="s">
        <v>106</v>
      </c>
      <c r="B31" s="702" t="s">
        <v>107</v>
      </c>
      <c r="C31" s="1013" t="s">
        <v>262</v>
      </c>
      <c r="D31" s="991"/>
    </row>
    <row r="32" spans="1:6" x14ac:dyDescent="0.35">
      <c r="A32" s="703">
        <v>17</v>
      </c>
      <c r="B32" s="703">
        <v>9</v>
      </c>
      <c r="C32" s="964">
        <f>+A32*B32</f>
        <v>153</v>
      </c>
      <c r="D32" s="593" t="s">
        <v>116</v>
      </c>
    </row>
    <row r="33" spans="1:4" x14ac:dyDescent="0.35">
      <c r="A33" s="703">
        <v>5</v>
      </c>
      <c r="B33" s="703">
        <v>8</v>
      </c>
      <c r="C33" s="964">
        <f>+A33*B33</f>
        <v>40</v>
      </c>
      <c r="D33" s="593" t="s">
        <v>638</v>
      </c>
    </row>
    <row r="34" spans="1:4" x14ac:dyDescent="0.35">
      <c r="A34" s="703">
        <v>1</v>
      </c>
      <c r="B34" s="703">
        <v>8</v>
      </c>
      <c r="C34" s="964">
        <f>+A34*B34</f>
        <v>8</v>
      </c>
      <c r="D34" s="593" t="s">
        <v>111</v>
      </c>
    </row>
    <row r="35" spans="1:4" x14ac:dyDescent="0.35">
      <c r="A35" s="568" t="s">
        <v>63</v>
      </c>
      <c r="B35" s="773"/>
      <c r="C35" s="964">
        <f>+C32+C33+C34</f>
        <v>201</v>
      </c>
      <c r="D35" s="593" t="s">
        <v>309</v>
      </c>
    </row>
    <row r="36" spans="1:4" x14ac:dyDescent="0.35">
      <c r="A36" s="1014" t="s">
        <v>63</v>
      </c>
    </row>
  </sheetData>
  <pageMargins left="0.7" right="0.7" top="0.75" bottom="0.75" header="0.3" footer="0.3"/>
  <pageSetup paperSize="9" scale="74" fitToHeight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T150"/>
  <sheetViews>
    <sheetView topLeftCell="A79" zoomScaleNormal="100" workbookViewId="0">
      <selection activeCell="C165" sqref="C165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16.26953125" style="90" customWidth="1"/>
    <col min="6" max="6" width="7.81640625" style="1042" customWidth="1"/>
    <col min="7" max="7" width="12.6328125" style="771" bestFit="1" customWidth="1"/>
    <col min="8" max="8" width="12.54296875" style="771" customWidth="1"/>
    <col min="9" max="9" width="13.54296875" style="771" bestFit="1" customWidth="1"/>
    <col min="10" max="10" width="13.54296875" style="771" customWidth="1"/>
    <col min="11" max="11" width="14.6328125" style="771" customWidth="1"/>
    <col min="12" max="12" width="14.54296875" style="771" bestFit="1" customWidth="1"/>
    <col min="13" max="13" width="14.54296875" style="771" customWidth="1"/>
    <col min="14" max="14" width="13" style="771" customWidth="1"/>
    <col min="15" max="16" width="14.453125" style="771" bestFit="1" customWidth="1"/>
    <col min="17" max="17" width="14.08984375" style="771" customWidth="1"/>
    <col min="18" max="16384" width="10.90625" style="771"/>
  </cols>
  <sheetData>
    <row r="1" spans="1:19" ht="36" x14ac:dyDescent="0.8">
      <c r="B1" s="937">
        <v>45444</v>
      </c>
    </row>
    <row r="3" spans="1:19" ht="25.5" customHeight="1" x14ac:dyDescent="0.35">
      <c r="A3" s="1431" t="s">
        <v>771</v>
      </c>
      <c r="B3" s="1431"/>
      <c r="C3" s="1431"/>
      <c r="D3" s="1431"/>
    </row>
    <row r="4" spans="1:19" s="1040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887"/>
      <c r="F4" s="564"/>
      <c r="R4" s="771"/>
      <c r="S4" s="771"/>
    </row>
    <row r="5" spans="1:19" ht="18" customHeight="1" x14ac:dyDescent="0.35">
      <c r="A5" s="772" t="s">
        <v>3</v>
      </c>
      <c r="B5" s="258">
        <v>132</v>
      </c>
      <c r="C5" s="227">
        <v>2148</v>
      </c>
      <c r="D5" s="598">
        <f>+B5*C5</f>
        <v>283536</v>
      </c>
      <c r="E5" s="887"/>
      <c r="F5" s="564"/>
      <c r="R5" s="1040"/>
    </row>
    <row r="6" spans="1:19" ht="18" customHeight="1" x14ac:dyDescent="0.35">
      <c r="A6" s="772" t="s">
        <v>776</v>
      </c>
      <c r="B6" s="258">
        <v>0</v>
      </c>
      <c r="C6" s="227">
        <f>+C5</f>
        <v>2148</v>
      </c>
      <c r="D6" s="598">
        <f>+B6*C6</f>
        <v>0</v>
      </c>
      <c r="E6" s="887"/>
      <c r="F6" s="564"/>
      <c r="G6" s="176"/>
      <c r="R6" s="774"/>
    </row>
    <row r="7" spans="1:19" ht="18" customHeight="1" x14ac:dyDescent="0.35">
      <c r="A7" s="772" t="s">
        <v>196</v>
      </c>
      <c r="B7" s="258"/>
      <c r="C7" s="227">
        <v>15000</v>
      </c>
      <c r="D7" s="598">
        <f>+C7</f>
        <v>15000</v>
      </c>
      <c r="E7" s="887"/>
      <c r="F7" s="564"/>
      <c r="G7" s="176"/>
    </row>
    <row r="8" spans="1:19" ht="18" customHeight="1" x14ac:dyDescent="0.35">
      <c r="A8" s="772" t="s">
        <v>467</v>
      </c>
      <c r="B8" s="258">
        <v>2.1</v>
      </c>
      <c r="C8" s="194">
        <f>+C5*1.5</f>
        <v>3222</v>
      </c>
      <c r="D8" s="598">
        <f>+B8*C8</f>
        <v>6766.2000000000007</v>
      </c>
      <c r="E8" s="887"/>
      <c r="F8" s="564"/>
      <c r="G8" s="176"/>
    </row>
    <row r="9" spans="1:19" ht="18" customHeight="1" x14ac:dyDescent="0.35">
      <c r="A9" s="772" t="s">
        <v>6</v>
      </c>
      <c r="B9" s="258"/>
      <c r="C9" s="194">
        <v>70000</v>
      </c>
      <c r="D9" s="598">
        <f>+C9</f>
        <v>70000</v>
      </c>
      <c r="E9" s="553"/>
      <c r="G9" s="176"/>
      <c r="S9" s="1040"/>
    </row>
    <row r="10" spans="1:19" ht="18" customHeight="1" x14ac:dyDescent="0.35">
      <c r="A10" s="772" t="s">
        <v>774</v>
      </c>
      <c r="B10" s="258">
        <v>0</v>
      </c>
      <c r="C10" s="194">
        <f>526748/2</f>
        <v>263374</v>
      </c>
      <c r="D10" s="598">
        <f>+C10</f>
        <v>263374</v>
      </c>
      <c r="E10" s="553"/>
      <c r="G10" s="176"/>
      <c r="S10" s="1040"/>
    </row>
    <row r="11" spans="1:19" ht="18" customHeight="1" x14ac:dyDescent="0.35">
      <c r="A11" s="772" t="s">
        <v>780</v>
      </c>
      <c r="B11" s="258"/>
      <c r="C11" s="194"/>
      <c r="D11" s="598">
        <v>8000</v>
      </c>
      <c r="E11" s="553"/>
      <c r="G11" s="176"/>
      <c r="S11" s="1041"/>
    </row>
    <row r="12" spans="1:19" ht="18" customHeight="1" x14ac:dyDescent="0.35">
      <c r="A12" s="1432" t="s">
        <v>99</v>
      </c>
      <c r="B12" s="1432"/>
      <c r="C12" s="1432"/>
      <c r="D12" s="599">
        <f>+D5+D6+D7+D8+D9+D10+D11</f>
        <v>646676.19999999995</v>
      </c>
      <c r="E12" s="553"/>
      <c r="G12" s="248"/>
      <c r="H12" s="248"/>
      <c r="I12" s="248"/>
      <c r="J12" s="248"/>
      <c r="K12" s="248"/>
      <c r="L12" s="248"/>
      <c r="M12" s="248"/>
      <c r="N12" s="248"/>
      <c r="P12" s="1040"/>
    </row>
    <row r="13" spans="1:19" ht="18" customHeight="1" x14ac:dyDescent="0.35">
      <c r="A13" s="921" t="s">
        <v>772</v>
      </c>
      <c r="B13" s="720"/>
      <c r="C13" s="720"/>
      <c r="D13" s="722">
        <v>-126598.14</v>
      </c>
      <c r="E13" s="553"/>
      <c r="G13" s="248"/>
      <c r="H13" s="248"/>
      <c r="I13" s="248"/>
      <c r="J13" s="248"/>
      <c r="K13" s="248"/>
      <c r="L13" s="248"/>
      <c r="M13" s="248"/>
      <c r="N13" s="248"/>
      <c r="P13" s="1040"/>
    </row>
    <row r="14" spans="1:19" ht="18" customHeight="1" x14ac:dyDescent="0.35">
      <c r="A14" s="800" t="s">
        <v>773</v>
      </c>
      <c r="B14" s="721"/>
      <c r="C14" s="905"/>
      <c r="D14" s="722">
        <v>-281214.99</v>
      </c>
      <c r="E14" s="553"/>
      <c r="G14" s="248"/>
      <c r="H14" s="248"/>
      <c r="I14" s="248"/>
      <c r="J14" s="248"/>
      <c r="K14" s="248"/>
      <c r="L14" s="248"/>
      <c r="M14" s="248"/>
      <c r="N14" s="248"/>
      <c r="P14" s="1040"/>
    </row>
    <row r="15" spans="1:19" ht="18" customHeight="1" x14ac:dyDescent="0.35">
      <c r="A15" s="1433" t="s">
        <v>11</v>
      </c>
      <c r="B15" s="1433"/>
      <c r="C15" s="1433"/>
      <c r="D15" s="603">
        <f>+D12+D13+D14</f>
        <v>238863.06999999995</v>
      </c>
      <c r="E15" s="553"/>
      <c r="G15" s="321"/>
      <c r="H15" s="321"/>
      <c r="I15" s="473"/>
      <c r="J15" s="321"/>
      <c r="K15" s="321"/>
      <c r="R15" s="1040"/>
    </row>
    <row r="16" spans="1:19" ht="18" customHeight="1" x14ac:dyDescent="0.35">
      <c r="A16" s="1053"/>
      <c r="B16" s="1054"/>
      <c r="C16" s="1054"/>
      <c r="D16" s="1055"/>
      <c r="E16" s="553"/>
      <c r="G16" s="321"/>
      <c r="H16" s="321"/>
      <c r="I16" s="473"/>
      <c r="J16" s="321"/>
      <c r="K16" s="321"/>
      <c r="R16" s="1041"/>
    </row>
    <row r="17" spans="1:20" s="908" customFormat="1" ht="18" customHeight="1" x14ac:dyDescent="0.35">
      <c r="A17" s="689"/>
      <c r="B17" s="689"/>
      <c r="C17" s="689"/>
      <c r="D17" s="688"/>
      <c r="E17" s="768"/>
      <c r="F17" s="1044"/>
      <c r="J17" s="910"/>
      <c r="K17" s="911"/>
      <c r="L17" s="912"/>
      <c r="M17" s="912"/>
      <c r="N17" s="910"/>
      <c r="O17" s="910"/>
      <c r="P17" s="910"/>
      <c r="Q17" s="764"/>
      <c r="T17" s="764"/>
    </row>
    <row r="18" spans="1:20" ht="18" customHeight="1" x14ac:dyDescent="0.45">
      <c r="A18" s="1450" t="s">
        <v>775</v>
      </c>
      <c r="B18" s="1451"/>
      <c r="C18" s="1451"/>
      <c r="D18" s="1452"/>
      <c r="E18" s="409"/>
      <c r="F18" s="1045"/>
      <c r="K18" s="185"/>
      <c r="L18" s="181"/>
      <c r="M18" s="181"/>
      <c r="N18" s="181"/>
      <c r="O18" s="181"/>
    </row>
    <row r="19" spans="1:20" ht="18" customHeight="1" x14ac:dyDescent="0.35">
      <c r="A19" s="604" t="s">
        <v>7</v>
      </c>
      <c r="B19" s="605" t="s">
        <v>8</v>
      </c>
      <c r="C19" s="606" t="s">
        <v>4</v>
      </c>
      <c r="D19" s="606" t="s">
        <v>9</v>
      </c>
      <c r="E19" s="887"/>
      <c r="F19" s="564"/>
      <c r="K19" s="185"/>
      <c r="L19" s="181"/>
      <c r="M19" s="181"/>
      <c r="N19" s="184"/>
    </row>
    <row r="20" spans="1:20" ht="18" customHeight="1" x14ac:dyDescent="0.35">
      <c r="A20" s="607" t="s">
        <v>480</v>
      </c>
      <c r="B20" s="267">
        <v>132</v>
      </c>
      <c r="C20" s="211">
        <v>1924</v>
      </c>
      <c r="D20" s="211">
        <f>+B20*C20</f>
        <v>253968</v>
      </c>
      <c r="E20" s="887"/>
      <c r="F20" s="564"/>
      <c r="K20" s="182"/>
    </row>
    <row r="21" spans="1:20" ht="18" customHeight="1" x14ac:dyDescent="0.35">
      <c r="A21" s="772" t="s">
        <v>777</v>
      </c>
      <c r="B21" s="267">
        <v>0</v>
      </c>
      <c r="C21" s="211">
        <f>+C20</f>
        <v>1924</v>
      </c>
      <c r="D21" s="211">
        <f>+B21*C21</f>
        <v>0</v>
      </c>
      <c r="E21" s="887"/>
      <c r="F21" s="564"/>
      <c r="G21" s="1040"/>
      <c r="H21" s="1040"/>
      <c r="I21" s="1040"/>
    </row>
    <row r="22" spans="1:20" ht="18" customHeight="1" x14ac:dyDescent="0.35">
      <c r="A22" s="772" t="s">
        <v>196</v>
      </c>
      <c r="B22" s="267"/>
      <c r="C22" s="211"/>
      <c r="D22" s="211">
        <v>15000</v>
      </c>
      <c r="E22" s="887"/>
      <c r="F22" s="564"/>
      <c r="J22" s="1040"/>
    </row>
    <row r="23" spans="1:20" ht="18" customHeight="1" x14ac:dyDescent="0.35">
      <c r="A23" s="772" t="s">
        <v>6</v>
      </c>
      <c r="B23" s="267"/>
      <c r="C23" s="211">
        <v>50000</v>
      </c>
      <c r="D23" s="211">
        <f>+C23</f>
        <v>50000</v>
      </c>
      <c r="E23" s="887"/>
      <c r="F23" s="564"/>
      <c r="J23" s="1040"/>
    </row>
    <row r="24" spans="1:20" ht="18" customHeight="1" x14ac:dyDescent="0.35">
      <c r="A24" s="772" t="s">
        <v>468</v>
      </c>
      <c r="B24" s="267">
        <v>4.0999999999999996</v>
      </c>
      <c r="C24" s="211">
        <f>+C20*1.5</f>
        <v>2886</v>
      </c>
      <c r="D24" s="211">
        <f>B24*C24</f>
        <v>11832.599999999999</v>
      </c>
      <c r="E24" s="1025" t="s">
        <v>63</v>
      </c>
      <c r="F24" s="1043"/>
      <c r="G24" s="181"/>
      <c r="H24" s="187"/>
      <c r="I24" s="188"/>
      <c r="J24" s="1040"/>
      <c r="M24" s="1040"/>
    </row>
    <row r="25" spans="1:20" ht="18" customHeight="1" x14ac:dyDescent="0.35">
      <c r="A25" s="772" t="s">
        <v>778</v>
      </c>
      <c r="B25" s="267">
        <v>0</v>
      </c>
      <c r="C25" s="211">
        <f>445814.9/2</f>
        <v>222907.45</v>
      </c>
      <c r="D25" s="211">
        <f>+C25</f>
        <v>222907.45</v>
      </c>
      <c r="E25" s="1025"/>
      <c r="F25" s="1043"/>
      <c r="G25" s="181"/>
      <c r="H25" s="187"/>
      <c r="I25" s="188"/>
      <c r="J25" s="1040"/>
      <c r="M25" s="1040"/>
    </row>
    <row r="26" spans="1:20" s="1040" customFormat="1" ht="18" customHeight="1" x14ac:dyDescent="0.35">
      <c r="A26" s="1463" t="s">
        <v>99</v>
      </c>
      <c r="B26" s="1464"/>
      <c r="C26" s="1465"/>
      <c r="D26" s="599">
        <f>+D20+D21+D22+D23+D24+D25</f>
        <v>553708.05000000005</v>
      </c>
      <c r="E26" s="553"/>
      <c r="F26" s="1042"/>
      <c r="G26" s="181"/>
      <c r="H26" s="181"/>
      <c r="I26" s="184"/>
      <c r="J26" s="771"/>
      <c r="L26" s="771"/>
      <c r="M26" s="771"/>
    </row>
    <row r="27" spans="1:20" s="1040" customFormat="1" ht="18" customHeight="1" x14ac:dyDescent="0.35">
      <c r="A27" s="825" t="s">
        <v>779</v>
      </c>
      <c r="B27" s="824"/>
      <c r="C27" s="823" t="s">
        <v>63</v>
      </c>
      <c r="D27" s="930">
        <v>-102146</v>
      </c>
      <c r="E27" s="553"/>
      <c r="F27" s="1042"/>
      <c r="G27" s="181"/>
      <c r="H27" s="181"/>
      <c r="I27" s="184"/>
      <c r="J27" s="771"/>
      <c r="L27" s="771"/>
      <c r="M27" s="771"/>
    </row>
    <row r="28" spans="1:20" s="1040" customFormat="1" ht="18" customHeight="1" x14ac:dyDescent="0.35">
      <c r="A28" s="825" t="s">
        <v>802</v>
      </c>
      <c r="B28" s="824" t="s">
        <v>63</v>
      </c>
      <c r="C28" s="823"/>
      <c r="D28" s="930">
        <v>0</v>
      </c>
      <c r="E28" s="553"/>
      <c r="F28" s="1042"/>
      <c r="G28" s="181"/>
      <c r="H28" s="181"/>
      <c r="I28" s="184"/>
      <c r="J28" s="771"/>
      <c r="L28" s="771"/>
      <c r="M28" s="771"/>
    </row>
    <row r="29" spans="1:20" ht="18" customHeight="1" x14ac:dyDescent="0.35">
      <c r="A29" s="786" t="s">
        <v>11</v>
      </c>
      <c r="B29" s="783"/>
      <c r="C29" s="783"/>
      <c r="D29" s="784">
        <f>+D26+D27+D28</f>
        <v>451562.05000000005</v>
      </c>
      <c r="E29" s="553"/>
      <c r="G29" s="181"/>
      <c r="H29" s="181"/>
      <c r="I29" s="184"/>
    </row>
    <row r="30" spans="1:20" ht="18" customHeight="1" x14ac:dyDescent="0.35">
      <c r="A30" s="1047"/>
      <c r="B30" s="594"/>
      <c r="C30" s="594"/>
      <c r="D30" s="595"/>
      <c r="G30" s="181"/>
      <c r="H30" s="181"/>
      <c r="I30" s="184"/>
    </row>
    <row r="31" spans="1:20" ht="18" customHeight="1" x14ac:dyDescent="0.35">
      <c r="A31" s="594"/>
      <c r="B31" s="594"/>
      <c r="C31" s="594"/>
      <c r="D31" s="595"/>
      <c r="G31" s="181"/>
      <c r="H31" s="181"/>
      <c r="I31" s="184"/>
    </row>
    <row r="32" spans="1:20" ht="18" customHeight="1" x14ac:dyDescent="0.35">
      <c r="A32" s="1442" t="s">
        <v>781</v>
      </c>
      <c r="B32" s="1443"/>
      <c r="C32" s="1443"/>
      <c r="D32" s="1444"/>
      <c r="G32" s="181"/>
      <c r="H32" s="181"/>
      <c r="I32" s="184"/>
    </row>
    <row r="33" spans="1:20" ht="18" customHeight="1" x14ac:dyDescent="0.35">
      <c r="A33" s="2"/>
      <c r="B33" s="270" t="s">
        <v>8</v>
      </c>
      <c r="C33" s="217" t="s">
        <v>4</v>
      </c>
      <c r="D33" s="597" t="s">
        <v>9</v>
      </c>
      <c r="G33" s="181"/>
      <c r="H33" s="181"/>
      <c r="I33" s="184"/>
    </row>
    <row r="34" spans="1:20" ht="18" customHeight="1" x14ac:dyDescent="0.35">
      <c r="A34" s="772" t="s">
        <v>253</v>
      </c>
      <c r="B34" s="258">
        <v>132</v>
      </c>
      <c r="C34" s="194">
        <v>2989</v>
      </c>
      <c r="D34" s="598">
        <f>+B34*C34</f>
        <v>394548</v>
      </c>
      <c r="E34" s="887"/>
      <c r="F34" s="564"/>
      <c r="G34" s="181"/>
      <c r="H34" s="181"/>
      <c r="I34" s="184"/>
    </row>
    <row r="35" spans="1:20" ht="18" customHeight="1" x14ac:dyDescent="0.35">
      <c r="A35" s="772" t="s">
        <v>782</v>
      </c>
      <c r="B35" s="258">
        <v>0</v>
      </c>
      <c r="C35" s="194">
        <f>+C34</f>
        <v>2989</v>
      </c>
      <c r="D35" s="598">
        <f>+B35*C35</f>
        <v>0</v>
      </c>
      <c r="E35" s="887"/>
      <c r="F35" s="564"/>
      <c r="G35" s="181"/>
      <c r="H35" s="181"/>
      <c r="I35" s="184"/>
    </row>
    <row r="36" spans="1:20" ht="15" customHeight="1" x14ac:dyDescent="0.35">
      <c r="A36" s="772" t="s">
        <v>196</v>
      </c>
      <c r="B36" s="258"/>
      <c r="C36" s="194">
        <v>15000</v>
      </c>
      <c r="D36" s="598">
        <f>+C36</f>
        <v>15000</v>
      </c>
      <c r="E36" s="887"/>
      <c r="F36" s="564"/>
      <c r="G36" s="181"/>
      <c r="H36" s="181"/>
      <c r="I36" s="184"/>
      <c r="J36" s="1040"/>
    </row>
    <row r="37" spans="1:20" ht="15" customHeight="1" x14ac:dyDescent="0.35">
      <c r="A37" s="772" t="s">
        <v>6</v>
      </c>
      <c r="B37" s="258"/>
      <c r="C37" s="194">
        <v>70000</v>
      </c>
      <c r="D37" s="598">
        <f>+C37</f>
        <v>70000</v>
      </c>
      <c r="E37" s="887"/>
      <c r="F37" s="564"/>
      <c r="G37" s="181"/>
      <c r="H37" s="181"/>
      <c r="I37" s="184"/>
      <c r="J37" s="1040"/>
    </row>
    <row r="38" spans="1:20" ht="15" customHeight="1" x14ac:dyDescent="0.35">
      <c r="A38" s="772" t="s">
        <v>195</v>
      </c>
      <c r="B38" s="315">
        <v>4</v>
      </c>
      <c r="C38" s="194">
        <f>+C34*1.5</f>
        <v>4483.5</v>
      </c>
      <c r="D38" s="598">
        <f>+B38*C38</f>
        <v>17934</v>
      </c>
      <c r="G38" s="181"/>
      <c r="H38" s="181"/>
      <c r="I38" s="184"/>
      <c r="J38" s="1040"/>
    </row>
    <row r="39" spans="1:20" ht="15" customHeight="1" x14ac:dyDescent="0.35">
      <c r="A39" s="772" t="s">
        <v>449</v>
      </c>
      <c r="B39" s="315">
        <v>0</v>
      </c>
      <c r="C39" s="194">
        <f>+C34*2</f>
        <v>5978</v>
      </c>
      <c r="D39" s="598">
        <f>+B39*C39</f>
        <v>0</v>
      </c>
      <c r="G39" s="181"/>
      <c r="H39" s="181"/>
      <c r="I39" s="184"/>
      <c r="J39" s="1040"/>
    </row>
    <row r="40" spans="1:20" ht="15" customHeight="1" x14ac:dyDescent="0.35">
      <c r="A40" s="772" t="s">
        <v>783</v>
      </c>
      <c r="B40" s="258">
        <v>0</v>
      </c>
      <c r="C40" s="194">
        <f>729415.25/2</f>
        <v>364707.625</v>
      </c>
      <c r="D40" s="598">
        <f>+C40</f>
        <v>364707.625</v>
      </c>
      <c r="E40" s="553" t="s">
        <v>63</v>
      </c>
      <c r="K40" s="176"/>
      <c r="L40" s="180"/>
      <c r="M40" s="180"/>
      <c r="N40" s="181"/>
      <c r="O40" s="181"/>
      <c r="P40" s="184"/>
    </row>
    <row r="41" spans="1:20" ht="15" customHeight="1" x14ac:dyDescent="0.35">
      <c r="A41" s="889" t="s">
        <v>784</v>
      </c>
      <c r="B41" s="890">
        <v>1</v>
      </c>
      <c r="C41" s="977">
        <v>10000</v>
      </c>
      <c r="D41" s="598">
        <f>+B41*C41</f>
        <v>10000</v>
      </c>
      <c r="E41" s="553"/>
      <c r="K41" s="176"/>
      <c r="L41" s="180"/>
      <c r="M41" s="180"/>
      <c r="N41" s="181"/>
      <c r="O41" s="181"/>
      <c r="P41" s="184"/>
    </row>
    <row r="42" spans="1:20" ht="15" customHeight="1" x14ac:dyDescent="0.35">
      <c r="A42" s="1439" t="s">
        <v>99</v>
      </c>
      <c r="B42" s="1440"/>
      <c r="C42" s="1441"/>
      <c r="D42" s="599">
        <f>+D34+D35+D36+D37+D38+D39+D40+D41</f>
        <v>872189.625</v>
      </c>
      <c r="E42" s="553"/>
      <c r="K42" s="176"/>
      <c r="L42" s="176"/>
      <c r="M42" s="176"/>
      <c r="N42" s="181"/>
      <c r="O42" s="181"/>
      <c r="P42" s="184"/>
      <c r="R42" s="1040"/>
    </row>
    <row r="43" spans="1:20" s="1040" customFormat="1" ht="15" customHeight="1" x14ac:dyDescent="0.35">
      <c r="A43" s="723" t="s">
        <v>630</v>
      </c>
      <c r="B43" s="727" t="s">
        <v>63</v>
      </c>
      <c r="C43" s="727" t="s">
        <v>63</v>
      </c>
      <c r="D43" s="722">
        <v>-289176.74</v>
      </c>
      <c r="E43" s="1025" t="s">
        <v>63</v>
      </c>
      <c r="F43" s="1043"/>
      <c r="G43" s="771"/>
      <c r="H43" s="771"/>
      <c r="I43" s="771"/>
      <c r="J43" s="771"/>
      <c r="K43" s="176"/>
      <c r="L43" s="176"/>
      <c r="M43" s="176"/>
      <c r="N43" s="176"/>
      <c r="O43" s="176"/>
      <c r="P43" s="176"/>
      <c r="Q43" s="771"/>
      <c r="R43" s="771"/>
      <c r="S43" s="771"/>
      <c r="T43" s="771"/>
    </row>
    <row r="44" spans="1:20" s="1041" customFormat="1" ht="15" customHeight="1" x14ac:dyDescent="0.35">
      <c r="A44" s="723" t="s">
        <v>785</v>
      </c>
      <c r="B44" s="727"/>
      <c r="C44" s="727"/>
      <c r="D44" s="722">
        <v>-130183.94</v>
      </c>
      <c r="E44" s="1025"/>
      <c r="F44" s="1043"/>
      <c r="G44" s="771"/>
      <c r="H44" s="771"/>
      <c r="I44" s="771"/>
      <c r="J44" s="771"/>
      <c r="K44" s="176"/>
      <c r="L44" s="176"/>
      <c r="M44" s="176"/>
      <c r="N44" s="176"/>
      <c r="O44" s="176"/>
      <c r="P44" s="176"/>
      <c r="Q44" s="771"/>
      <c r="R44" s="771"/>
      <c r="S44" s="771"/>
      <c r="T44" s="771"/>
    </row>
    <row r="45" spans="1:20" s="1040" customFormat="1" ht="15" customHeight="1" x14ac:dyDescent="0.35">
      <c r="A45" s="672"/>
      <c r="B45" s="673" t="s">
        <v>11</v>
      </c>
      <c r="C45" s="674"/>
      <c r="D45" s="675">
        <f>+D42+D43+D44</f>
        <v>452828.94500000001</v>
      </c>
      <c r="E45" s="1025"/>
      <c r="F45" s="1043"/>
      <c r="G45" s="771"/>
      <c r="H45" s="771"/>
      <c r="I45" s="771"/>
      <c r="J45" s="771"/>
      <c r="K45" s="176"/>
      <c r="L45" s="176"/>
      <c r="M45" s="176"/>
      <c r="N45" s="176"/>
      <c r="O45" s="176"/>
      <c r="P45" s="176"/>
      <c r="Q45" s="771"/>
      <c r="R45" s="771"/>
      <c r="S45" s="771"/>
      <c r="T45" s="771"/>
    </row>
    <row r="46" spans="1:20" ht="15" customHeight="1" x14ac:dyDescent="0.35">
      <c r="A46" s="90"/>
      <c r="B46" s="771"/>
      <c r="C46" s="771"/>
      <c r="D46" s="771"/>
      <c r="E46" s="553" t="s">
        <v>63</v>
      </c>
      <c r="L46" s="183"/>
      <c r="M46" s="183"/>
      <c r="N46" s="176"/>
      <c r="O46" s="176"/>
      <c r="P46" s="176"/>
      <c r="R46" s="1040"/>
    </row>
    <row r="47" spans="1:20" ht="15" customHeight="1" x14ac:dyDescent="0.35">
      <c r="B47" s="771"/>
      <c r="C47" s="771"/>
      <c r="D47" s="774" t="s">
        <v>63</v>
      </c>
    </row>
    <row r="48" spans="1:20" ht="15" customHeight="1" x14ac:dyDescent="0.35">
      <c r="A48" s="1442" t="s">
        <v>786</v>
      </c>
      <c r="B48" s="1443"/>
      <c r="C48" s="1443"/>
      <c r="D48" s="1444"/>
      <c r="T48" s="1040"/>
    </row>
    <row r="49" spans="1:6" x14ac:dyDescent="0.35">
      <c r="A49" s="2" t="s">
        <v>7</v>
      </c>
      <c r="B49" s="270" t="s">
        <v>8</v>
      </c>
      <c r="C49" s="217" t="s">
        <v>4</v>
      </c>
      <c r="D49" s="597" t="s">
        <v>9</v>
      </c>
    </row>
    <row r="50" spans="1:6" x14ac:dyDescent="0.35">
      <c r="A50" s="772" t="s">
        <v>501</v>
      </c>
      <c r="B50" s="258">
        <v>132</v>
      </c>
      <c r="C50" s="227">
        <v>1912</v>
      </c>
      <c r="D50" s="598">
        <f>+B50*C50</f>
        <v>252384</v>
      </c>
      <c r="E50" s="887"/>
      <c r="F50" s="564"/>
    </row>
    <row r="51" spans="1:6" x14ac:dyDescent="0.35">
      <c r="A51" s="772" t="s">
        <v>787</v>
      </c>
      <c r="B51" s="258">
        <v>0</v>
      </c>
      <c r="C51" s="227">
        <f>+C50</f>
        <v>1912</v>
      </c>
      <c r="D51" s="598">
        <f>+B51*C51</f>
        <v>0</v>
      </c>
      <c r="E51" s="887"/>
      <c r="F51" s="564"/>
    </row>
    <row r="52" spans="1:6" x14ac:dyDescent="0.35">
      <c r="A52" s="772" t="s">
        <v>490</v>
      </c>
      <c r="B52" s="258"/>
      <c r="C52" s="227">
        <v>15000</v>
      </c>
      <c r="D52" s="598">
        <f>+C52</f>
        <v>15000</v>
      </c>
      <c r="E52" s="887"/>
      <c r="F52" s="564"/>
    </row>
    <row r="53" spans="1:6" x14ac:dyDescent="0.35">
      <c r="A53" s="772" t="s">
        <v>489</v>
      </c>
      <c r="B53" s="258"/>
      <c r="C53" s="227">
        <v>50000</v>
      </c>
      <c r="D53" s="598">
        <f>+C53</f>
        <v>50000</v>
      </c>
      <c r="E53" s="887"/>
      <c r="F53" s="564"/>
    </row>
    <row r="54" spans="1:6" x14ac:dyDescent="0.35">
      <c r="A54" s="772" t="s">
        <v>195</v>
      </c>
      <c r="B54" s="258">
        <v>0.5</v>
      </c>
      <c r="C54" s="194">
        <f>+C50*1.5</f>
        <v>2868</v>
      </c>
      <c r="D54" s="598">
        <f>+B54*C54</f>
        <v>1434</v>
      </c>
      <c r="E54" s="887"/>
      <c r="F54" s="564"/>
    </row>
    <row r="55" spans="1:6" x14ac:dyDescent="0.35">
      <c r="A55" s="772" t="s">
        <v>449</v>
      </c>
      <c r="B55" s="258">
        <v>0</v>
      </c>
      <c r="C55" s="194">
        <f>+C50*2</f>
        <v>3824</v>
      </c>
      <c r="D55" s="598">
        <f>+B55*C55</f>
        <v>0</v>
      </c>
      <c r="E55" s="553"/>
    </row>
    <row r="56" spans="1:6" x14ac:dyDescent="0.35">
      <c r="A56" s="772" t="s">
        <v>788</v>
      </c>
      <c r="B56" s="258">
        <v>0</v>
      </c>
      <c r="C56" s="194">
        <f>450746/2</f>
        <v>225373</v>
      </c>
      <c r="D56" s="598">
        <f>+C56</f>
        <v>225373</v>
      </c>
      <c r="E56" s="553"/>
    </row>
    <row r="57" spans="1:6" x14ac:dyDescent="0.35">
      <c r="A57" s="1439" t="s">
        <v>99</v>
      </c>
      <c r="B57" s="1440"/>
      <c r="C57" s="1441"/>
      <c r="D57" s="599">
        <f>+D50+D51+D52+D53+D54+D55+D56</f>
        <v>544191</v>
      </c>
      <c r="E57" s="553"/>
    </row>
    <row r="58" spans="1:6" x14ac:dyDescent="0.35">
      <c r="A58" s="921" t="s">
        <v>789</v>
      </c>
      <c r="B58" s="922">
        <f>+D50+D51+D52+D53</f>
        <v>317384</v>
      </c>
      <c r="C58" s="720"/>
      <c r="D58" s="722">
        <f>-B58*0.1</f>
        <v>-31738.400000000001</v>
      </c>
      <c r="E58" s="553" t="s">
        <v>63</v>
      </c>
    </row>
    <row r="59" spans="1:6" x14ac:dyDescent="0.35">
      <c r="A59" s="672"/>
      <c r="B59" s="673" t="s">
        <v>11</v>
      </c>
      <c r="C59" s="674"/>
      <c r="D59" s="675">
        <f>+D57+D58</f>
        <v>512452.6</v>
      </c>
      <c r="E59" s="553"/>
    </row>
    <row r="60" spans="1:6" x14ac:dyDescent="0.35">
      <c r="B60" s="771"/>
      <c r="C60" s="771"/>
      <c r="D60" s="771"/>
      <c r="E60" s="553"/>
    </row>
    <row r="62" spans="1:6" ht="23.5" x14ac:dyDescent="0.35">
      <c r="A62" s="1442" t="s">
        <v>790</v>
      </c>
      <c r="B62" s="1443"/>
      <c r="C62" s="1443"/>
      <c r="D62" s="1444"/>
    </row>
    <row r="63" spans="1:6" x14ac:dyDescent="0.35">
      <c r="A63" s="2" t="s">
        <v>7</v>
      </c>
      <c r="B63" s="270" t="s">
        <v>8</v>
      </c>
      <c r="C63" s="217" t="s">
        <v>4</v>
      </c>
      <c r="D63" s="597" t="s">
        <v>63</v>
      </c>
      <c r="E63" s="90" t="s">
        <v>63</v>
      </c>
    </row>
    <row r="64" spans="1:6" x14ac:dyDescent="0.35">
      <c r="A64" s="772" t="s">
        <v>3</v>
      </c>
      <c r="B64" s="258">
        <v>132</v>
      </c>
      <c r="C64" s="227">
        <v>1658</v>
      </c>
      <c r="D64" s="598">
        <f>+B64*C64</f>
        <v>218856</v>
      </c>
      <c r="E64" s="887"/>
      <c r="F64" s="564"/>
    </row>
    <row r="65" spans="1:6" x14ac:dyDescent="0.35">
      <c r="A65" s="772" t="s">
        <v>776</v>
      </c>
      <c r="B65" s="258">
        <v>0</v>
      </c>
      <c r="C65" s="227">
        <f>+C64</f>
        <v>1658</v>
      </c>
      <c r="D65" s="598">
        <f>+B65*C65</f>
        <v>0</v>
      </c>
      <c r="E65" s="887"/>
      <c r="F65" s="564"/>
    </row>
    <row r="66" spans="1:6" x14ac:dyDescent="0.35">
      <c r="A66" s="772" t="s">
        <v>196</v>
      </c>
      <c r="B66" s="258"/>
      <c r="C66" s="227">
        <v>15000</v>
      </c>
      <c r="D66" s="598">
        <f>+C66</f>
        <v>15000</v>
      </c>
      <c r="E66" s="887"/>
      <c r="F66" s="564"/>
    </row>
    <row r="67" spans="1:6" x14ac:dyDescent="0.35">
      <c r="A67" s="772" t="s">
        <v>6</v>
      </c>
      <c r="B67" s="258"/>
      <c r="C67" s="227">
        <v>35000</v>
      </c>
      <c r="D67" s="598">
        <f>+C67</f>
        <v>35000</v>
      </c>
      <c r="E67" s="887"/>
      <c r="F67" s="564"/>
    </row>
    <row r="68" spans="1:6" x14ac:dyDescent="0.35">
      <c r="A68" s="772" t="s">
        <v>270</v>
      </c>
      <c r="B68" s="258">
        <v>4.0999999999999996</v>
      </c>
      <c r="C68" s="227">
        <f>+C64*1.5</f>
        <v>2487</v>
      </c>
      <c r="D68" s="711">
        <f>+B68*C68</f>
        <v>10196.699999999999</v>
      </c>
      <c r="E68" s="887"/>
      <c r="F68" s="564"/>
    </row>
    <row r="69" spans="1:6" x14ac:dyDescent="0.35">
      <c r="A69" s="772" t="s">
        <v>281</v>
      </c>
      <c r="B69" s="258">
        <v>0</v>
      </c>
      <c r="C69" s="227">
        <f>+C64*2</f>
        <v>3316</v>
      </c>
      <c r="D69" s="598">
        <f>+B69*C69</f>
        <v>0</v>
      </c>
    </row>
    <row r="70" spans="1:6" x14ac:dyDescent="0.35">
      <c r="A70" s="772" t="s">
        <v>788</v>
      </c>
      <c r="B70" s="258">
        <v>0</v>
      </c>
      <c r="C70" s="227">
        <f>380190.7/2</f>
        <v>190095.35</v>
      </c>
      <c r="D70" s="598">
        <f>+C70</f>
        <v>190095.35</v>
      </c>
    </row>
    <row r="71" spans="1:6" x14ac:dyDescent="0.35">
      <c r="A71" s="1439" t="s">
        <v>99</v>
      </c>
      <c r="B71" s="1440"/>
      <c r="C71" s="1441"/>
      <c r="D71" s="599">
        <f>+D64+D65+D66+D67+D68+D69+D70</f>
        <v>469148.05000000005</v>
      </c>
      <c r="E71" s="553"/>
    </row>
    <row r="72" spans="1:6" x14ac:dyDescent="0.35">
      <c r="A72" s="723" t="s">
        <v>50</v>
      </c>
      <c r="B72" s="721"/>
      <c r="C72" s="721"/>
      <c r="D72" s="722">
        <v>0</v>
      </c>
      <c r="E72" s="553"/>
    </row>
    <row r="73" spans="1:6" ht="15.5" x14ac:dyDescent="0.35">
      <c r="A73" s="1446" t="s">
        <v>11</v>
      </c>
      <c r="B73" s="1447"/>
      <c r="C73" s="1448"/>
      <c r="D73" s="603">
        <f>+D71+D72</f>
        <v>469148.05000000005</v>
      </c>
      <c r="E73" s="553"/>
    </row>
    <row r="74" spans="1:6" s="90" customFormat="1" x14ac:dyDescent="0.35">
      <c r="A74" s="1035"/>
      <c r="B74" s="1042"/>
      <c r="C74" s="553"/>
      <c r="D74" s="1051"/>
      <c r="E74" s="553" t="s">
        <v>63</v>
      </c>
      <c r="F74" s="1042"/>
    </row>
    <row r="75" spans="1:6" x14ac:dyDescent="0.35">
      <c r="E75" s="553" t="s">
        <v>63</v>
      </c>
    </row>
    <row r="76" spans="1:6" ht="23.5" x14ac:dyDescent="0.35">
      <c r="A76" s="1442" t="s">
        <v>792</v>
      </c>
      <c r="B76" s="1443"/>
      <c r="C76" s="1443"/>
      <c r="D76" s="1444"/>
    </row>
    <row r="77" spans="1:6" x14ac:dyDescent="0.35">
      <c r="A77" s="2" t="s">
        <v>7</v>
      </c>
      <c r="B77" s="270" t="s">
        <v>388</v>
      </c>
      <c r="C77" s="217" t="s">
        <v>272</v>
      </c>
      <c r="D77" s="597" t="s">
        <v>9</v>
      </c>
    </row>
    <row r="78" spans="1:6" ht="15.5" x14ac:dyDescent="0.35">
      <c r="A78" s="772" t="s">
        <v>480</v>
      </c>
      <c r="B78" s="258">
        <v>132</v>
      </c>
      <c r="C78" s="227">
        <v>1891</v>
      </c>
      <c r="D78" s="598">
        <f>+B78*C78</f>
        <v>249612</v>
      </c>
      <c r="E78" s="830"/>
      <c r="F78" s="1048"/>
    </row>
    <row r="79" spans="1:6" ht="15.5" x14ac:dyDescent="0.35">
      <c r="A79" s="772" t="s">
        <v>793</v>
      </c>
      <c r="B79" s="258">
        <v>0</v>
      </c>
      <c r="C79" s="227">
        <f>+C78</f>
        <v>1891</v>
      </c>
      <c r="D79" s="598">
        <f>+B79*C79</f>
        <v>0</v>
      </c>
      <c r="E79" s="830"/>
      <c r="F79" s="564"/>
    </row>
    <row r="80" spans="1:6" ht="15.5" x14ac:dyDescent="0.35">
      <c r="A80" s="772" t="s">
        <v>489</v>
      </c>
      <c r="B80" s="258"/>
      <c r="C80" s="227">
        <v>50000</v>
      </c>
      <c r="D80" s="598">
        <f>+C80</f>
        <v>50000</v>
      </c>
      <c r="E80" s="830"/>
      <c r="F80" s="564"/>
    </row>
    <row r="81" spans="1:6" x14ac:dyDescent="0.35">
      <c r="A81" s="772" t="s">
        <v>745</v>
      </c>
      <c r="B81" s="258"/>
      <c r="C81" s="227">
        <v>15000</v>
      </c>
      <c r="D81" s="598">
        <f>+C81</f>
        <v>15000</v>
      </c>
      <c r="E81" s="1050"/>
      <c r="F81" s="564"/>
    </row>
    <row r="82" spans="1:6" x14ac:dyDescent="0.35">
      <c r="A82" s="772" t="s">
        <v>475</v>
      </c>
      <c r="B82" s="258">
        <v>2</v>
      </c>
      <c r="C82" s="227">
        <f>+C78*1.5</f>
        <v>2836.5</v>
      </c>
      <c r="D82" s="811">
        <f>+B82*C82</f>
        <v>5673</v>
      </c>
      <c r="E82" s="1050"/>
      <c r="F82" s="564"/>
    </row>
    <row r="83" spans="1:6" x14ac:dyDescent="0.35">
      <c r="A83" s="772" t="s">
        <v>757</v>
      </c>
      <c r="B83" s="258">
        <v>0</v>
      </c>
      <c r="C83" s="227">
        <f>+C78*2</f>
        <v>3782</v>
      </c>
      <c r="D83" s="598">
        <f>+B83*C83</f>
        <v>0</v>
      </c>
      <c r="E83" s="553" t="s">
        <v>63</v>
      </c>
    </row>
    <row r="84" spans="1:6" x14ac:dyDescent="0.35">
      <c r="A84" s="772" t="s">
        <v>788</v>
      </c>
      <c r="B84" s="258">
        <v>0</v>
      </c>
      <c r="C84" s="227">
        <f>457713.43/2</f>
        <v>228856.715</v>
      </c>
      <c r="D84" s="598">
        <f>+C84</f>
        <v>228856.715</v>
      </c>
      <c r="E84" s="553"/>
    </row>
    <row r="85" spans="1:6" x14ac:dyDescent="0.35">
      <c r="A85" s="772" t="s">
        <v>794</v>
      </c>
      <c r="B85" s="258"/>
      <c r="C85" s="227"/>
      <c r="D85" s="598">
        <v>44509.1</v>
      </c>
      <c r="E85" s="553"/>
    </row>
    <row r="86" spans="1:6" x14ac:dyDescent="0.35">
      <c r="A86" s="1036" t="s">
        <v>389</v>
      </c>
      <c r="B86" s="681"/>
      <c r="C86" s="1037"/>
      <c r="D86" s="1038">
        <f>+D78+D79+D80+D81+D82+D83+D84+D85</f>
        <v>593650.81499999994</v>
      </c>
      <c r="E86" s="553"/>
    </row>
    <row r="87" spans="1:6" x14ac:dyDescent="0.35">
      <c r="A87" s="772" t="s">
        <v>19</v>
      </c>
      <c r="B87" s="258"/>
      <c r="C87" s="227"/>
      <c r="D87" s="731"/>
      <c r="E87" s="553"/>
    </row>
    <row r="88" spans="1:6" x14ac:dyDescent="0.35">
      <c r="A88" s="723"/>
      <c r="B88" s="721"/>
      <c r="C88" s="721"/>
      <c r="D88" s="722">
        <v>0</v>
      </c>
    </row>
    <row r="89" spans="1:6" ht="15.5" x14ac:dyDescent="0.35">
      <c r="A89" s="1446" t="s">
        <v>11</v>
      </c>
      <c r="B89" s="1447"/>
      <c r="C89" s="1448"/>
      <c r="D89" s="603">
        <f>+D86+D87+D88</f>
        <v>593650.81499999994</v>
      </c>
    </row>
    <row r="90" spans="1:6" s="90" customFormat="1" x14ac:dyDescent="0.35">
      <c r="B90" s="1042"/>
      <c r="C90" s="553"/>
      <c r="D90" s="1051" t="s">
        <v>63</v>
      </c>
      <c r="F90" s="1042"/>
    </row>
    <row r="92" spans="1:6" ht="23.5" x14ac:dyDescent="0.35">
      <c r="A92" s="1431" t="s">
        <v>795</v>
      </c>
      <c r="B92" s="1431"/>
      <c r="C92" s="1431"/>
      <c r="D92" s="1431"/>
    </row>
    <row r="93" spans="1:6" x14ac:dyDescent="0.35">
      <c r="A93" s="2" t="s">
        <v>7</v>
      </c>
      <c r="B93" s="270" t="s">
        <v>8</v>
      </c>
      <c r="C93" s="217" t="s">
        <v>4</v>
      </c>
      <c r="D93" s="597" t="s">
        <v>9</v>
      </c>
    </row>
    <row r="94" spans="1:6" x14ac:dyDescent="0.35">
      <c r="A94" s="772" t="s">
        <v>3</v>
      </c>
      <c r="B94" s="258">
        <v>132</v>
      </c>
      <c r="C94" s="227">
        <v>1658</v>
      </c>
      <c r="D94" s="598">
        <f>+B94*C94</f>
        <v>218856</v>
      </c>
      <c r="E94" s="887"/>
      <c r="F94" s="564"/>
    </row>
    <row r="95" spans="1:6" x14ac:dyDescent="0.35">
      <c r="A95" s="772" t="s">
        <v>496</v>
      </c>
      <c r="B95" s="258">
        <v>0</v>
      </c>
      <c r="C95" s="227">
        <f>+C94</f>
        <v>1658</v>
      </c>
      <c r="D95" s="598">
        <f>+B95*C95</f>
        <v>0</v>
      </c>
      <c r="E95" s="887"/>
      <c r="F95" s="564"/>
    </row>
    <row r="96" spans="1:6" x14ac:dyDescent="0.35">
      <c r="A96" s="772" t="s">
        <v>200</v>
      </c>
      <c r="B96" s="258"/>
      <c r="C96" s="227">
        <v>15000</v>
      </c>
      <c r="D96" s="598">
        <f>+C96</f>
        <v>15000</v>
      </c>
      <c r="E96" s="887"/>
      <c r="F96" s="564"/>
    </row>
    <row r="97" spans="1:6" x14ac:dyDescent="0.35">
      <c r="A97" s="772" t="s">
        <v>6</v>
      </c>
      <c r="B97" s="258"/>
      <c r="C97" s="194">
        <v>35000</v>
      </c>
      <c r="D97" s="598">
        <f>+C97</f>
        <v>35000</v>
      </c>
      <c r="E97" s="887"/>
      <c r="F97" s="564"/>
    </row>
    <row r="98" spans="1:6" x14ac:dyDescent="0.35">
      <c r="A98" s="772" t="s">
        <v>270</v>
      </c>
      <c r="B98" s="258">
        <v>1.5</v>
      </c>
      <c r="C98" s="194">
        <f>+C94*1.5</f>
        <v>2487</v>
      </c>
      <c r="D98" s="598">
        <f>+B98*C98</f>
        <v>3730.5</v>
      </c>
      <c r="E98" s="887"/>
      <c r="F98" s="564"/>
    </row>
    <row r="99" spans="1:6" x14ac:dyDescent="0.35">
      <c r="A99" s="772" t="s">
        <v>281</v>
      </c>
      <c r="B99" s="258">
        <v>0</v>
      </c>
      <c r="C99" s="194">
        <f>+C94*2</f>
        <v>3316</v>
      </c>
      <c r="D99" s="598">
        <f>+B99*C99</f>
        <v>0</v>
      </c>
    </row>
    <row r="100" spans="1:6" x14ac:dyDescent="0.35">
      <c r="A100" s="772" t="s">
        <v>788</v>
      </c>
      <c r="B100" s="258">
        <v>0</v>
      </c>
      <c r="C100" s="194">
        <f>389475.5/2</f>
        <v>194737.75</v>
      </c>
      <c r="D100" s="598">
        <f>+C100</f>
        <v>194737.75</v>
      </c>
    </row>
    <row r="101" spans="1:6" x14ac:dyDescent="0.35">
      <c r="A101" s="1439" t="s">
        <v>99</v>
      </c>
      <c r="B101" s="1440"/>
      <c r="C101" s="1441"/>
      <c r="D101" s="599">
        <f>+D94+D95+D96+D97+D98+D99+D100</f>
        <v>467324.25</v>
      </c>
      <c r="E101" s="553"/>
    </row>
    <row r="102" spans="1:6" x14ac:dyDescent="0.35">
      <c r="A102" s="724" t="s">
        <v>19</v>
      </c>
      <c r="B102" s="729" t="s">
        <v>63</v>
      </c>
      <c r="C102" s="730" t="s">
        <v>63</v>
      </c>
      <c r="D102" s="731">
        <v>0</v>
      </c>
      <c r="E102" s="553" t="s">
        <v>63</v>
      </c>
    </row>
    <row r="103" spans="1:6" s="997" customFormat="1" ht="15.5" x14ac:dyDescent="0.35">
      <c r="A103" s="992"/>
      <c r="B103" s="993" t="s">
        <v>11</v>
      </c>
      <c r="C103" s="994"/>
      <c r="D103" s="995">
        <f>+D101+D102</f>
        <v>467324.25</v>
      </c>
      <c r="E103" s="1026" t="s">
        <v>63</v>
      </c>
      <c r="F103" s="1046"/>
    </row>
    <row r="104" spans="1:6" s="90" customFormat="1" x14ac:dyDescent="0.35">
      <c r="B104" s="1042"/>
      <c r="C104" s="553"/>
      <c r="D104" s="1051"/>
      <c r="F104" s="1042"/>
    </row>
    <row r="106" spans="1:6" ht="23.5" x14ac:dyDescent="0.35">
      <c r="A106" s="1442" t="s">
        <v>796</v>
      </c>
      <c r="B106" s="1443"/>
      <c r="C106" s="1443"/>
      <c r="D106" s="1444"/>
    </row>
    <row r="107" spans="1:6" x14ac:dyDescent="0.35">
      <c r="A107" s="2" t="s">
        <v>7</v>
      </c>
      <c r="B107" s="270" t="s">
        <v>8</v>
      </c>
      <c r="C107" s="217" t="s">
        <v>4</v>
      </c>
      <c r="D107" s="597" t="s">
        <v>9</v>
      </c>
    </row>
    <row r="108" spans="1:6" x14ac:dyDescent="0.35">
      <c r="A108" s="772" t="s">
        <v>3</v>
      </c>
      <c r="B108" s="258">
        <v>108.45</v>
      </c>
      <c r="C108" s="194">
        <v>2082</v>
      </c>
      <c r="D108" s="598">
        <f>+B108*C108</f>
        <v>225792.9</v>
      </c>
      <c r="E108" s="1049"/>
      <c r="F108" s="564"/>
    </row>
    <row r="109" spans="1:6" x14ac:dyDescent="0.35">
      <c r="A109" s="772" t="s">
        <v>504</v>
      </c>
      <c r="B109" s="258">
        <v>0</v>
      </c>
      <c r="C109" s="194">
        <f>+C108</f>
        <v>2082</v>
      </c>
      <c r="D109" s="609">
        <f>+B109*C109</f>
        <v>0</v>
      </c>
      <c r="E109" s="1049"/>
      <c r="F109" s="564"/>
    </row>
    <row r="110" spans="1:6" x14ac:dyDescent="0.35">
      <c r="A110" s="772" t="s">
        <v>6</v>
      </c>
      <c r="B110" s="258"/>
      <c r="C110" s="194">
        <v>35000</v>
      </c>
      <c r="D110" s="609">
        <f>+C110</f>
        <v>35000</v>
      </c>
      <c r="E110" s="1049"/>
      <c r="F110" s="564"/>
    </row>
    <row r="111" spans="1:6" x14ac:dyDescent="0.35">
      <c r="A111" s="614" t="s">
        <v>556</v>
      </c>
      <c r="B111" s="617"/>
      <c r="C111" s="227">
        <v>15000</v>
      </c>
      <c r="D111" s="609">
        <f>+C111</f>
        <v>15000</v>
      </c>
      <c r="E111" s="1049"/>
      <c r="F111" s="564"/>
    </row>
    <row r="112" spans="1:6" x14ac:dyDescent="0.35">
      <c r="A112" s="614" t="s">
        <v>788</v>
      </c>
      <c r="B112" s="617">
        <v>0</v>
      </c>
      <c r="C112" s="227">
        <f>389153/2</f>
        <v>194576.5</v>
      </c>
      <c r="D112" s="609">
        <f>+C112</f>
        <v>194576.5</v>
      </c>
      <c r="E112" s="1049"/>
      <c r="F112" s="564"/>
    </row>
    <row r="113" spans="1:6" s="764" customFormat="1" x14ac:dyDescent="0.35">
      <c r="A113" s="882" t="s">
        <v>99</v>
      </c>
      <c r="B113" s="883"/>
      <c r="C113" s="883"/>
      <c r="D113" s="1058">
        <f>+D108+D109+D110+D111+D112</f>
        <v>470369.4</v>
      </c>
      <c r="E113" s="768"/>
      <c r="F113" s="1044"/>
    </row>
    <row r="114" spans="1:6" x14ac:dyDescent="0.35">
      <c r="A114" s="962" t="s">
        <v>804</v>
      </c>
      <c r="B114" s="619"/>
      <c r="C114" s="619"/>
      <c r="D114" s="609">
        <v>-35169</v>
      </c>
      <c r="E114" s="553"/>
    </row>
    <row r="115" spans="1:6" x14ac:dyDescent="0.35">
      <c r="A115" s="962"/>
      <c r="B115" s="619"/>
      <c r="C115" s="619"/>
      <c r="D115" s="609">
        <f>+C115</f>
        <v>0</v>
      </c>
      <c r="E115" s="553"/>
    </row>
    <row r="116" spans="1:6" x14ac:dyDescent="0.35">
      <c r="A116" s="1059" t="s">
        <v>11</v>
      </c>
      <c r="B116" s="1060"/>
      <c r="C116" s="1061"/>
      <c r="D116" s="1058">
        <f>+D113+D114</f>
        <v>435200.4</v>
      </c>
      <c r="E116" s="553" t="s">
        <v>63</v>
      </c>
    </row>
    <row r="119" spans="1:6" ht="23.5" x14ac:dyDescent="0.35">
      <c r="A119" s="1442" t="s">
        <v>797</v>
      </c>
      <c r="B119" s="1443"/>
      <c r="C119" s="1443"/>
      <c r="D119" s="1444"/>
    </row>
    <row r="120" spans="1:6" x14ac:dyDescent="0.35">
      <c r="A120" s="2" t="s">
        <v>7</v>
      </c>
      <c r="B120" s="270" t="s">
        <v>388</v>
      </c>
      <c r="C120" s="217" t="s">
        <v>629</v>
      </c>
      <c r="D120" s="597" t="s">
        <v>9</v>
      </c>
    </row>
    <row r="121" spans="1:6" x14ac:dyDescent="0.35">
      <c r="A121" s="772" t="s">
        <v>3</v>
      </c>
      <c r="B121" s="258">
        <v>123.5</v>
      </c>
      <c r="C121" s="194">
        <v>2082</v>
      </c>
      <c r="D121" s="598">
        <f>+B121*C121</f>
        <v>257127</v>
      </c>
      <c r="E121" s="1049"/>
      <c r="F121" s="564"/>
    </row>
    <row r="122" spans="1:6" x14ac:dyDescent="0.35">
      <c r="A122" s="772" t="s">
        <v>798</v>
      </c>
      <c r="B122" s="258">
        <v>0</v>
      </c>
      <c r="C122" s="194">
        <f>+C121</f>
        <v>2082</v>
      </c>
      <c r="D122" s="609">
        <f>+B122*C122</f>
        <v>0</v>
      </c>
      <c r="E122" s="1049"/>
      <c r="F122" s="564"/>
    </row>
    <row r="123" spans="1:6" x14ac:dyDescent="0.35">
      <c r="A123" s="772" t="s">
        <v>556</v>
      </c>
      <c r="B123" s="258"/>
      <c r="C123" s="194">
        <v>15000</v>
      </c>
      <c r="D123" s="609">
        <f>+C123</f>
        <v>15000</v>
      </c>
      <c r="E123" s="1049"/>
      <c r="F123" s="564"/>
    </row>
    <row r="124" spans="1:6" x14ac:dyDescent="0.35">
      <c r="A124" s="772" t="s">
        <v>6</v>
      </c>
      <c r="B124" s="258"/>
      <c r="C124" s="194">
        <v>35000</v>
      </c>
      <c r="D124" s="609">
        <f>+C124</f>
        <v>35000</v>
      </c>
      <c r="E124" s="768"/>
      <c r="F124" s="564"/>
    </row>
    <row r="125" spans="1:6" x14ac:dyDescent="0.35">
      <c r="A125" s="614" t="s">
        <v>628</v>
      </c>
      <c r="B125" s="617">
        <v>3.95</v>
      </c>
      <c r="C125" s="227">
        <f>+C121*1.5</f>
        <v>3123</v>
      </c>
      <c r="D125" s="609">
        <f>+B125*C125</f>
        <v>12335.85</v>
      </c>
      <c r="E125" s="768"/>
      <c r="F125" s="564"/>
    </row>
    <row r="126" spans="1:6" x14ac:dyDescent="0.35">
      <c r="A126" s="614" t="s">
        <v>799</v>
      </c>
      <c r="B126" s="617"/>
      <c r="C126" s="227"/>
      <c r="D126" s="609">
        <v>11100</v>
      </c>
    </row>
    <row r="127" spans="1:6" x14ac:dyDescent="0.35">
      <c r="A127" s="614" t="s">
        <v>800</v>
      </c>
      <c r="B127" s="617"/>
      <c r="C127" s="227"/>
      <c r="D127" s="609">
        <v>30300</v>
      </c>
    </row>
    <row r="128" spans="1:6" x14ac:dyDescent="0.35">
      <c r="A128" s="614" t="s">
        <v>788</v>
      </c>
      <c r="B128" s="617">
        <v>0</v>
      </c>
      <c r="C128" s="227">
        <f>419413/2</f>
        <v>209706.5</v>
      </c>
      <c r="D128" s="609">
        <f>+C128</f>
        <v>209706.5</v>
      </c>
    </row>
    <row r="129" spans="1:5" x14ac:dyDescent="0.35">
      <c r="A129" s="882" t="s">
        <v>99</v>
      </c>
      <c r="B129" s="883"/>
      <c r="C129" s="883"/>
      <c r="D129" s="884">
        <f>+D121+D122+D123+D124+D125+D126+D127+D128</f>
        <v>570569.35</v>
      </c>
      <c r="E129" s="553"/>
    </row>
    <row r="130" spans="1:5" x14ac:dyDescent="0.35">
      <c r="A130" s="962" t="s">
        <v>19</v>
      </c>
      <c r="B130" s="619"/>
      <c r="C130" s="619"/>
      <c r="D130" s="730">
        <v>0</v>
      </c>
      <c r="E130" s="553" t="s">
        <v>63</v>
      </c>
    </row>
    <row r="131" spans="1:5" x14ac:dyDescent="0.35">
      <c r="A131" s="962"/>
      <c r="B131" s="619"/>
      <c r="C131" s="619"/>
      <c r="D131" s="730"/>
    </row>
    <row r="132" spans="1:5" ht="15.5" x14ac:dyDescent="0.35">
      <c r="A132" s="611" t="s">
        <v>11</v>
      </c>
      <c r="B132" s="612"/>
      <c r="C132" s="613"/>
      <c r="D132" s="603">
        <f>+D129+D130</f>
        <v>570569.35</v>
      </c>
      <c r="E132" s="553" t="s">
        <v>63</v>
      </c>
    </row>
    <row r="134" spans="1:5" ht="23.5" x14ac:dyDescent="0.55000000000000004">
      <c r="A134" s="1056" t="s">
        <v>805</v>
      </c>
      <c r="B134" s="964" t="s">
        <v>7</v>
      </c>
      <c r="C134" s="1052" t="s">
        <v>9</v>
      </c>
    </row>
    <row r="135" spans="1:5" x14ac:dyDescent="0.35">
      <c r="A135" s="585"/>
      <c r="B135" s="258" t="s">
        <v>10</v>
      </c>
      <c r="C135" s="194">
        <v>238900</v>
      </c>
    </row>
    <row r="136" spans="1:5" x14ac:dyDescent="0.35">
      <c r="B136" s="258" t="s">
        <v>16</v>
      </c>
      <c r="C136" s="194">
        <v>451600</v>
      </c>
      <c r="D136" s="203" t="s">
        <v>63</v>
      </c>
    </row>
    <row r="137" spans="1:5" x14ac:dyDescent="0.35">
      <c r="B137" s="258" t="s">
        <v>0</v>
      </c>
      <c r="C137" s="194">
        <v>452850</v>
      </c>
    </row>
    <row r="138" spans="1:5" x14ac:dyDescent="0.35">
      <c r="B138" s="258" t="s">
        <v>245</v>
      </c>
      <c r="C138" s="194">
        <v>469200</v>
      </c>
    </row>
    <row r="139" spans="1:5" x14ac:dyDescent="0.35">
      <c r="B139" s="258" t="s">
        <v>463</v>
      </c>
      <c r="C139" s="194">
        <v>593650</v>
      </c>
    </row>
    <row r="140" spans="1:5" x14ac:dyDescent="0.35">
      <c r="B140" s="258" t="s">
        <v>553</v>
      </c>
      <c r="C140" s="194">
        <v>467350</v>
      </c>
    </row>
    <row r="141" spans="1:5" x14ac:dyDescent="0.35">
      <c r="B141" s="258" t="s">
        <v>260</v>
      </c>
      <c r="C141" s="194">
        <v>435200</v>
      </c>
    </row>
    <row r="142" spans="1:5" x14ac:dyDescent="0.35">
      <c r="B142" s="258" t="s">
        <v>613</v>
      </c>
      <c r="C142" s="194">
        <v>570600</v>
      </c>
    </row>
    <row r="143" spans="1:5" x14ac:dyDescent="0.35">
      <c r="B143" s="274" t="s">
        <v>803</v>
      </c>
      <c r="C143" s="195">
        <f>SUM(C135:C142)</f>
        <v>3679350</v>
      </c>
      <c r="D143" s="203" t="s">
        <v>63</v>
      </c>
    </row>
    <row r="150" spans="2:3" x14ac:dyDescent="0.35">
      <c r="B150" s="258" t="s">
        <v>267</v>
      </c>
      <c r="C150" s="194">
        <v>512500</v>
      </c>
    </row>
  </sheetData>
  <mergeCells count="18">
    <mergeCell ref="A106:D106"/>
    <mergeCell ref="A119:D119"/>
    <mergeCell ref="A101:C101"/>
    <mergeCell ref="A71:C71"/>
    <mergeCell ref="A73:C73"/>
    <mergeCell ref="A76:D76"/>
    <mergeCell ref="A89:C89"/>
    <mergeCell ref="A92:D92"/>
    <mergeCell ref="A62:D62"/>
    <mergeCell ref="A3:D3"/>
    <mergeCell ref="A12:C12"/>
    <mergeCell ref="A15:C15"/>
    <mergeCell ref="A18:D18"/>
    <mergeCell ref="A26:C26"/>
    <mergeCell ref="A32:D32"/>
    <mergeCell ref="A42:C42"/>
    <mergeCell ref="A48:D48"/>
    <mergeCell ref="A57:C57"/>
  </mergeCells>
  <pageMargins left="0.31496062992125984" right="0.11811023622047245" top="0" bottom="0" header="0.31496062992125984" footer="0.31496062992125984"/>
  <pageSetup paperSize="9" scale="33" orientation="portrait" r:id="rId1"/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S146"/>
  <sheetViews>
    <sheetView topLeftCell="A25" zoomScaleNormal="100" workbookViewId="0">
      <selection activeCell="E10" sqref="E10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6328125" style="771" bestFit="1" customWidth="1"/>
    <col min="7" max="7" width="12.5429687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9" ht="36" x14ac:dyDescent="0.8">
      <c r="B1" s="937">
        <v>45474</v>
      </c>
    </row>
    <row r="3" spans="1:19" ht="25.5" customHeight="1" x14ac:dyDescent="0.35">
      <c r="A3" s="1431" t="s">
        <v>811</v>
      </c>
      <c r="B3" s="1431"/>
      <c r="C3" s="1431"/>
      <c r="D3" s="1431"/>
    </row>
    <row r="4" spans="1:19" s="1057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9" ht="18" customHeight="1" x14ac:dyDescent="0.35">
      <c r="A5" s="772" t="s">
        <v>3</v>
      </c>
      <c r="B5" s="258">
        <v>194</v>
      </c>
      <c r="C5" s="227">
        <v>2417</v>
      </c>
      <c r="D5" s="598">
        <f>+B5*C5</f>
        <v>468898</v>
      </c>
      <c r="E5" s="564" t="s">
        <v>820</v>
      </c>
      <c r="Q5" s="1057"/>
    </row>
    <row r="6" spans="1:19" ht="18" customHeight="1" x14ac:dyDescent="0.35">
      <c r="A6" s="772" t="s">
        <v>316</v>
      </c>
      <c r="B6" s="258">
        <v>8</v>
      </c>
      <c r="C6" s="227">
        <f>+C5</f>
        <v>2417</v>
      </c>
      <c r="D6" s="598">
        <f>+B6*C6</f>
        <v>19336</v>
      </c>
      <c r="E6" s="564"/>
      <c r="F6" s="176"/>
      <c r="Q6" s="774"/>
    </row>
    <row r="7" spans="1:19" ht="18" customHeight="1" x14ac:dyDescent="0.35">
      <c r="A7" s="772" t="s">
        <v>196</v>
      </c>
      <c r="B7" s="258"/>
      <c r="C7" s="227">
        <v>15000</v>
      </c>
      <c r="D7" s="598">
        <f>+C7</f>
        <v>15000</v>
      </c>
      <c r="E7" s="564"/>
      <c r="F7" s="176"/>
    </row>
    <row r="8" spans="1:19" ht="18" customHeight="1" x14ac:dyDescent="0.35">
      <c r="A8" s="772" t="s">
        <v>467</v>
      </c>
      <c r="B8" s="258">
        <v>4</v>
      </c>
      <c r="C8" s="194">
        <f>+C5*1.5</f>
        <v>3625.5</v>
      </c>
      <c r="D8" s="598">
        <f>+B8*C8</f>
        <v>14502</v>
      </c>
      <c r="E8" s="564"/>
      <c r="F8" s="176"/>
    </row>
    <row r="9" spans="1:19" ht="18" customHeight="1" x14ac:dyDescent="0.35">
      <c r="A9" s="772" t="s">
        <v>6</v>
      </c>
      <c r="B9" s="258"/>
      <c r="C9" s="194">
        <v>70000</v>
      </c>
      <c r="D9" s="598">
        <f>+C9</f>
        <v>70000</v>
      </c>
      <c r="F9" s="176"/>
      <c r="R9" s="1057"/>
    </row>
    <row r="10" spans="1:19" ht="18" customHeight="1" x14ac:dyDescent="0.35">
      <c r="A10" s="1432" t="s">
        <v>389</v>
      </c>
      <c r="B10" s="1432"/>
      <c r="C10" s="1432"/>
      <c r="D10" s="599">
        <f>+D5+D6+D7+D8+D9</f>
        <v>587736</v>
      </c>
      <c r="E10" s="553"/>
      <c r="F10" s="248"/>
      <c r="G10" s="248"/>
      <c r="H10" s="248"/>
      <c r="I10" s="248"/>
      <c r="J10" s="248"/>
      <c r="K10" s="248"/>
      <c r="L10" s="248"/>
      <c r="M10" s="248"/>
      <c r="O10" s="1057"/>
    </row>
    <row r="11" spans="1:19" ht="18" customHeight="1" x14ac:dyDescent="0.35">
      <c r="A11" s="1068" t="s">
        <v>818</v>
      </c>
      <c r="B11" s="1064"/>
      <c r="C11" s="1064"/>
      <c r="D11" s="599">
        <v>140000</v>
      </c>
      <c r="E11" s="553"/>
      <c r="F11" s="248"/>
      <c r="G11" s="248"/>
      <c r="H11" s="248"/>
      <c r="I11" s="248"/>
      <c r="J11" s="248"/>
      <c r="K11" s="248"/>
      <c r="L11" s="248"/>
      <c r="M11" s="248"/>
      <c r="O11" s="1062"/>
    </row>
    <row r="12" spans="1:19" ht="18" customHeight="1" x14ac:dyDescent="0.35">
      <c r="A12" s="800" t="s">
        <v>773</v>
      </c>
      <c r="B12" s="721"/>
      <c r="C12" s="905"/>
      <c r="D12" s="722">
        <v>-281214.99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057"/>
    </row>
    <row r="13" spans="1:19" ht="18" customHeight="1" x14ac:dyDescent="0.35">
      <c r="A13" s="1433" t="s">
        <v>11</v>
      </c>
      <c r="B13" s="1433"/>
      <c r="C13" s="1433"/>
      <c r="D13" s="603">
        <f>+D10+D11+D12</f>
        <v>446521.01</v>
      </c>
      <c r="F13" s="321"/>
      <c r="G13" s="321"/>
      <c r="H13" s="473"/>
      <c r="I13" s="321"/>
      <c r="J13" s="321"/>
      <c r="Q13" s="1057"/>
    </row>
    <row r="14" spans="1:19" ht="18" customHeight="1" x14ac:dyDescent="0.35">
      <c r="A14" s="1053"/>
      <c r="B14" s="1054"/>
      <c r="C14" s="1054"/>
      <c r="D14" s="1055"/>
      <c r="F14" s="321"/>
      <c r="G14" s="321"/>
      <c r="H14" s="473"/>
      <c r="I14" s="321"/>
      <c r="J14" s="321"/>
      <c r="Q14" s="1057"/>
    </row>
    <row r="15" spans="1:19" s="908" customFormat="1" ht="18" customHeight="1" x14ac:dyDescent="0.35">
      <c r="A15" s="689"/>
      <c r="B15" s="689"/>
      <c r="C15" s="689"/>
      <c r="D15" s="688"/>
      <c r="E15" s="1044"/>
      <c r="I15" s="910"/>
      <c r="J15" s="911"/>
      <c r="K15" s="912"/>
      <c r="L15" s="912"/>
      <c r="M15" s="910"/>
      <c r="N15" s="910"/>
      <c r="O15" s="910"/>
      <c r="P15" s="764"/>
      <c r="S15" s="764"/>
    </row>
    <row r="16" spans="1:19" ht="18" customHeight="1" x14ac:dyDescent="0.45">
      <c r="A16" s="1450" t="s">
        <v>810</v>
      </c>
      <c r="B16" s="1451"/>
      <c r="C16" s="1451"/>
      <c r="D16" s="1452"/>
      <c r="E16" s="1045"/>
      <c r="J16" s="185"/>
      <c r="K16" s="181"/>
      <c r="L16" s="181"/>
      <c r="M16" s="181"/>
      <c r="N16" s="181"/>
    </row>
    <row r="17" spans="1:13" ht="18" customHeight="1" x14ac:dyDescent="0.35">
      <c r="A17" s="604" t="s">
        <v>7</v>
      </c>
      <c r="B17" s="605" t="s">
        <v>8</v>
      </c>
      <c r="C17" s="606" t="s">
        <v>4</v>
      </c>
      <c r="D17" s="606" t="s">
        <v>9</v>
      </c>
      <c r="E17" s="564"/>
      <c r="J17" s="185"/>
      <c r="K17" s="181"/>
      <c r="L17" s="181"/>
      <c r="M17" s="184"/>
    </row>
    <row r="18" spans="1:13" ht="18" customHeight="1" x14ac:dyDescent="0.35">
      <c r="A18" s="607" t="s">
        <v>480</v>
      </c>
      <c r="B18" s="267">
        <v>194</v>
      </c>
      <c r="C18" s="211">
        <v>2165</v>
      </c>
      <c r="D18" s="211">
        <f>+B18*C18</f>
        <v>420010</v>
      </c>
      <c r="E18" s="564" t="s">
        <v>821</v>
      </c>
      <c r="J18" s="182"/>
    </row>
    <row r="19" spans="1:13" ht="18" customHeight="1" x14ac:dyDescent="0.35">
      <c r="A19" s="772" t="s">
        <v>318</v>
      </c>
      <c r="B19" s="267">
        <v>8</v>
      </c>
      <c r="C19" s="211">
        <f>+C18</f>
        <v>2165</v>
      </c>
      <c r="D19" s="211">
        <f>+B19*C19</f>
        <v>17320</v>
      </c>
      <c r="E19" s="564"/>
      <c r="F19" s="1057"/>
      <c r="G19" s="1057"/>
      <c r="H19" s="1057"/>
    </row>
    <row r="20" spans="1:13" ht="18" customHeight="1" x14ac:dyDescent="0.35">
      <c r="A20" s="772" t="s">
        <v>196</v>
      </c>
      <c r="B20" s="267"/>
      <c r="C20" s="211"/>
      <c r="D20" s="211">
        <v>15000</v>
      </c>
      <c r="E20" s="564"/>
      <c r="I20" s="1057"/>
    </row>
    <row r="21" spans="1:13" ht="18" customHeight="1" x14ac:dyDescent="0.35">
      <c r="A21" s="772" t="s">
        <v>6</v>
      </c>
      <c r="B21" s="267"/>
      <c r="C21" s="211">
        <v>50000</v>
      </c>
      <c r="D21" s="211">
        <f>+C21</f>
        <v>50000</v>
      </c>
      <c r="E21" s="564"/>
      <c r="I21" s="1057"/>
    </row>
    <row r="22" spans="1:13" ht="18" customHeight="1" x14ac:dyDescent="0.35">
      <c r="A22" s="772" t="s">
        <v>468</v>
      </c>
      <c r="B22" s="267">
        <v>10</v>
      </c>
      <c r="C22" s="211">
        <f>+C18*1.5</f>
        <v>3247.5</v>
      </c>
      <c r="D22" s="211">
        <f>B22*C22</f>
        <v>32475</v>
      </c>
      <c r="E22" s="1043"/>
      <c r="F22" s="181"/>
      <c r="G22" s="187"/>
      <c r="H22" s="188"/>
      <c r="I22" s="1057"/>
      <c r="L22" s="1057"/>
    </row>
    <row r="23" spans="1:13" s="1057" customFormat="1" ht="18" customHeight="1" x14ac:dyDescent="0.35">
      <c r="A23" s="1463" t="s">
        <v>389</v>
      </c>
      <c r="B23" s="1464"/>
      <c r="C23" s="1465"/>
      <c r="D23" s="599">
        <f>+D18+D19+D20+D21+D22</f>
        <v>534805</v>
      </c>
      <c r="E23" s="553"/>
      <c r="F23" s="181"/>
      <c r="G23" s="181"/>
      <c r="H23" s="184"/>
      <c r="I23" s="771"/>
      <c r="K23" s="771"/>
      <c r="L23" s="771"/>
    </row>
    <row r="24" spans="1:13" s="1063" customFormat="1" ht="18" customHeight="1" x14ac:dyDescent="0.35">
      <c r="A24" s="129" t="s">
        <v>818</v>
      </c>
      <c r="B24" s="749"/>
      <c r="C24" s="1072" t="s">
        <v>63</v>
      </c>
      <c r="D24" s="749">
        <v>100000</v>
      </c>
      <c r="E24" s="553"/>
      <c r="F24" s="184"/>
      <c r="G24" s="184"/>
      <c r="H24" s="184"/>
      <c r="I24" s="90"/>
      <c r="K24" s="90"/>
      <c r="L24" s="90"/>
    </row>
    <row r="25" spans="1:13" s="1057" customFormat="1" ht="18" customHeight="1" x14ac:dyDescent="0.35">
      <c r="A25" s="825" t="s">
        <v>802</v>
      </c>
      <c r="B25" s="824" t="s">
        <v>63</v>
      </c>
      <c r="C25" s="823"/>
      <c r="D25" s="930">
        <v>-150000</v>
      </c>
      <c r="E25" s="1042"/>
      <c r="F25" s="181"/>
      <c r="G25" s="181"/>
      <c r="H25" s="184"/>
      <c r="I25" s="771"/>
      <c r="K25" s="771"/>
      <c r="L25" s="771"/>
    </row>
    <row r="26" spans="1:13" ht="18" customHeight="1" x14ac:dyDescent="0.35">
      <c r="A26" s="786" t="s">
        <v>11</v>
      </c>
      <c r="B26" s="783"/>
      <c r="C26" s="783"/>
      <c r="D26" s="784">
        <f>+D23+D24+D25</f>
        <v>484805</v>
      </c>
      <c r="F26" s="181"/>
      <c r="G26" s="181"/>
      <c r="H26" s="184"/>
    </row>
    <row r="27" spans="1:13" ht="18" customHeight="1" x14ac:dyDescent="0.35">
      <c r="A27" s="1047"/>
      <c r="B27" s="594"/>
      <c r="C27" s="594"/>
      <c r="D27" s="595"/>
      <c r="F27" s="181"/>
      <c r="G27" s="181"/>
      <c r="H27" s="184"/>
    </row>
    <row r="28" spans="1:13" ht="18" customHeight="1" x14ac:dyDescent="0.35">
      <c r="A28" s="594"/>
      <c r="B28" s="594"/>
      <c r="C28" s="594"/>
      <c r="D28" s="595"/>
      <c r="F28" s="181"/>
      <c r="G28" s="181"/>
      <c r="H28" s="184"/>
    </row>
    <row r="29" spans="1:13" ht="18" customHeight="1" x14ac:dyDescent="0.35">
      <c r="A29" s="1442" t="s">
        <v>809</v>
      </c>
      <c r="B29" s="1443"/>
      <c r="C29" s="1443"/>
      <c r="D29" s="1444"/>
      <c r="F29" s="181"/>
      <c r="G29" s="181"/>
      <c r="H29" s="184"/>
    </row>
    <row r="30" spans="1:13" ht="18" customHeight="1" x14ac:dyDescent="0.35">
      <c r="A30" s="2"/>
      <c r="B30" s="270" t="s">
        <v>8</v>
      </c>
      <c r="C30" s="217" t="s">
        <v>4</v>
      </c>
      <c r="D30" s="597" t="s">
        <v>9</v>
      </c>
      <c r="F30" s="181"/>
      <c r="G30" s="181"/>
      <c r="H30" s="184"/>
    </row>
    <row r="31" spans="1:13" ht="18" customHeight="1" x14ac:dyDescent="0.35">
      <c r="A31" s="772" t="s">
        <v>253</v>
      </c>
      <c r="B31" s="258">
        <v>194</v>
      </c>
      <c r="C31" s="194">
        <v>3288</v>
      </c>
      <c r="D31" s="598">
        <f>+B31*C31</f>
        <v>637872</v>
      </c>
      <c r="E31" s="564" t="s">
        <v>362</v>
      </c>
      <c r="F31" s="181"/>
      <c r="G31" s="181"/>
      <c r="H31" s="184"/>
    </row>
    <row r="32" spans="1:13" ht="18" customHeight="1" x14ac:dyDescent="0.35">
      <c r="A32" s="772" t="s">
        <v>520</v>
      </c>
      <c r="B32" s="258">
        <v>8</v>
      </c>
      <c r="C32" s="194">
        <f>+C31</f>
        <v>3288</v>
      </c>
      <c r="D32" s="598">
        <f>+B32*C32</f>
        <v>26304</v>
      </c>
      <c r="E32" s="564"/>
      <c r="F32" s="181"/>
      <c r="G32" s="181"/>
      <c r="H32" s="184"/>
    </row>
    <row r="33" spans="1:19" ht="15" customHeight="1" x14ac:dyDescent="0.35">
      <c r="A33" s="772" t="s">
        <v>196</v>
      </c>
      <c r="B33" s="258"/>
      <c r="C33" s="194">
        <v>15000</v>
      </c>
      <c r="D33" s="598">
        <f>+C33</f>
        <v>15000</v>
      </c>
      <c r="E33" s="564"/>
      <c r="F33" s="181"/>
      <c r="G33" s="181"/>
      <c r="H33" s="184"/>
      <c r="I33" s="1057"/>
    </row>
    <row r="34" spans="1:19" ht="15" customHeight="1" x14ac:dyDescent="0.35">
      <c r="A34" s="772" t="s">
        <v>6</v>
      </c>
      <c r="B34" s="258"/>
      <c r="C34" s="194">
        <v>70000</v>
      </c>
      <c r="D34" s="598">
        <f>+C34</f>
        <v>70000</v>
      </c>
      <c r="E34" s="564"/>
      <c r="F34" s="181"/>
      <c r="G34" s="181"/>
      <c r="H34" s="184"/>
      <c r="I34" s="1057"/>
    </row>
    <row r="35" spans="1:19" ht="15" customHeight="1" x14ac:dyDescent="0.35">
      <c r="A35" s="772" t="s">
        <v>195</v>
      </c>
      <c r="B35" s="315">
        <v>8</v>
      </c>
      <c r="C35" s="194">
        <f>+C31*1.5</f>
        <v>4932</v>
      </c>
      <c r="D35" s="598">
        <f>+B35*C35</f>
        <v>39456</v>
      </c>
      <c r="F35" s="181"/>
      <c r="G35" s="181"/>
      <c r="H35" s="184"/>
      <c r="I35" s="1057"/>
    </row>
    <row r="36" spans="1:19" ht="15" customHeight="1" x14ac:dyDescent="0.35">
      <c r="A36" s="772" t="s">
        <v>449</v>
      </c>
      <c r="B36" s="315">
        <v>0</v>
      </c>
      <c r="C36" s="194">
        <f>+C31*2</f>
        <v>6576</v>
      </c>
      <c r="D36" s="598">
        <f>+B36*C36</f>
        <v>0</v>
      </c>
      <c r="F36" s="181"/>
      <c r="G36" s="181"/>
      <c r="H36" s="184"/>
      <c r="I36" s="1057"/>
    </row>
    <row r="37" spans="1:19" ht="15" customHeight="1" x14ac:dyDescent="0.35">
      <c r="A37" s="1439" t="s">
        <v>389</v>
      </c>
      <c r="B37" s="1440"/>
      <c r="C37" s="1441"/>
      <c r="D37" s="599">
        <f>+D31+D32+D33+D34+D35+D36</f>
        <v>788632</v>
      </c>
      <c r="E37" s="553"/>
      <c r="J37" s="176"/>
      <c r="K37" s="176"/>
      <c r="L37" s="176"/>
      <c r="M37" s="181"/>
      <c r="N37" s="181"/>
      <c r="O37" s="184"/>
      <c r="Q37" s="1057"/>
    </row>
    <row r="38" spans="1:19" ht="15" customHeight="1" x14ac:dyDescent="0.35">
      <c r="A38" s="1065" t="s">
        <v>822</v>
      </c>
      <c r="B38" s="1066"/>
      <c r="C38" s="1067"/>
      <c r="D38" s="599">
        <v>160000</v>
      </c>
      <c r="E38" s="553"/>
      <c r="J38" s="176"/>
      <c r="K38" s="176"/>
      <c r="L38" s="176"/>
      <c r="M38" s="181"/>
      <c r="N38" s="181"/>
      <c r="O38" s="184"/>
      <c r="Q38" s="1062"/>
    </row>
    <row r="39" spans="1:19" s="1057" customFormat="1" ht="15" customHeight="1" x14ac:dyDescent="0.35">
      <c r="A39" s="723" t="s">
        <v>630</v>
      </c>
      <c r="B39" s="727" t="s">
        <v>63</v>
      </c>
      <c r="C39" s="727" t="s">
        <v>63</v>
      </c>
      <c r="D39" s="722">
        <v>-289176.74</v>
      </c>
      <c r="E39" s="1043"/>
      <c r="F39" s="771"/>
      <c r="G39" s="771"/>
      <c r="H39" s="771"/>
      <c r="I39" s="771"/>
      <c r="J39" s="176"/>
      <c r="K39" s="176"/>
      <c r="L39" s="176"/>
      <c r="M39" s="176"/>
      <c r="N39" s="176"/>
      <c r="O39" s="176"/>
      <c r="P39" s="771"/>
      <c r="Q39" s="771"/>
      <c r="R39" s="771"/>
      <c r="S39" s="771"/>
    </row>
    <row r="40" spans="1:19" s="1057" customFormat="1" ht="15" customHeight="1" x14ac:dyDescent="0.35">
      <c r="A40" s="672"/>
      <c r="B40" s="673" t="s">
        <v>11</v>
      </c>
      <c r="C40" s="674"/>
      <c r="D40" s="675">
        <f>+D37+D38+D39</f>
        <v>659455.26</v>
      </c>
      <c r="E40" s="1043"/>
      <c r="F40" s="771"/>
      <c r="G40" s="771"/>
      <c r="H40" s="771"/>
      <c r="I40" s="771"/>
      <c r="J40" s="176"/>
      <c r="K40" s="176"/>
      <c r="L40" s="176"/>
      <c r="M40" s="176"/>
      <c r="N40" s="176"/>
      <c r="O40" s="176"/>
      <c r="P40" s="771"/>
      <c r="Q40" s="771"/>
      <c r="R40" s="771"/>
      <c r="S40" s="771"/>
    </row>
    <row r="41" spans="1:19" ht="15" customHeight="1" x14ac:dyDescent="0.35">
      <c r="A41" s="90"/>
      <c r="B41" s="771"/>
      <c r="C41" s="771"/>
      <c r="D41" s="771"/>
      <c r="K41" s="183"/>
      <c r="L41" s="183"/>
      <c r="M41" s="176"/>
      <c r="N41" s="176"/>
      <c r="O41" s="176"/>
      <c r="Q41" s="1057"/>
    </row>
    <row r="42" spans="1:19" ht="15" customHeight="1" x14ac:dyDescent="0.35">
      <c r="B42" s="771"/>
      <c r="C42" s="771"/>
      <c r="D42" s="774" t="s">
        <v>63</v>
      </c>
    </row>
    <row r="43" spans="1:19" ht="15" customHeight="1" x14ac:dyDescent="0.35">
      <c r="A43" s="1442" t="s">
        <v>843</v>
      </c>
      <c r="B43" s="1443"/>
      <c r="C43" s="1443"/>
      <c r="D43" s="1444"/>
      <c r="S43" s="1057"/>
    </row>
    <row r="44" spans="1:19" x14ac:dyDescent="0.35">
      <c r="A44" s="2" t="s">
        <v>7</v>
      </c>
      <c r="B44" s="270" t="s">
        <v>8</v>
      </c>
      <c r="C44" s="217" t="s">
        <v>4</v>
      </c>
      <c r="D44" s="597" t="s">
        <v>9</v>
      </c>
    </row>
    <row r="45" spans="1:19" x14ac:dyDescent="0.35">
      <c r="A45" s="772" t="s">
        <v>501</v>
      </c>
      <c r="B45" s="258">
        <v>194</v>
      </c>
      <c r="C45" s="227">
        <v>2295</v>
      </c>
      <c r="D45" s="598">
        <f>+B45*C45</f>
        <v>445230</v>
      </c>
      <c r="E45" s="564" t="s">
        <v>509</v>
      </c>
    </row>
    <row r="46" spans="1:19" x14ac:dyDescent="0.35">
      <c r="A46" s="772" t="s">
        <v>806</v>
      </c>
      <c r="B46" s="258">
        <v>8</v>
      </c>
      <c r="C46" s="227">
        <f>+C45</f>
        <v>2295</v>
      </c>
      <c r="D46" s="598">
        <f>+B46*C46</f>
        <v>18360</v>
      </c>
      <c r="E46" s="564"/>
    </row>
    <row r="47" spans="1:19" x14ac:dyDescent="0.35">
      <c r="A47" s="772" t="s">
        <v>490</v>
      </c>
      <c r="B47" s="258"/>
      <c r="C47" s="227">
        <v>15000</v>
      </c>
      <c r="D47" s="598">
        <f>+C47</f>
        <v>15000</v>
      </c>
      <c r="E47" s="564"/>
    </row>
    <row r="48" spans="1:19" x14ac:dyDescent="0.35">
      <c r="A48" s="772" t="s">
        <v>489</v>
      </c>
      <c r="B48" s="258"/>
      <c r="C48" s="227">
        <v>50000</v>
      </c>
      <c r="D48" s="598">
        <f>+C48</f>
        <v>50000</v>
      </c>
      <c r="E48" s="564"/>
    </row>
    <row r="49" spans="1:5" x14ac:dyDescent="0.35">
      <c r="A49" s="772" t="s">
        <v>195</v>
      </c>
      <c r="B49" s="258">
        <v>4</v>
      </c>
      <c r="C49" s="194">
        <f>+C45*1.5</f>
        <v>3442.5</v>
      </c>
      <c r="D49" s="598">
        <f>+B49*C49</f>
        <v>13770</v>
      </c>
      <c r="E49" s="564"/>
    </row>
    <row r="50" spans="1:5" x14ac:dyDescent="0.35">
      <c r="A50" s="772" t="s">
        <v>449</v>
      </c>
      <c r="B50" s="258">
        <v>0</v>
      </c>
      <c r="C50" s="194">
        <f>+C45*2</f>
        <v>4590</v>
      </c>
      <c r="D50" s="598">
        <f>+B50*C50</f>
        <v>0</v>
      </c>
    </row>
    <row r="51" spans="1:5" x14ac:dyDescent="0.35">
      <c r="A51" s="1439" t="s">
        <v>99</v>
      </c>
      <c r="B51" s="1440"/>
      <c r="C51" s="1441"/>
      <c r="D51" s="599">
        <f>+D45+D46+D47+D48+D49+D50</f>
        <v>542360</v>
      </c>
    </row>
    <row r="52" spans="1:5" x14ac:dyDescent="0.35">
      <c r="A52" s="921" t="s">
        <v>819</v>
      </c>
      <c r="B52" s="922">
        <f>+D45+D46+D47+D48</f>
        <v>528590</v>
      </c>
      <c r="C52" s="720"/>
      <c r="D52" s="722">
        <f>-B52*0.1</f>
        <v>-52859</v>
      </c>
    </row>
    <row r="53" spans="1:5" x14ac:dyDescent="0.35">
      <c r="A53" s="672"/>
      <c r="B53" s="673" t="s">
        <v>11</v>
      </c>
      <c r="C53" s="674"/>
      <c r="D53" s="675">
        <f>+D51+D52</f>
        <v>489501</v>
      </c>
    </row>
    <row r="54" spans="1:5" x14ac:dyDescent="0.35">
      <c r="B54" s="771"/>
      <c r="C54" s="771"/>
      <c r="D54" s="771"/>
    </row>
    <row r="56" spans="1:5" ht="23.5" x14ac:dyDescent="0.35">
      <c r="A56" s="1442" t="s">
        <v>808</v>
      </c>
      <c r="B56" s="1443"/>
      <c r="C56" s="1443"/>
      <c r="D56" s="1444"/>
    </row>
    <row r="57" spans="1:5" x14ac:dyDescent="0.35">
      <c r="A57" s="2" t="s">
        <v>7</v>
      </c>
      <c r="B57" s="270" t="s">
        <v>8</v>
      </c>
      <c r="C57" s="217" t="s">
        <v>4</v>
      </c>
      <c r="D57" s="597" t="s">
        <v>63</v>
      </c>
    </row>
    <row r="58" spans="1:5" x14ac:dyDescent="0.35">
      <c r="A58" s="772" t="s">
        <v>3</v>
      </c>
      <c r="B58" s="258">
        <v>185</v>
      </c>
      <c r="C58" s="227">
        <v>1907</v>
      </c>
      <c r="D58" s="598">
        <f>+B58*C58</f>
        <v>352795</v>
      </c>
      <c r="E58" s="564" t="s">
        <v>365</v>
      </c>
    </row>
    <row r="59" spans="1:5" x14ac:dyDescent="0.35">
      <c r="A59" s="772" t="s">
        <v>316</v>
      </c>
      <c r="B59" s="258">
        <v>8</v>
      </c>
      <c r="C59" s="227">
        <f>+C58</f>
        <v>1907</v>
      </c>
      <c r="D59" s="598">
        <f>+B59*C59</f>
        <v>15256</v>
      </c>
      <c r="E59" s="564"/>
    </row>
    <row r="60" spans="1:5" x14ac:dyDescent="0.35">
      <c r="A60" s="772" t="s">
        <v>807</v>
      </c>
      <c r="B60" s="258">
        <v>8</v>
      </c>
      <c r="C60" s="227">
        <f>+C58</f>
        <v>1907</v>
      </c>
      <c r="D60" s="598">
        <f>+B60*C60</f>
        <v>15256</v>
      </c>
      <c r="E60" s="564"/>
    </row>
    <row r="61" spans="1:5" x14ac:dyDescent="0.35">
      <c r="A61" s="772" t="s">
        <v>196</v>
      </c>
      <c r="B61" s="258"/>
      <c r="C61" s="227">
        <v>7500</v>
      </c>
      <c r="D61" s="598">
        <f>+C61</f>
        <v>7500</v>
      </c>
      <c r="E61" s="564"/>
    </row>
    <row r="62" spans="1:5" x14ac:dyDescent="0.35">
      <c r="A62" s="772" t="s">
        <v>6</v>
      </c>
      <c r="B62" s="258"/>
      <c r="C62" s="227">
        <v>35000</v>
      </c>
      <c r="D62" s="598">
        <f>+C62</f>
        <v>35000</v>
      </c>
      <c r="E62" s="564"/>
    </row>
    <row r="63" spans="1:5" s="1069" customFormat="1" x14ac:dyDescent="0.35">
      <c r="A63" s="614" t="s">
        <v>270</v>
      </c>
      <c r="B63" s="617">
        <v>4</v>
      </c>
      <c r="C63" s="227">
        <f>+C58*1.5</f>
        <v>2860.5</v>
      </c>
      <c r="D63" s="598">
        <f>+B63*C63</f>
        <v>11442</v>
      </c>
      <c r="E63" s="564"/>
    </row>
    <row r="64" spans="1:5" x14ac:dyDescent="0.35">
      <c r="A64" s="772" t="s">
        <v>281</v>
      </c>
      <c r="B64" s="258">
        <v>0</v>
      </c>
      <c r="C64" s="227">
        <f>+C58*2</f>
        <v>3814</v>
      </c>
      <c r="D64" s="598">
        <f>+B64*C64</f>
        <v>0</v>
      </c>
    </row>
    <row r="65" spans="1:6" x14ac:dyDescent="0.35">
      <c r="A65" s="1439" t="s">
        <v>389</v>
      </c>
      <c r="B65" s="1440"/>
      <c r="C65" s="1441"/>
      <c r="D65" s="599">
        <f>+D58+D59+D60+D61+D62+D63+D64</f>
        <v>437249</v>
      </c>
      <c r="F65" s="774"/>
    </row>
    <row r="66" spans="1:6" x14ac:dyDescent="0.35">
      <c r="A66" s="1065" t="s">
        <v>818</v>
      </c>
      <c r="B66" s="1066"/>
      <c r="C66" s="1067"/>
      <c r="D66" s="599">
        <v>80000</v>
      </c>
      <c r="F66" s="774"/>
    </row>
    <row r="67" spans="1:6" x14ac:dyDescent="0.35">
      <c r="A67" s="723" t="s">
        <v>50</v>
      </c>
      <c r="B67" s="721"/>
      <c r="C67" s="721"/>
      <c r="D67" s="722">
        <v>-80000</v>
      </c>
      <c r="E67" s="553"/>
    </row>
    <row r="68" spans="1:6" x14ac:dyDescent="0.35">
      <c r="A68" s="872"/>
      <c r="B68" s="958"/>
      <c r="C68" s="959"/>
      <c r="D68" s="722">
        <v>0</v>
      </c>
    </row>
    <row r="69" spans="1:6" ht="15.5" x14ac:dyDescent="0.35">
      <c r="A69" s="1446" t="s">
        <v>11</v>
      </c>
      <c r="B69" s="1447"/>
      <c r="C69" s="1448"/>
      <c r="D69" s="603">
        <f>+D65+D66+D67+D68</f>
        <v>437249</v>
      </c>
      <c r="E69" s="553"/>
    </row>
    <row r="70" spans="1:6" s="90" customFormat="1" x14ac:dyDescent="0.35">
      <c r="A70" s="1035"/>
      <c r="B70" s="1042"/>
      <c r="C70" s="553"/>
      <c r="D70" s="1051"/>
      <c r="E70" s="1042"/>
    </row>
    <row r="72" spans="1:6" ht="23.5" x14ac:dyDescent="0.35">
      <c r="A72" s="1442" t="s">
        <v>812</v>
      </c>
      <c r="B72" s="1443"/>
      <c r="C72" s="1443"/>
      <c r="D72" s="1444"/>
    </row>
    <row r="73" spans="1:6" x14ac:dyDescent="0.35">
      <c r="A73" s="2" t="s">
        <v>7</v>
      </c>
      <c r="B73" s="270" t="s">
        <v>388</v>
      </c>
      <c r="C73" s="217" t="s">
        <v>272</v>
      </c>
      <c r="D73" s="597" t="s">
        <v>9</v>
      </c>
    </row>
    <row r="74" spans="1:6" x14ac:dyDescent="0.35">
      <c r="A74" s="772" t="s">
        <v>3</v>
      </c>
      <c r="B74" s="258">
        <v>194</v>
      </c>
      <c r="C74" s="227">
        <v>2175</v>
      </c>
      <c r="D74" s="598">
        <f>+B74*C74</f>
        <v>421950</v>
      </c>
      <c r="E74" s="1048" t="s">
        <v>365</v>
      </c>
    </row>
    <row r="75" spans="1:6" x14ac:dyDescent="0.35">
      <c r="A75" s="772" t="s">
        <v>316</v>
      </c>
      <c r="B75" s="258">
        <v>8</v>
      </c>
      <c r="C75" s="227">
        <f>+C74</f>
        <v>2175</v>
      </c>
      <c r="D75" s="598">
        <f>+B75*C75</f>
        <v>17400</v>
      </c>
      <c r="E75" s="564"/>
    </row>
    <row r="76" spans="1:6" x14ac:dyDescent="0.35">
      <c r="A76" s="772" t="s">
        <v>6</v>
      </c>
      <c r="B76" s="258"/>
      <c r="C76" s="227">
        <v>50000</v>
      </c>
      <c r="D76" s="598">
        <f>+C76</f>
        <v>50000</v>
      </c>
      <c r="E76" s="564"/>
    </row>
    <row r="77" spans="1:6" x14ac:dyDescent="0.35">
      <c r="A77" s="772" t="s">
        <v>200</v>
      </c>
      <c r="B77" s="258"/>
      <c r="C77" s="227">
        <v>15000</v>
      </c>
      <c r="D77" s="598">
        <f>+C77</f>
        <v>15000</v>
      </c>
      <c r="E77" s="564"/>
    </row>
    <row r="78" spans="1:6" x14ac:dyDescent="0.35">
      <c r="A78" s="772" t="s">
        <v>475</v>
      </c>
      <c r="B78" s="258">
        <v>4</v>
      </c>
      <c r="C78" s="227">
        <f>+C74*1.5</f>
        <v>3262.5</v>
      </c>
      <c r="D78" s="811">
        <f>+B78*C78</f>
        <v>13050</v>
      </c>
      <c r="E78" s="564"/>
    </row>
    <row r="79" spans="1:6" x14ac:dyDescent="0.35">
      <c r="A79" s="772" t="s">
        <v>757</v>
      </c>
      <c r="B79" s="258">
        <v>0</v>
      </c>
      <c r="C79" s="227">
        <f>+C74*2</f>
        <v>4350</v>
      </c>
      <c r="D79" s="598">
        <f>+B79*C79</f>
        <v>0</v>
      </c>
    </row>
    <row r="80" spans="1:6" x14ac:dyDescent="0.35">
      <c r="A80" s="1036" t="s">
        <v>389</v>
      </c>
      <c r="B80" s="681"/>
      <c r="C80" s="1037"/>
      <c r="D80" s="1038">
        <f>+D74+D75+D76+D77+D78+D79</f>
        <v>517400</v>
      </c>
    </row>
    <row r="81" spans="1:5" x14ac:dyDescent="0.35">
      <c r="A81" s="1036" t="s">
        <v>818</v>
      </c>
      <c r="B81" s="681"/>
      <c r="C81" s="1037"/>
      <c r="D81" s="1038">
        <v>80000</v>
      </c>
    </row>
    <row r="82" spans="1:5" x14ac:dyDescent="0.35">
      <c r="A82" s="772" t="s">
        <v>19</v>
      </c>
      <c r="B82" s="258"/>
      <c r="C82" s="227"/>
      <c r="D82" s="731">
        <v>-60000</v>
      </c>
    </row>
    <row r="83" spans="1:5" ht="15.5" x14ac:dyDescent="0.35">
      <c r="A83" s="1446" t="s">
        <v>11</v>
      </c>
      <c r="B83" s="1447"/>
      <c r="C83" s="1448"/>
      <c r="D83" s="603">
        <f>+D80+D81+D82</f>
        <v>537400</v>
      </c>
      <c r="E83" s="553"/>
    </row>
    <row r="84" spans="1:5" s="90" customFormat="1" x14ac:dyDescent="0.35">
      <c r="B84" s="1042"/>
      <c r="C84" s="553"/>
      <c r="D84" s="1051" t="s">
        <v>63</v>
      </c>
      <c r="E84" s="1042"/>
    </row>
    <row r="86" spans="1:5" ht="23.5" x14ac:dyDescent="0.35">
      <c r="A86" s="1431" t="s">
        <v>813</v>
      </c>
      <c r="B86" s="1431"/>
      <c r="C86" s="1431"/>
      <c r="D86" s="1431"/>
    </row>
    <row r="87" spans="1:5" x14ac:dyDescent="0.35">
      <c r="A87" s="2" t="s">
        <v>7</v>
      </c>
      <c r="B87" s="270" t="s">
        <v>8</v>
      </c>
      <c r="C87" s="217" t="s">
        <v>4</v>
      </c>
      <c r="D87" s="597" t="s">
        <v>9</v>
      </c>
    </row>
    <row r="88" spans="1:5" x14ac:dyDescent="0.35">
      <c r="A88" s="772" t="s">
        <v>3</v>
      </c>
      <c r="B88" s="258">
        <v>194</v>
      </c>
      <c r="C88" s="227">
        <v>1907</v>
      </c>
      <c r="D88" s="598">
        <f>+B88*C88</f>
        <v>369958</v>
      </c>
      <c r="E88" s="564" t="s">
        <v>365</v>
      </c>
    </row>
    <row r="89" spans="1:5" x14ac:dyDescent="0.35">
      <c r="A89" s="772" t="s">
        <v>519</v>
      </c>
      <c r="B89" s="258">
        <v>8</v>
      </c>
      <c r="C89" s="227">
        <f>+C88</f>
        <v>1907</v>
      </c>
      <c r="D89" s="598">
        <f>+B89*C89</f>
        <v>15256</v>
      </c>
      <c r="E89" s="564"/>
    </row>
    <row r="90" spans="1:5" x14ac:dyDescent="0.35">
      <c r="A90" s="772" t="s">
        <v>200</v>
      </c>
      <c r="B90" s="258"/>
      <c r="C90" s="227">
        <v>15000</v>
      </c>
      <c r="D90" s="598">
        <f>+C90</f>
        <v>15000</v>
      </c>
      <c r="E90" s="564"/>
    </row>
    <row r="91" spans="1:5" x14ac:dyDescent="0.35">
      <c r="A91" s="772" t="s">
        <v>6</v>
      </c>
      <c r="B91" s="258"/>
      <c r="C91" s="194">
        <v>35000</v>
      </c>
      <c r="D91" s="598">
        <f>+C91</f>
        <v>35000</v>
      </c>
      <c r="E91" s="564"/>
    </row>
    <row r="92" spans="1:5" x14ac:dyDescent="0.35">
      <c r="A92" s="772" t="s">
        <v>270</v>
      </c>
      <c r="B92" s="258">
        <v>9.5</v>
      </c>
      <c r="C92" s="194">
        <f>+C88*1.5</f>
        <v>2860.5</v>
      </c>
      <c r="D92" s="598">
        <f>+B92*C92</f>
        <v>27174.75</v>
      </c>
      <c r="E92" s="564"/>
    </row>
    <row r="93" spans="1:5" x14ac:dyDescent="0.35">
      <c r="A93" s="772" t="s">
        <v>281</v>
      </c>
      <c r="B93" s="258">
        <v>0</v>
      </c>
      <c r="C93" s="194">
        <f>+C88*2</f>
        <v>3814</v>
      </c>
      <c r="D93" s="598">
        <f>+B93*C93</f>
        <v>0</v>
      </c>
    </row>
    <row r="94" spans="1:5" x14ac:dyDescent="0.35">
      <c r="A94" s="1439" t="s">
        <v>389</v>
      </c>
      <c r="B94" s="1440"/>
      <c r="C94" s="1441"/>
      <c r="D94" s="599">
        <f>+D88+D89+D90+D91+D92+D93</f>
        <v>462388.75</v>
      </c>
    </row>
    <row r="95" spans="1:5" x14ac:dyDescent="0.35">
      <c r="A95" s="1065" t="s">
        <v>818</v>
      </c>
      <c r="B95" s="1066"/>
      <c r="C95" s="1067"/>
      <c r="D95" s="599">
        <v>60000</v>
      </c>
      <c r="E95" s="553"/>
    </row>
    <row r="96" spans="1:5" x14ac:dyDescent="0.35">
      <c r="A96" s="724" t="s">
        <v>19</v>
      </c>
      <c r="B96" s="729" t="s">
        <v>63</v>
      </c>
      <c r="C96" s="730" t="s">
        <v>63</v>
      </c>
      <c r="D96" s="731">
        <v>-70000</v>
      </c>
    </row>
    <row r="97" spans="1:5" s="997" customFormat="1" ht="15.5" x14ac:dyDescent="0.35">
      <c r="A97" s="992"/>
      <c r="B97" s="993" t="s">
        <v>11</v>
      </c>
      <c r="C97" s="994"/>
      <c r="D97" s="995">
        <f>+D94+D95+D96</f>
        <v>452388.75</v>
      </c>
      <c r="E97" s="1046"/>
    </row>
    <row r="98" spans="1:5" s="90" customFormat="1" x14ac:dyDescent="0.35">
      <c r="B98" s="1042"/>
      <c r="C98" s="553"/>
      <c r="D98" s="1051"/>
      <c r="E98" s="1042"/>
    </row>
    <row r="100" spans="1:5" ht="23.5" x14ac:dyDescent="0.35">
      <c r="A100" s="1442" t="s">
        <v>816</v>
      </c>
      <c r="B100" s="1443"/>
      <c r="C100" s="1443"/>
      <c r="D100" s="1444"/>
    </row>
    <row r="101" spans="1:5" x14ac:dyDescent="0.35">
      <c r="A101" s="2" t="s">
        <v>7</v>
      </c>
      <c r="B101" s="270" t="s">
        <v>8</v>
      </c>
      <c r="C101" s="217" t="s">
        <v>4</v>
      </c>
      <c r="D101" s="597" t="s">
        <v>9</v>
      </c>
    </row>
    <row r="102" spans="1:5" x14ac:dyDescent="0.35">
      <c r="A102" s="772" t="s">
        <v>3</v>
      </c>
      <c r="B102" s="258">
        <v>151</v>
      </c>
      <c r="C102" s="194">
        <v>2668</v>
      </c>
      <c r="D102" s="598">
        <f>+B102*C102</f>
        <v>402868</v>
      </c>
      <c r="E102" s="564"/>
    </row>
    <row r="103" spans="1:5" x14ac:dyDescent="0.35">
      <c r="A103" s="772" t="s">
        <v>817</v>
      </c>
      <c r="B103" s="258">
        <v>7</v>
      </c>
      <c r="C103" s="194">
        <f>+C102</f>
        <v>2668</v>
      </c>
      <c r="D103" s="609">
        <f>+B103*C103</f>
        <v>18676</v>
      </c>
      <c r="E103" s="564"/>
    </row>
    <row r="104" spans="1:5" x14ac:dyDescent="0.35">
      <c r="A104" s="772" t="s">
        <v>6</v>
      </c>
      <c r="B104" s="258"/>
      <c r="C104" s="194">
        <v>35000</v>
      </c>
      <c r="D104" s="609">
        <f>+C104</f>
        <v>35000</v>
      </c>
      <c r="E104" s="564"/>
    </row>
    <row r="105" spans="1:5" x14ac:dyDescent="0.35">
      <c r="A105" s="614" t="s">
        <v>556</v>
      </c>
      <c r="B105" s="617"/>
      <c r="C105" s="227">
        <v>7500</v>
      </c>
      <c r="D105" s="609">
        <f>+C105</f>
        <v>7500</v>
      </c>
      <c r="E105" s="564"/>
    </row>
    <row r="106" spans="1:5" x14ac:dyDescent="0.35">
      <c r="A106" s="614" t="s">
        <v>540</v>
      </c>
      <c r="B106" s="617">
        <v>14</v>
      </c>
      <c r="C106" s="227">
        <f>+C102</f>
        <v>2668</v>
      </c>
      <c r="D106" s="609">
        <f>+B106*C106</f>
        <v>37352</v>
      </c>
      <c r="E106" s="553"/>
    </row>
    <row r="107" spans="1:5" s="764" customFormat="1" x14ac:dyDescent="0.35">
      <c r="A107" s="882" t="s">
        <v>389</v>
      </c>
      <c r="B107" s="883"/>
      <c r="C107" s="884"/>
      <c r="D107" s="1058">
        <f>+D102+D103+D104+D105+D106</f>
        <v>501396</v>
      </c>
      <c r="E107" s="768"/>
    </row>
    <row r="108" spans="1:5" s="764" customFormat="1" x14ac:dyDescent="0.35">
      <c r="A108" s="882" t="s">
        <v>823</v>
      </c>
      <c r="B108" s="883"/>
      <c r="C108" s="884"/>
      <c r="D108" s="1058">
        <v>50000</v>
      </c>
      <c r="E108" s="768"/>
    </row>
    <row r="109" spans="1:5" s="1070" customFormat="1" x14ac:dyDescent="0.35">
      <c r="A109" s="724" t="s">
        <v>19</v>
      </c>
      <c r="B109" s="729"/>
      <c r="C109" s="729"/>
      <c r="D109" s="731">
        <v>-87600</v>
      </c>
      <c r="E109" s="1073"/>
    </row>
    <row r="110" spans="1:5" s="90" customFormat="1" x14ac:dyDescent="0.35">
      <c r="A110" s="1071" t="s">
        <v>11</v>
      </c>
      <c r="B110" s="1074"/>
      <c r="C110" s="1074"/>
      <c r="D110" s="1075">
        <f>+D107+D108+D109</f>
        <v>463796</v>
      </c>
      <c r="E110" s="1042"/>
    </row>
    <row r="111" spans="1:5" s="90" customFormat="1" x14ac:dyDescent="0.35">
      <c r="A111" s="1079"/>
      <c r="B111" s="1080"/>
      <c r="C111" s="1080"/>
      <c r="D111" s="1081"/>
      <c r="E111" s="1042"/>
    </row>
    <row r="112" spans="1:5" s="90" customFormat="1" x14ac:dyDescent="0.35">
      <c r="A112" s="1079"/>
      <c r="B112" s="1080"/>
      <c r="C112" s="1080"/>
      <c r="D112" s="1081"/>
      <c r="E112" s="1042"/>
    </row>
    <row r="113" spans="1:19" ht="23.5" x14ac:dyDescent="0.35">
      <c r="A113" s="1442" t="s">
        <v>824</v>
      </c>
      <c r="B113" s="1443"/>
      <c r="C113" s="1443"/>
      <c r="D113" s="1444"/>
    </row>
    <row r="114" spans="1:19" x14ac:dyDescent="0.35">
      <c r="A114" s="2" t="s">
        <v>7</v>
      </c>
      <c r="B114" s="270" t="s">
        <v>388</v>
      </c>
      <c r="C114" s="217" t="s">
        <v>629</v>
      </c>
      <c r="D114" s="597" t="s">
        <v>9</v>
      </c>
    </row>
    <row r="115" spans="1:19" x14ac:dyDescent="0.35">
      <c r="A115" s="772" t="s">
        <v>3</v>
      </c>
      <c r="B115" s="258">
        <v>188</v>
      </c>
      <c r="C115" s="194">
        <v>2668</v>
      </c>
      <c r="D115" s="598">
        <f>+B115*C115</f>
        <v>501584</v>
      </c>
      <c r="E115" s="564"/>
    </row>
    <row r="116" spans="1:19" x14ac:dyDescent="0.35">
      <c r="A116" s="772" t="s">
        <v>316</v>
      </c>
      <c r="B116" s="258">
        <v>8</v>
      </c>
      <c r="C116" s="194">
        <f>+C115</f>
        <v>2668</v>
      </c>
      <c r="D116" s="609">
        <f>+B116*C116</f>
        <v>21344</v>
      </c>
      <c r="E116" s="564"/>
    </row>
    <row r="117" spans="1:19" x14ac:dyDescent="0.35">
      <c r="A117" s="772" t="s">
        <v>556</v>
      </c>
      <c r="B117" s="258"/>
      <c r="C117" s="194">
        <v>15000</v>
      </c>
      <c r="D117" s="609">
        <f>+C117</f>
        <v>15000</v>
      </c>
      <c r="E117" s="564"/>
    </row>
    <row r="118" spans="1:19" x14ac:dyDescent="0.35">
      <c r="A118" s="772" t="s">
        <v>6</v>
      </c>
      <c r="B118" s="258"/>
      <c r="C118" s="194">
        <v>35000</v>
      </c>
      <c r="D118" s="609">
        <f>+C118</f>
        <v>35000</v>
      </c>
      <c r="E118" s="564"/>
    </row>
    <row r="119" spans="1:19" x14ac:dyDescent="0.35">
      <c r="A119" s="614" t="s">
        <v>628</v>
      </c>
      <c r="B119" s="617">
        <v>4.5</v>
      </c>
      <c r="C119" s="227">
        <f>+C115*1.5</f>
        <v>4002</v>
      </c>
      <c r="D119" s="609">
        <f>+B119*C119</f>
        <v>18009</v>
      </c>
      <c r="E119" s="564"/>
    </row>
    <row r="120" spans="1:19" x14ac:dyDescent="0.35">
      <c r="A120" s="614" t="s">
        <v>814</v>
      </c>
      <c r="B120" s="617"/>
      <c r="C120" s="227"/>
      <c r="D120" s="609">
        <v>11100</v>
      </c>
    </row>
    <row r="121" spans="1:19" x14ac:dyDescent="0.35">
      <c r="A121" s="614" t="s">
        <v>815</v>
      </c>
      <c r="B121" s="617"/>
      <c r="C121" s="227"/>
      <c r="D121" s="609">
        <v>38100</v>
      </c>
    </row>
    <row r="122" spans="1:19" s="1042" customFormat="1" x14ac:dyDescent="0.35">
      <c r="A122" s="882" t="s">
        <v>99</v>
      </c>
      <c r="B122" s="883"/>
      <c r="C122" s="883"/>
      <c r="D122" s="884">
        <f>+D115+D116+D117+D118+D119+D120+D121</f>
        <v>640137</v>
      </c>
      <c r="F122" s="771"/>
      <c r="G122" s="771"/>
      <c r="H122" s="771"/>
      <c r="I122" s="771"/>
      <c r="J122" s="771"/>
      <c r="K122" s="771"/>
      <c r="L122" s="771"/>
      <c r="M122" s="771"/>
      <c r="N122" s="771"/>
      <c r="O122" s="771"/>
      <c r="P122" s="771"/>
      <c r="Q122" s="771"/>
      <c r="R122" s="771"/>
      <c r="S122" s="771"/>
    </row>
    <row r="123" spans="1:19" s="1076" customFormat="1" x14ac:dyDescent="0.35">
      <c r="A123" s="1077" t="s">
        <v>823</v>
      </c>
      <c r="B123" s="1077"/>
      <c r="C123" s="1077"/>
      <c r="D123" s="1077">
        <v>30000</v>
      </c>
      <c r="E123" s="1078"/>
    </row>
    <row r="124" spans="1:19" s="1042" customFormat="1" x14ac:dyDescent="0.35">
      <c r="A124" s="962"/>
      <c r="B124" s="619"/>
      <c r="C124" s="619"/>
      <c r="D124" s="730"/>
      <c r="F124" s="771"/>
      <c r="G124" s="771"/>
      <c r="H124" s="771"/>
      <c r="I124" s="771"/>
      <c r="J124" s="771"/>
      <c r="K124" s="771"/>
      <c r="L124" s="771"/>
      <c r="M124" s="771"/>
      <c r="N124" s="771"/>
      <c r="O124" s="771"/>
      <c r="P124" s="771"/>
      <c r="Q124" s="771"/>
      <c r="R124" s="771"/>
      <c r="S124" s="771"/>
    </row>
    <row r="125" spans="1:19" s="1042" customFormat="1" ht="15.5" x14ac:dyDescent="0.35">
      <c r="A125" s="611" t="s">
        <v>11</v>
      </c>
      <c r="B125" s="612"/>
      <c r="C125" s="613"/>
      <c r="D125" s="603">
        <f>+D122+D123</f>
        <v>670137</v>
      </c>
      <c r="F125" s="771"/>
      <c r="G125" s="771"/>
      <c r="H125" s="771"/>
      <c r="I125" s="771"/>
      <c r="J125" s="771"/>
      <c r="K125" s="771"/>
      <c r="L125" s="771"/>
      <c r="M125" s="771"/>
      <c r="N125" s="771"/>
      <c r="O125" s="771"/>
      <c r="P125" s="771"/>
      <c r="Q125" s="771"/>
      <c r="R125" s="771"/>
      <c r="S125" s="771"/>
    </row>
    <row r="127" spans="1:19" s="1042" customFormat="1" ht="23.5" x14ac:dyDescent="0.55000000000000004">
      <c r="A127" s="1056" t="s">
        <v>825</v>
      </c>
      <c r="B127" s="964" t="s">
        <v>7</v>
      </c>
      <c r="C127" s="1052" t="s">
        <v>9</v>
      </c>
      <c r="D127" s="203"/>
      <c r="F127" s="771"/>
      <c r="G127" s="771"/>
      <c r="H127" s="771"/>
      <c r="I127" s="771"/>
      <c r="J127" s="771"/>
      <c r="K127" s="771"/>
      <c r="L127" s="771"/>
      <c r="M127" s="771"/>
      <c r="N127" s="771"/>
      <c r="O127" s="771"/>
      <c r="P127" s="771"/>
      <c r="Q127" s="771"/>
      <c r="R127" s="771"/>
      <c r="S127" s="771"/>
    </row>
    <row r="128" spans="1:19" s="1042" customFormat="1" x14ac:dyDescent="0.35">
      <c r="A128" s="585"/>
      <c r="B128" s="258" t="s">
        <v>10</v>
      </c>
      <c r="C128" s="194">
        <v>446520</v>
      </c>
      <c r="D128" s="203"/>
      <c r="F128" s="771"/>
      <c r="G128" s="771"/>
      <c r="H128" s="771"/>
      <c r="I128" s="771"/>
      <c r="J128" s="771"/>
      <c r="K128" s="771"/>
      <c r="L128" s="771"/>
      <c r="M128" s="771"/>
      <c r="N128" s="771"/>
      <c r="O128" s="771"/>
      <c r="P128" s="771"/>
      <c r="Q128" s="771"/>
      <c r="R128" s="771"/>
      <c r="S128" s="771"/>
    </row>
    <row r="129" spans="1:19" s="1042" customFormat="1" x14ac:dyDescent="0.35">
      <c r="A129" s="771"/>
      <c r="B129" s="258" t="s">
        <v>16</v>
      </c>
      <c r="C129" s="194">
        <v>484810</v>
      </c>
      <c r="D129" s="203" t="s">
        <v>63</v>
      </c>
      <c r="F129" s="771"/>
      <c r="G129" s="771"/>
      <c r="H129" s="771"/>
      <c r="I129" s="771"/>
      <c r="J129" s="771"/>
      <c r="K129" s="771"/>
      <c r="L129" s="771"/>
      <c r="M129" s="771"/>
      <c r="N129" s="771"/>
      <c r="O129" s="771"/>
      <c r="P129" s="771"/>
      <c r="Q129" s="771"/>
      <c r="R129" s="771"/>
      <c r="S129" s="771"/>
    </row>
    <row r="130" spans="1:19" s="1042" customFormat="1" x14ac:dyDescent="0.35">
      <c r="A130" s="771"/>
      <c r="B130" s="258" t="s">
        <v>0</v>
      </c>
      <c r="C130" s="194">
        <v>659460</v>
      </c>
      <c r="D130" s="203"/>
      <c r="F130" s="771"/>
      <c r="G130" s="771"/>
      <c r="H130" s="771"/>
      <c r="I130" s="771"/>
      <c r="J130" s="771"/>
      <c r="K130" s="771"/>
      <c r="L130" s="771"/>
      <c r="M130" s="771"/>
      <c r="N130" s="771"/>
      <c r="O130" s="771"/>
      <c r="P130" s="771"/>
      <c r="Q130" s="771"/>
      <c r="R130" s="771"/>
      <c r="S130" s="771"/>
    </row>
    <row r="131" spans="1:19" s="1042" customFormat="1" x14ac:dyDescent="0.35">
      <c r="A131" s="771"/>
      <c r="B131" s="258" t="s">
        <v>245</v>
      </c>
      <c r="C131" s="194">
        <v>437250</v>
      </c>
      <c r="D131" s="203"/>
      <c r="F131" s="771"/>
      <c r="G131" s="771"/>
      <c r="H131" s="771"/>
      <c r="I131" s="771"/>
      <c r="J131" s="771"/>
      <c r="K131" s="771"/>
      <c r="L131" s="771"/>
      <c r="M131" s="771"/>
      <c r="N131" s="771"/>
      <c r="O131" s="771"/>
      <c r="P131" s="771"/>
      <c r="Q131" s="771"/>
      <c r="R131" s="771"/>
      <c r="S131" s="771"/>
    </row>
    <row r="132" spans="1:19" s="1042" customFormat="1" x14ac:dyDescent="0.35">
      <c r="A132" s="771"/>
      <c r="B132" s="258" t="s">
        <v>463</v>
      </c>
      <c r="C132" s="194">
        <v>537400</v>
      </c>
      <c r="D132" s="203"/>
      <c r="F132" s="771"/>
      <c r="G132" s="771"/>
      <c r="H132" s="771"/>
      <c r="I132" s="771"/>
      <c r="J132" s="771"/>
      <c r="K132" s="771"/>
      <c r="L132" s="771"/>
      <c r="M132" s="771"/>
      <c r="N132" s="771"/>
      <c r="O132" s="771"/>
      <c r="P132" s="771"/>
      <c r="Q132" s="771"/>
      <c r="R132" s="771"/>
      <c r="S132" s="771"/>
    </row>
    <row r="133" spans="1:19" s="1042" customFormat="1" x14ac:dyDescent="0.35">
      <c r="A133" s="771"/>
      <c r="B133" s="258" t="s">
        <v>553</v>
      </c>
      <c r="C133" s="194">
        <v>452400</v>
      </c>
      <c r="D133" s="203"/>
      <c r="F133" s="771"/>
      <c r="G133" s="771"/>
      <c r="H133" s="771"/>
      <c r="I133" s="771"/>
      <c r="J133" s="771"/>
      <c r="K133" s="771"/>
      <c r="L133" s="771"/>
      <c r="M133" s="771"/>
      <c r="N133" s="771"/>
      <c r="O133" s="771"/>
      <c r="P133" s="771"/>
      <c r="Q133" s="771"/>
      <c r="R133" s="771"/>
      <c r="S133" s="771"/>
    </row>
    <row r="134" spans="1:19" s="1042" customFormat="1" x14ac:dyDescent="0.35">
      <c r="A134" s="771"/>
      <c r="B134" s="258" t="s">
        <v>260</v>
      </c>
      <c r="C134" s="194">
        <v>463800</v>
      </c>
      <c r="D134" s="203"/>
      <c r="F134" s="771"/>
      <c r="G134" s="771"/>
      <c r="H134" s="771"/>
      <c r="I134" s="771"/>
      <c r="J134" s="771"/>
      <c r="K134" s="771"/>
      <c r="L134" s="771"/>
      <c r="M134" s="771"/>
      <c r="N134" s="771"/>
      <c r="O134" s="771"/>
      <c r="P134" s="771"/>
      <c r="Q134" s="771"/>
      <c r="R134" s="771"/>
      <c r="S134" s="771"/>
    </row>
    <row r="135" spans="1:19" s="1042" customFormat="1" x14ac:dyDescent="0.35">
      <c r="A135" s="771"/>
      <c r="B135" s="258" t="s">
        <v>613</v>
      </c>
      <c r="C135" s="194">
        <v>670140</v>
      </c>
      <c r="D135" s="203"/>
      <c r="F135" s="771"/>
      <c r="G135" s="771"/>
      <c r="H135" s="771"/>
      <c r="I135" s="771"/>
      <c r="J135" s="771"/>
      <c r="K135" s="771"/>
      <c r="L135" s="771"/>
      <c r="M135" s="771"/>
      <c r="N135" s="771"/>
      <c r="O135" s="771"/>
      <c r="P135" s="771"/>
      <c r="Q135" s="771"/>
      <c r="R135" s="771"/>
      <c r="S135" s="771"/>
    </row>
    <row r="136" spans="1:19" s="1042" customFormat="1" x14ac:dyDescent="0.35">
      <c r="A136" s="771"/>
      <c r="B136" s="274" t="s">
        <v>803</v>
      </c>
      <c r="C136" s="195">
        <f>SUM(C128:C135)</f>
        <v>4151780</v>
      </c>
      <c r="D136" s="203" t="s">
        <v>63</v>
      </c>
      <c r="F136" s="771"/>
      <c r="G136" s="771"/>
      <c r="H136" s="771"/>
      <c r="I136" s="771"/>
      <c r="J136" s="771"/>
      <c r="K136" s="771"/>
      <c r="L136" s="771"/>
      <c r="M136" s="771"/>
      <c r="N136" s="771"/>
      <c r="O136" s="771"/>
      <c r="P136" s="771"/>
      <c r="Q136" s="771"/>
      <c r="R136" s="771"/>
      <c r="S136" s="771"/>
    </row>
    <row r="143" spans="1:19" s="203" customFormat="1" x14ac:dyDescent="0.35">
      <c r="A143" s="771"/>
      <c r="B143" s="258" t="s">
        <v>267</v>
      </c>
      <c r="C143" s="194">
        <v>489500</v>
      </c>
      <c r="E143" s="1042"/>
      <c r="F143" s="771"/>
      <c r="G143" s="771"/>
      <c r="H143" s="771"/>
      <c r="I143" s="771"/>
      <c r="J143" s="771"/>
      <c r="K143" s="771"/>
      <c r="L143" s="771"/>
      <c r="M143" s="771"/>
      <c r="N143" s="771"/>
      <c r="O143" s="771"/>
      <c r="P143" s="771"/>
      <c r="Q143" s="771"/>
      <c r="R143" s="771"/>
      <c r="S143" s="771"/>
    </row>
    <row r="146" spans="2:3" x14ac:dyDescent="0.35">
      <c r="B146" s="274" t="s">
        <v>803</v>
      </c>
      <c r="C146" s="195">
        <f>+C136+C143</f>
        <v>4641280</v>
      </c>
    </row>
  </sheetData>
  <mergeCells count="18">
    <mergeCell ref="A113:D113"/>
    <mergeCell ref="A37:C37"/>
    <mergeCell ref="A43:D43"/>
    <mergeCell ref="A51:C51"/>
    <mergeCell ref="A56:D56"/>
    <mergeCell ref="A65:C65"/>
    <mergeCell ref="A69:C69"/>
    <mergeCell ref="A72:D72"/>
    <mergeCell ref="A83:C83"/>
    <mergeCell ref="A86:D86"/>
    <mergeCell ref="A94:C94"/>
    <mergeCell ref="A100:D100"/>
    <mergeCell ref="A29:D29"/>
    <mergeCell ref="A3:D3"/>
    <mergeCell ref="A10:C10"/>
    <mergeCell ref="A13:C13"/>
    <mergeCell ref="A16:D16"/>
    <mergeCell ref="A23:C23"/>
  </mergeCells>
  <pageMargins left="0.31496062992125984" right="0.11811023622047245" top="0" bottom="0" header="0.31496062992125984" footer="0.31496062992125984"/>
  <pageSetup paperSize="9" scale="34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S166"/>
  <sheetViews>
    <sheetView zoomScaleNormal="100" workbookViewId="0">
      <selection activeCell="E127" sqref="E127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6328125" style="771" bestFit="1" customWidth="1"/>
    <col min="7" max="7" width="12.5429687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9" ht="36" x14ac:dyDescent="0.8">
      <c r="B1" s="937">
        <v>45505</v>
      </c>
    </row>
    <row r="3" spans="1:19" ht="25.5" customHeight="1" x14ac:dyDescent="0.35">
      <c r="A3" s="1431" t="s">
        <v>826</v>
      </c>
      <c r="B3" s="1431"/>
      <c r="C3" s="1431"/>
      <c r="D3" s="1431"/>
    </row>
    <row r="4" spans="1:19" s="1082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9" ht="18" customHeight="1" x14ac:dyDescent="0.35">
      <c r="A5" s="772" t="s">
        <v>3</v>
      </c>
      <c r="B5" s="258">
        <v>193</v>
      </c>
      <c r="C5" s="227">
        <v>2417</v>
      </c>
      <c r="D5" s="598">
        <f>+B5*C5</f>
        <v>466481</v>
      </c>
      <c r="E5" s="564"/>
      <c r="Q5" s="1082"/>
    </row>
    <row r="6" spans="1:19" ht="18" customHeight="1" x14ac:dyDescent="0.35">
      <c r="A6" s="772" t="s">
        <v>839</v>
      </c>
      <c r="B6" s="258">
        <v>0</v>
      </c>
      <c r="C6" s="227">
        <f>+C5</f>
        <v>2417</v>
      </c>
      <c r="D6" s="598">
        <f>+B6*C6</f>
        <v>0</v>
      </c>
      <c r="E6" s="564"/>
      <c r="F6" s="176"/>
      <c r="Q6" s="774"/>
    </row>
    <row r="7" spans="1:19" ht="18" customHeight="1" x14ac:dyDescent="0.35">
      <c r="A7" s="772" t="s">
        <v>196</v>
      </c>
      <c r="B7" s="258"/>
      <c r="C7" s="227">
        <v>15000</v>
      </c>
      <c r="D7" s="598">
        <f>+C7</f>
        <v>15000</v>
      </c>
      <c r="E7" s="564"/>
      <c r="F7" s="176"/>
    </row>
    <row r="8" spans="1:19" ht="18" customHeight="1" x14ac:dyDescent="0.35">
      <c r="A8" s="772" t="s">
        <v>467</v>
      </c>
      <c r="B8" s="258">
        <v>4</v>
      </c>
      <c r="C8" s="194">
        <f>+C5*1.5</f>
        <v>3625.5</v>
      </c>
      <c r="D8" s="598">
        <f>+B8*C8</f>
        <v>14502</v>
      </c>
      <c r="E8" s="564"/>
      <c r="F8" s="176"/>
    </row>
    <row r="9" spans="1:19" ht="18" customHeight="1" x14ac:dyDescent="0.35">
      <c r="A9" s="772" t="s">
        <v>6</v>
      </c>
      <c r="B9" s="258"/>
      <c r="C9" s="194">
        <v>70000</v>
      </c>
      <c r="D9" s="598">
        <f>+C9</f>
        <v>70000</v>
      </c>
      <c r="F9" s="176"/>
      <c r="R9" s="1082"/>
    </row>
    <row r="10" spans="1:19" ht="18" customHeight="1" x14ac:dyDescent="0.35">
      <c r="A10" s="1432" t="s">
        <v>389</v>
      </c>
      <c r="B10" s="1432"/>
      <c r="C10" s="1432"/>
      <c r="D10" s="599">
        <f>+D5+D6+D7+D8+D9</f>
        <v>565983</v>
      </c>
      <c r="E10" s="553"/>
      <c r="F10" s="248"/>
      <c r="G10" s="248"/>
      <c r="H10" s="248"/>
      <c r="I10" s="248"/>
      <c r="J10" s="248"/>
      <c r="K10" s="248"/>
      <c r="L10" s="248"/>
      <c r="M10" s="248"/>
      <c r="O10" s="1082"/>
    </row>
    <row r="11" spans="1:19" ht="18" customHeight="1" x14ac:dyDescent="0.35">
      <c r="A11" s="1087" t="s">
        <v>818</v>
      </c>
      <c r="B11" s="1084"/>
      <c r="C11" s="1084"/>
      <c r="D11" s="599">
        <v>140000</v>
      </c>
      <c r="E11" s="553"/>
      <c r="F11" s="248"/>
      <c r="G11" s="248"/>
      <c r="H11" s="248"/>
      <c r="I11" s="248"/>
      <c r="J11" s="248"/>
      <c r="K11" s="248"/>
      <c r="L11" s="248"/>
      <c r="M11" s="248"/>
      <c r="O11" s="1082"/>
    </row>
    <row r="12" spans="1:19" ht="18" customHeight="1" x14ac:dyDescent="0.35">
      <c r="A12" s="800" t="s">
        <v>773</v>
      </c>
      <c r="B12" s="721"/>
      <c r="C12" s="905"/>
      <c r="D12" s="722">
        <v>-295259.46000000002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082"/>
    </row>
    <row r="13" spans="1:19" ht="18" customHeight="1" x14ac:dyDescent="0.35">
      <c r="A13" s="1433" t="s">
        <v>11</v>
      </c>
      <c r="B13" s="1433"/>
      <c r="C13" s="1433"/>
      <c r="D13" s="603">
        <f>+D10+D11+D12</f>
        <v>410723.54</v>
      </c>
      <c r="F13" s="321"/>
      <c r="G13" s="321"/>
      <c r="H13" s="473"/>
      <c r="I13" s="321"/>
      <c r="J13" s="321"/>
      <c r="Q13" s="1082"/>
    </row>
    <row r="14" spans="1:19" ht="18" customHeight="1" x14ac:dyDescent="0.35">
      <c r="A14" s="1053"/>
      <c r="B14" s="1054"/>
      <c r="C14" s="1054"/>
      <c r="D14" s="1055"/>
      <c r="F14" s="321"/>
      <c r="G14" s="321"/>
      <c r="H14" s="473"/>
      <c r="I14" s="321"/>
      <c r="J14" s="321"/>
      <c r="Q14" s="1082"/>
    </row>
    <row r="15" spans="1:19" s="908" customFormat="1" ht="18" customHeight="1" x14ac:dyDescent="0.35">
      <c r="A15" s="689"/>
      <c r="B15" s="689"/>
      <c r="C15" s="689"/>
      <c r="D15" s="688"/>
      <c r="E15" s="1044"/>
      <c r="I15" s="910"/>
      <c r="J15" s="911"/>
      <c r="K15" s="912"/>
      <c r="L15" s="912"/>
      <c r="M15" s="910"/>
      <c r="N15" s="910"/>
      <c r="O15" s="910"/>
      <c r="P15" s="764"/>
      <c r="S15" s="764"/>
    </row>
    <row r="16" spans="1:19" ht="18" customHeight="1" x14ac:dyDescent="0.45">
      <c r="A16" s="1450" t="s">
        <v>827</v>
      </c>
      <c r="B16" s="1451"/>
      <c r="C16" s="1451"/>
      <c r="D16" s="1452"/>
      <c r="E16" s="1045"/>
      <c r="J16" s="185"/>
      <c r="K16" s="181"/>
      <c r="L16" s="181"/>
      <c r="M16" s="181"/>
      <c r="N16" s="181"/>
    </row>
    <row r="17" spans="1:13" ht="18" customHeight="1" x14ac:dyDescent="0.35">
      <c r="A17" s="604" t="s">
        <v>7</v>
      </c>
      <c r="B17" s="605" t="s">
        <v>8</v>
      </c>
      <c r="C17" s="606" t="s">
        <v>4</v>
      </c>
      <c r="D17" s="606" t="s">
        <v>9</v>
      </c>
      <c r="E17" s="564"/>
      <c r="J17" s="185"/>
      <c r="K17" s="181"/>
      <c r="L17" s="181"/>
      <c r="M17" s="184"/>
    </row>
    <row r="18" spans="1:13" ht="18" customHeight="1" x14ac:dyDescent="0.35">
      <c r="A18" s="607" t="s">
        <v>480</v>
      </c>
      <c r="B18" s="267">
        <v>193</v>
      </c>
      <c r="C18" s="211">
        <v>2165</v>
      </c>
      <c r="D18" s="211">
        <f>+B18*C18</f>
        <v>417845</v>
      </c>
      <c r="E18" s="564"/>
      <c r="J18" s="182"/>
    </row>
    <row r="19" spans="1:13" ht="18" customHeight="1" x14ac:dyDescent="0.35">
      <c r="A19" s="772" t="s">
        <v>111</v>
      </c>
      <c r="B19" s="267">
        <v>0</v>
      </c>
      <c r="C19" s="211">
        <f>+C18</f>
        <v>2165</v>
      </c>
      <c r="D19" s="211">
        <f>+B19*C19</f>
        <v>0</v>
      </c>
      <c r="E19" s="564"/>
      <c r="F19" s="1082"/>
      <c r="G19" s="1082"/>
      <c r="H19" s="1082"/>
    </row>
    <row r="20" spans="1:13" ht="18" customHeight="1" x14ac:dyDescent="0.35">
      <c r="A20" s="772" t="s">
        <v>196</v>
      </c>
      <c r="B20" s="267"/>
      <c r="C20" s="211"/>
      <c r="D20" s="211">
        <v>15000</v>
      </c>
      <c r="E20" s="564"/>
      <c r="I20" s="1082"/>
    </row>
    <row r="21" spans="1:13" ht="18" customHeight="1" x14ac:dyDescent="0.35">
      <c r="A21" s="772" t="s">
        <v>6</v>
      </c>
      <c r="B21" s="267"/>
      <c r="C21" s="211">
        <v>50000</v>
      </c>
      <c r="D21" s="211">
        <f>+C21</f>
        <v>50000</v>
      </c>
      <c r="E21" s="564"/>
      <c r="I21" s="1082"/>
    </row>
    <row r="22" spans="1:13" ht="18" customHeight="1" x14ac:dyDescent="0.35">
      <c r="A22" s="772" t="s">
        <v>468</v>
      </c>
      <c r="B22" s="267">
        <v>5.45</v>
      </c>
      <c r="C22" s="211">
        <f>+C18*1.5</f>
        <v>3247.5</v>
      </c>
      <c r="D22" s="211">
        <f>B22*C22</f>
        <v>17698.875</v>
      </c>
      <c r="E22" s="1043"/>
      <c r="F22" s="181"/>
      <c r="G22" s="187"/>
      <c r="H22" s="188"/>
      <c r="I22" s="1082"/>
      <c r="L22" s="1082"/>
    </row>
    <row r="23" spans="1:13" s="1082" customFormat="1" ht="18" customHeight="1" x14ac:dyDescent="0.35">
      <c r="A23" s="1463" t="s">
        <v>389</v>
      </c>
      <c r="B23" s="1464"/>
      <c r="C23" s="1465"/>
      <c r="D23" s="599">
        <f>+D18+D19+D20+D21+D22</f>
        <v>500543.875</v>
      </c>
      <c r="E23" s="553"/>
      <c r="F23" s="181"/>
      <c r="G23" s="181"/>
      <c r="H23" s="184"/>
      <c r="I23" s="771"/>
      <c r="K23" s="771"/>
      <c r="L23" s="771"/>
    </row>
    <row r="24" spans="1:13" s="1083" customFormat="1" ht="18" customHeight="1" x14ac:dyDescent="0.35">
      <c r="A24" s="129" t="s">
        <v>818</v>
      </c>
      <c r="B24" s="749"/>
      <c r="C24" s="1072" t="s">
        <v>63</v>
      </c>
      <c r="D24" s="749">
        <v>180000</v>
      </c>
      <c r="E24" s="553"/>
      <c r="F24" s="184"/>
      <c r="G24" s="184"/>
      <c r="H24" s="184"/>
      <c r="I24" s="90"/>
      <c r="K24" s="90"/>
      <c r="L24" s="90"/>
    </row>
    <row r="25" spans="1:13" s="1082" customFormat="1" ht="18" customHeight="1" x14ac:dyDescent="0.35">
      <c r="A25" s="825" t="s">
        <v>802</v>
      </c>
      <c r="B25" s="824" t="s">
        <v>63</v>
      </c>
      <c r="C25" s="823"/>
      <c r="D25" s="930">
        <v>-150000</v>
      </c>
      <c r="E25" s="1042"/>
      <c r="F25" s="181"/>
      <c r="G25" s="181"/>
      <c r="H25" s="184"/>
      <c r="I25" s="771"/>
      <c r="K25" s="771"/>
      <c r="L25" s="771"/>
    </row>
    <row r="26" spans="1:13" ht="18" customHeight="1" x14ac:dyDescent="0.35">
      <c r="A26" s="786" t="s">
        <v>11</v>
      </c>
      <c r="B26" s="783"/>
      <c r="C26" s="783"/>
      <c r="D26" s="784">
        <f>+D23+D24+D25</f>
        <v>530543.875</v>
      </c>
      <c r="E26" s="553"/>
      <c r="F26" s="181"/>
      <c r="G26" s="181"/>
      <c r="H26" s="184"/>
    </row>
    <row r="27" spans="1:13" ht="18" customHeight="1" x14ac:dyDescent="0.35">
      <c r="A27" s="1047"/>
      <c r="B27" s="594"/>
      <c r="C27" s="594"/>
      <c r="D27" s="595"/>
      <c r="F27" s="181"/>
      <c r="G27" s="181"/>
      <c r="H27" s="184"/>
    </row>
    <row r="28" spans="1:13" ht="18" customHeight="1" x14ac:dyDescent="0.35">
      <c r="A28" s="594"/>
      <c r="B28" s="594"/>
      <c r="C28" s="594"/>
      <c r="D28" s="595"/>
      <c r="F28" s="181"/>
      <c r="G28" s="181"/>
      <c r="H28" s="184"/>
    </row>
    <row r="29" spans="1:13" ht="18" customHeight="1" x14ac:dyDescent="0.35">
      <c r="A29" s="1442" t="s">
        <v>828</v>
      </c>
      <c r="B29" s="1443"/>
      <c r="C29" s="1443"/>
      <c r="D29" s="1444"/>
      <c r="F29" s="181"/>
      <c r="G29" s="181"/>
      <c r="H29" s="184"/>
    </row>
    <row r="30" spans="1:13" ht="18" customHeight="1" x14ac:dyDescent="0.35">
      <c r="A30" s="2"/>
      <c r="B30" s="270" t="s">
        <v>8</v>
      </c>
      <c r="C30" s="217" t="s">
        <v>4</v>
      </c>
      <c r="D30" s="597" t="s">
        <v>9</v>
      </c>
      <c r="F30" s="181"/>
      <c r="G30" s="181"/>
      <c r="H30" s="184"/>
    </row>
    <row r="31" spans="1:13" ht="18" customHeight="1" x14ac:dyDescent="0.35">
      <c r="A31" s="772" t="s">
        <v>253</v>
      </c>
      <c r="B31" s="258">
        <v>193</v>
      </c>
      <c r="C31" s="194">
        <v>3288</v>
      </c>
      <c r="D31" s="598">
        <f>+B31*C31</f>
        <v>634584</v>
      </c>
      <c r="E31" s="564"/>
      <c r="F31" s="181"/>
      <c r="G31" s="181"/>
      <c r="H31" s="184"/>
    </row>
    <row r="32" spans="1:13" ht="18" customHeight="1" x14ac:dyDescent="0.35">
      <c r="A32" s="772" t="s">
        <v>111</v>
      </c>
      <c r="B32" s="258">
        <v>0</v>
      </c>
      <c r="C32" s="194">
        <f>+C31</f>
        <v>3288</v>
      </c>
      <c r="D32" s="598">
        <f>+B32*C32</f>
        <v>0</v>
      </c>
      <c r="E32" s="564"/>
      <c r="F32" s="181"/>
      <c r="G32" s="181"/>
      <c r="H32" s="184"/>
    </row>
    <row r="33" spans="1:19" ht="15" customHeight="1" x14ac:dyDescent="0.35">
      <c r="A33" s="772" t="s">
        <v>196</v>
      </c>
      <c r="B33" s="258"/>
      <c r="C33" s="194">
        <v>15000</v>
      </c>
      <c r="D33" s="598">
        <f>+C33</f>
        <v>15000</v>
      </c>
      <c r="E33" s="564"/>
      <c r="F33" s="181"/>
      <c r="G33" s="181"/>
      <c r="H33" s="184"/>
      <c r="I33" s="1082"/>
    </row>
    <row r="34" spans="1:19" ht="15" customHeight="1" x14ac:dyDescent="0.35">
      <c r="A34" s="772" t="s">
        <v>6</v>
      </c>
      <c r="B34" s="258"/>
      <c r="C34" s="194">
        <v>70000</v>
      </c>
      <c r="D34" s="598">
        <f>+C34</f>
        <v>70000</v>
      </c>
      <c r="E34" s="564"/>
      <c r="F34" s="181"/>
      <c r="G34" s="181"/>
      <c r="H34" s="184"/>
      <c r="I34" s="1082"/>
    </row>
    <row r="35" spans="1:19" ht="15" customHeight="1" x14ac:dyDescent="0.35">
      <c r="A35" s="772" t="s">
        <v>195</v>
      </c>
      <c r="B35" s="315">
        <v>0.4</v>
      </c>
      <c r="C35" s="194">
        <f>+C31*1.5</f>
        <v>4932</v>
      </c>
      <c r="D35" s="598">
        <f>+B35*C35</f>
        <v>1972.8000000000002</v>
      </c>
      <c r="F35" s="181"/>
      <c r="G35" s="181"/>
      <c r="H35" s="184"/>
      <c r="I35" s="1082"/>
    </row>
    <row r="36" spans="1:19" ht="15" customHeight="1" x14ac:dyDescent="0.35">
      <c r="A36" s="772" t="s">
        <v>449</v>
      </c>
      <c r="B36" s="315">
        <v>0</v>
      </c>
      <c r="C36" s="194">
        <f>+C31*2</f>
        <v>6576</v>
      </c>
      <c r="D36" s="598">
        <f>+B36*C36</f>
        <v>0</v>
      </c>
      <c r="F36" s="181"/>
      <c r="G36" s="181"/>
      <c r="H36" s="184"/>
      <c r="I36" s="1082"/>
    </row>
    <row r="37" spans="1:19" ht="15" customHeight="1" x14ac:dyDescent="0.35">
      <c r="A37" s="1439" t="s">
        <v>389</v>
      </c>
      <c r="B37" s="1440"/>
      <c r="C37" s="1441"/>
      <c r="D37" s="599">
        <f>+D31+D32+D33+D34+D35+D36</f>
        <v>721556.8</v>
      </c>
      <c r="E37" s="553"/>
      <c r="J37" s="176"/>
      <c r="K37" s="176"/>
      <c r="L37" s="176"/>
      <c r="M37" s="181"/>
      <c r="N37" s="181"/>
      <c r="O37" s="184"/>
      <c r="Q37" s="1082"/>
    </row>
    <row r="38" spans="1:19" ht="15" customHeight="1" x14ac:dyDescent="0.35">
      <c r="A38" s="1088" t="s">
        <v>840</v>
      </c>
      <c r="B38" s="1085"/>
      <c r="C38" s="1086"/>
      <c r="D38" s="599">
        <v>160000</v>
      </c>
      <c r="E38" s="553"/>
      <c r="J38" s="176"/>
      <c r="K38" s="176"/>
      <c r="L38" s="176"/>
      <c r="M38" s="181"/>
      <c r="N38" s="181"/>
      <c r="O38" s="184"/>
      <c r="Q38" s="1082"/>
    </row>
    <row r="39" spans="1:19" s="1082" customFormat="1" ht="15" customHeight="1" x14ac:dyDescent="0.35">
      <c r="A39" s="723" t="s">
        <v>630</v>
      </c>
      <c r="B39" s="727" t="s">
        <v>63</v>
      </c>
      <c r="C39" s="727" t="s">
        <v>63</v>
      </c>
      <c r="D39" s="722">
        <v>-303618.69</v>
      </c>
      <c r="E39" s="1043"/>
      <c r="F39" s="771"/>
      <c r="G39" s="771"/>
      <c r="H39" s="771"/>
      <c r="I39" s="771"/>
      <c r="J39" s="176"/>
      <c r="K39" s="176"/>
      <c r="L39" s="176"/>
      <c r="M39" s="176"/>
      <c r="N39" s="176"/>
      <c r="O39" s="176"/>
      <c r="P39" s="771"/>
      <c r="Q39" s="771"/>
      <c r="R39" s="771"/>
      <c r="S39" s="771"/>
    </row>
    <row r="40" spans="1:19" s="1082" customFormat="1" ht="15" customHeight="1" x14ac:dyDescent="0.35">
      <c r="A40" s="672"/>
      <c r="B40" s="673" t="s">
        <v>11</v>
      </c>
      <c r="C40" s="674"/>
      <c r="D40" s="675">
        <f>+D37+D38+D39</f>
        <v>577938.1100000001</v>
      </c>
      <c r="E40" s="1025"/>
      <c r="F40" s="771"/>
      <c r="G40" s="771"/>
      <c r="H40" s="771"/>
      <c r="I40" s="771"/>
      <c r="J40" s="176"/>
      <c r="K40" s="176"/>
      <c r="L40" s="176"/>
      <c r="M40" s="176"/>
      <c r="N40" s="176"/>
      <c r="O40" s="176"/>
      <c r="P40" s="771"/>
      <c r="Q40" s="771"/>
      <c r="R40" s="771"/>
      <c r="S40" s="771"/>
    </row>
    <row r="41" spans="1:19" ht="15" customHeight="1" x14ac:dyDescent="0.35">
      <c r="A41" s="90"/>
      <c r="B41" s="771"/>
      <c r="C41" s="771"/>
      <c r="D41" s="771"/>
      <c r="K41" s="183"/>
      <c r="L41" s="183"/>
      <c r="M41" s="176"/>
      <c r="N41" s="176"/>
      <c r="O41" s="176"/>
      <c r="Q41" s="1082"/>
    </row>
    <row r="42" spans="1:19" ht="15" customHeight="1" x14ac:dyDescent="0.35">
      <c r="B42" s="771"/>
      <c r="C42" s="771"/>
      <c r="D42" s="774" t="s">
        <v>63</v>
      </c>
    </row>
    <row r="43" spans="1:19" ht="15" customHeight="1" x14ac:dyDescent="0.35">
      <c r="A43" s="1442" t="s">
        <v>829</v>
      </c>
      <c r="B43" s="1443"/>
      <c r="C43" s="1443"/>
      <c r="D43" s="1444"/>
      <c r="S43" s="1082"/>
    </row>
    <row r="44" spans="1:19" x14ac:dyDescent="0.35">
      <c r="A44" s="2" t="s">
        <v>7</v>
      </c>
      <c r="B44" s="270" t="s">
        <v>8</v>
      </c>
      <c r="C44" s="217" t="s">
        <v>4</v>
      </c>
      <c r="D44" s="597" t="s">
        <v>9</v>
      </c>
    </row>
    <row r="45" spans="1:19" x14ac:dyDescent="0.35">
      <c r="A45" s="772" t="s">
        <v>501</v>
      </c>
      <c r="B45" s="258">
        <v>193</v>
      </c>
      <c r="C45" s="227">
        <v>2295</v>
      </c>
      <c r="D45" s="598">
        <f>+B45*C45</f>
        <v>442935</v>
      </c>
      <c r="E45" s="564"/>
    </row>
    <row r="46" spans="1:19" x14ac:dyDescent="0.35">
      <c r="A46" s="772" t="s">
        <v>787</v>
      </c>
      <c r="B46" s="258">
        <v>0</v>
      </c>
      <c r="C46" s="227">
        <f>+C45</f>
        <v>2295</v>
      </c>
      <c r="D46" s="598">
        <f>+B46*C46</f>
        <v>0</v>
      </c>
      <c r="E46" s="564"/>
    </row>
    <row r="47" spans="1:19" x14ac:dyDescent="0.35">
      <c r="A47" s="772" t="s">
        <v>490</v>
      </c>
      <c r="B47" s="258"/>
      <c r="C47" s="227">
        <v>15000</v>
      </c>
      <c r="D47" s="598">
        <f>+C47</f>
        <v>15000</v>
      </c>
      <c r="E47" s="564"/>
    </row>
    <row r="48" spans="1:19" x14ac:dyDescent="0.35">
      <c r="A48" s="772" t="s">
        <v>489</v>
      </c>
      <c r="B48" s="258"/>
      <c r="C48" s="227">
        <v>50000</v>
      </c>
      <c r="D48" s="598">
        <f>+C48</f>
        <v>50000</v>
      </c>
      <c r="E48" s="564"/>
    </row>
    <row r="49" spans="1:5" x14ac:dyDescent="0.35">
      <c r="A49" s="772" t="s">
        <v>195</v>
      </c>
      <c r="B49" s="258">
        <v>0</v>
      </c>
      <c r="C49" s="194">
        <f>+C45*1.5</f>
        <v>3442.5</v>
      </c>
      <c r="D49" s="598">
        <f>+B49*C49</f>
        <v>0</v>
      </c>
      <c r="E49" s="564"/>
    </row>
    <row r="50" spans="1:5" x14ac:dyDescent="0.35">
      <c r="A50" s="772" t="s">
        <v>449</v>
      </c>
      <c r="B50" s="258">
        <v>0</v>
      </c>
      <c r="C50" s="194">
        <f>+C45*2</f>
        <v>4590</v>
      </c>
      <c r="D50" s="598">
        <f>+B50*C50</f>
        <v>0</v>
      </c>
    </row>
    <row r="51" spans="1:5" x14ac:dyDescent="0.35">
      <c r="A51" s="1439" t="s">
        <v>99</v>
      </c>
      <c r="B51" s="1440"/>
      <c r="C51" s="1441"/>
      <c r="D51" s="599">
        <f>+D45+D46+D47+D48+D49+D50</f>
        <v>507935</v>
      </c>
      <c r="E51" s="553"/>
    </row>
    <row r="52" spans="1:5" x14ac:dyDescent="0.35">
      <c r="A52" s="888" t="s">
        <v>182</v>
      </c>
      <c r="B52" s="885"/>
      <c r="C52" s="886"/>
      <c r="D52" s="887">
        <v>100000</v>
      </c>
      <c r="E52" s="553"/>
    </row>
    <row r="53" spans="1:5" x14ac:dyDescent="0.35">
      <c r="A53" s="921" t="s">
        <v>830</v>
      </c>
      <c r="B53" s="922">
        <f>+D45+D46+D47+D48</f>
        <v>507935</v>
      </c>
      <c r="C53" s="720"/>
      <c r="D53" s="722">
        <f>-B53*0.1</f>
        <v>-50793.5</v>
      </c>
    </row>
    <row r="54" spans="1:5" x14ac:dyDescent="0.35">
      <c r="A54" s="672"/>
      <c r="B54" s="673" t="s">
        <v>11</v>
      </c>
      <c r="C54" s="674"/>
      <c r="D54" s="675">
        <f>+D51+D52+D53</f>
        <v>557141.5</v>
      </c>
      <c r="E54" s="553"/>
    </row>
    <row r="55" spans="1:5" x14ac:dyDescent="0.35">
      <c r="B55" s="771"/>
      <c r="C55" s="771"/>
      <c r="D55" s="771"/>
    </row>
    <row r="57" spans="1:5" ht="14.5" customHeight="1" x14ac:dyDescent="0.35">
      <c r="A57" s="1442" t="s">
        <v>831</v>
      </c>
      <c r="B57" s="1443"/>
      <c r="C57" s="1443"/>
      <c r="D57" s="1444"/>
    </row>
    <row r="58" spans="1:5" ht="14.5" customHeight="1" x14ac:dyDescent="0.35">
      <c r="A58" s="2" t="s">
        <v>7</v>
      </c>
      <c r="B58" s="270" t="s">
        <v>8</v>
      </c>
      <c r="C58" s="217" t="s">
        <v>4</v>
      </c>
      <c r="D58" s="597" t="s">
        <v>63</v>
      </c>
    </row>
    <row r="59" spans="1:5" ht="14.5" customHeight="1" x14ac:dyDescent="0.35">
      <c r="A59" s="772" t="s">
        <v>3</v>
      </c>
      <c r="B59" s="258">
        <v>193</v>
      </c>
      <c r="C59" s="227">
        <v>1907</v>
      </c>
      <c r="D59" s="598">
        <f>+B59*C59</f>
        <v>368051</v>
      </c>
      <c r="E59" s="564"/>
    </row>
    <row r="60" spans="1:5" ht="14.5" customHeight="1" x14ac:dyDescent="0.35">
      <c r="A60" s="772" t="s">
        <v>282</v>
      </c>
      <c r="B60" s="258">
        <v>0</v>
      </c>
      <c r="C60" s="227">
        <f>+C59</f>
        <v>1907</v>
      </c>
      <c r="D60" s="598">
        <f>+B60*C60</f>
        <v>0</v>
      </c>
      <c r="E60" s="564"/>
    </row>
    <row r="61" spans="1:5" x14ac:dyDescent="0.35">
      <c r="A61" s="772" t="s">
        <v>196</v>
      </c>
      <c r="B61" s="258"/>
      <c r="C61" s="227">
        <v>15000</v>
      </c>
      <c r="D61" s="598">
        <f>+C61</f>
        <v>15000</v>
      </c>
      <c r="E61" s="564"/>
    </row>
    <row r="62" spans="1:5" x14ac:dyDescent="0.35">
      <c r="A62" s="772" t="s">
        <v>6</v>
      </c>
      <c r="B62" s="258"/>
      <c r="C62" s="227">
        <v>35000</v>
      </c>
      <c r="D62" s="598">
        <f>+C62</f>
        <v>35000</v>
      </c>
      <c r="E62" s="564"/>
    </row>
    <row r="63" spans="1:5" s="1069" customFormat="1" x14ac:dyDescent="0.35">
      <c r="A63" s="614" t="s">
        <v>270</v>
      </c>
      <c r="B63" s="617">
        <v>0.4</v>
      </c>
      <c r="C63" s="227">
        <f>+C59*1.5</f>
        <v>2860.5</v>
      </c>
      <c r="D63" s="598">
        <f>+B63*C63</f>
        <v>1144.2</v>
      </c>
      <c r="E63" s="564"/>
    </row>
    <row r="64" spans="1:5" x14ac:dyDescent="0.35">
      <c r="A64" s="772" t="s">
        <v>281</v>
      </c>
      <c r="B64" s="258">
        <v>0</v>
      </c>
      <c r="C64" s="227">
        <f>+C59*2</f>
        <v>3814</v>
      </c>
      <c r="D64" s="598">
        <f>+B64*C64</f>
        <v>0</v>
      </c>
    </row>
    <row r="65" spans="1:6" x14ac:dyDescent="0.35">
      <c r="A65" s="1439" t="s">
        <v>389</v>
      </c>
      <c r="B65" s="1440"/>
      <c r="C65" s="1441"/>
      <c r="D65" s="599">
        <f>+D59+D60+D61+D62+D63+D64</f>
        <v>419195.2</v>
      </c>
      <c r="E65" s="553"/>
      <c r="F65" s="774"/>
    </row>
    <row r="66" spans="1:6" x14ac:dyDescent="0.35">
      <c r="A66" s="1088" t="s">
        <v>818</v>
      </c>
      <c r="B66" s="1085"/>
      <c r="C66" s="1086"/>
      <c r="D66" s="599">
        <v>80000</v>
      </c>
      <c r="F66" s="774"/>
    </row>
    <row r="67" spans="1:6" x14ac:dyDescent="0.35">
      <c r="A67" s="723" t="s">
        <v>50</v>
      </c>
      <c r="B67" s="721"/>
      <c r="C67" s="721"/>
      <c r="D67" s="722">
        <v>-180000</v>
      </c>
      <c r="E67" s="553"/>
    </row>
    <row r="68" spans="1:6" x14ac:dyDescent="0.35">
      <c r="A68" s="872" t="s">
        <v>838</v>
      </c>
      <c r="B68" s="958"/>
      <c r="C68" s="959"/>
      <c r="D68" s="722">
        <v>-35000</v>
      </c>
    </row>
    <row r="69" spans="1:6" ht="15.5" x14ac:dyDescent="0.35">
      <c r="A69" s="1446" t="s">
        <v>11</v>
      </c>
      <c r="B69" s="1447"/>
      <c r="C69" s="1448"/>
      <c r="D69" s="603">
        <f>+D65+D66+D67+D68</f>
        <v>284195.20000000001</v>
      </c>
      <c r="E69" s="553"/>
    </row>
    <row r="70" spans="1:6" s="90" customFormat="1" x14ac:dyDescent="0.35">
      <c r="A70" s="1035"/>
      <c r="B70" s="1042"/>
      <c r="C70" s="553"/>
      <c r="D70" s="1051"/>
      <c r="E70" s="1042"/>
    </row>
    <row r="72" spans="1:6" ht="23.5" x14ac:dyDescent="0.35">
      <c r="A72" s="1442" t="s">
        <v>832</v>
      </c>
      <c r="B72" s="1443"/>
      <c r="C72" s="1443"/>
      <c r="D72" s="1444"/>
    </row>
    <row r="73" spans="1:6" x14ac:dyDescent="0.35">
      <c r="A73" s="2" t="s">
        <v>7</v>
      </c>
      <c r="B73" s="270" t="s">
        <v>388</v>
      </c>
      <c r="C73" s="217" t="s">
        <v>272</v>
      </c>
      <c r="D73" s="597" t="s">
        <v>9</v>
      </c>
    </row>
    <row r="74" spans="1:6" x14ac:dyDescent="0.35">
      <c r="A74" s="772" t="s">
        <v>3</v>
      </c>
      <c r="B74" s="258">
        <v>193</v>
      </c>
      <c r="C74" s="227">
        <v>2175</v>
      </c>
      <c r="D74" s="598">
        <f>+B74*C74</f>
        <v>419775</v>
      </c>
      <c r="E74" s="1048"/>
    </row>
    <row r="75" spans="1:6" x14ac:dyDescent="0.35">
      <c r="A75" s="772" t="s">
        <v>111</v>
      </c>
      <c r="B75" s="258">
        <v>0</v>
      </c>
      <c r="C75" s="227">
        <f>+C74</f>
        <v>2175</v>
      </c>
      <c r="D75" s="598">
        <f>+B75*C75</f>
        <v>0</v>
      </c>
      <c r="E75" s="564"/>
    </row>
    <row r="76" spans="1:6" x14ac:dyDescent="0.35">
      <c r="A76" s="772" t="s">
        <v>6</v>
      </c>
      <c r="B76" s="258"/>
      <c r="C76" s="227">
        <v>50000</v>
      </c>
      <c r="D76" s="598">
        <f>+C76</f>
        <v>50000</v>
      </c>
      <c r="E76" s="564"/>
    </row>
    <row r="77" spans="1:6" x14ac:dyDescent="0.35">
      <c r="A77" s="772" t="s">
        <v>200</v>
      </c>
      <c r="B77" s="258"/>
      <c r="C77" s="227">
        <v>15000</v>
      </c>
      <c r="D77" s="598">
        <f>+C77</f>
        <v>15000</v>
      </c>
      <c r="E77" s="564"/>
    </row>
    <row r="78" spans="1:6" x14ac:dyDescent="0.35">
      <c r="A78" s="772" t="s">
        <v>475</v>
      </c>
      <c r="B78" s="258">
        <v>3.1</v>
      </c>
      <c r="C78" s="227">
        <f>+C74*1.5</f>
        <v>3262.5</v>
      </c>
      <c r="D78" s="811">
        <f>+B78*C78</f>
        <v>10113.75</v>
      </c>
      <c r="E78" s="564"/>
    </row>
    <row r="79" spans="1:6" x14ac:dyDescent="0.35">
      <c r="A79" s="772" t="s">
        <v>757</v>
      </c>
      <c r="B79" s="258">
        <v>0</v>
      </c>
      <c r="C79" s="227">
        <f>+C74*2</f>
        <v>4350</v>
      </c>
      <c r="D79" s="598">
        <f>+B79*C79</f>
        <v>0</v>
      </c>
    </row>
    <row r="80" spans="1:6" x14ac:dyDescent="0.35">
      <c r="A80" s="1036" t="s">
        <v>389</v>
      </c>
      <c r="B80" s="681"/>
      <c r="C80" s="1037"/>
      <c r="D80" s="1038">
        <f>+D74+D75+D76+D77+D78+D79</f>
        <v>494888.75</v>
      </c>
      <c r="E80" s="553"/>
    </row>
    <row r="81" spans="1:5" x14ac:dyDescent="0.35">
      <c r="A81" s="1036" t="s">
        <v>818</v>
      </c>
      <c r="B81" s="681"/>
      <c r="C81" s="1037"/>
      <c r="D81" s="1038">
        <v>110000</v>
      </c>
    </row>
    <row r="82" spans="1:5" x14ac:dyDescent="0.35">
      <c r="A82" s="772" t="s">
        <v>19</v>
      </c>
      <c r="B82" s="258"/>
      <c r="C82" s="227"/>
      <c r="D82" s="731">
        <v>-60000</v>
      </c>
    </row>
    <row r="83" spans="1:5" ht="15.5" x14ac:dyDescent="0.35">
      <c r="A83" s="1446" t="s">
        <v>11</v>
      </c>
      <c r="B83" s="1447"/>
      <c r="C83" s="1448"/>
      <c r="D83" s="603">
        <f>+D80+D81+D82</f>
        <v>544888.75</v>
      </c>
      <c r="E83" s="553"/>
    </row>
    <row r="84" spans="1:5" s="90" customFormat="1" x14ac:dyDescent="0.35">
      <c r="B84" s="1042"/>
      <c r="C84" s="553"/>
      <c r="D84" s="1051" t="s">
        <v>63</v>
      </c>
      <c r="E84" s="1042"/>
    </row>
    <row r="86" spans="1:5" ht="23.5" x14ac:dyDescent="0.35">
      <c r="A86" s="1431" t="s">
        <v>833</v>
      </c>
      <c r="B86" s="1431"/>
      <c r="C86" s="1431"/>
      <c r="D86" s="1431"/>
    </row>
    <row r="87" spans="1:5" x14ac:dyDescent="0.35">
      <c r="A87" s="2" t="s">
        <v>7</v>
      </c>
      <c r="B87" s="270" t="s">
        <v>8</v>
      </c>
      <c r="C87" s="217" t="s">
        <v>4</v>
      </c>
      <c r="D87" s="597" t="s">
        <v>9</v>
      </c>
    </row>
    <row r="88" spans="1:5" x14ac:dyDescent="0.35">
      <c r="A88" s="772" t="s">
        <v>3</v>
      </c>
      <c r="B88" s="258">
        <v>193</v>
      </c>
      <c r="C88" s="227">
        <v>1907</v>
      </c>
      <c r="D88" s="598">
        <f>+B88*C88</f>
        <v>368051</v>
      </c>
      <c r="E88" s="564"/>
    </row>
    <row r="89" spans="1:5" x14ac:dyDescent="0.35">
      <c r="A89" s="772" t="s">
        <v>299</v>
      </c>
      <c r="B89" s="258">
        <v>0</v>
      </c>
      <c r="C89" s="227">
        <f>+C88</f>
        <v>1907</v>
      </c>
      <c r="D89" s="598">
        <f>+B89*C89</f>
        <v>0</v>
      </c>
      <c r="E89" s="564"/>
    </row>
    <row r="90" spans="1:5" x14ac:dyDescent="0.35">
      <c r="A90" s="772" t="s">
        <v>200</v>
      </c>
      <c r="B90" s="258"/>
      <c r="C90" s="227">
        <v>15000</v>
      </c>
      <c r="D90" s="598">
        <f>+C90</f>
        <v>15000</v>
      </c>
      <c r="E90" s="564"/>
    </row>
    <row r="91" spans="1:5" x14ac:dyDescent="0.35">
      <c r="A91" s="772" t="s">
        <v>6</v>
      </c>
      <c r="B91" s="258"/>
      <c r="C91" s="194">
        <v>35000</v>
      </c>
      <c r="D91" s="598">
        <f>+C91</f>
        <v>35000</v>
      </c>
      <c r="E91" s="564"/>
    </row>
    <row r="92" spans="1:5" x14ac:dyDescent="0.35">
      <c r="A92" s="772" t="s">
        <v>270</v>
      </c>
      <c r="B92" s="258">
        <v>5.45</v>
      </c>
      <c r="C92" s="194">
        <f>+C88*1.5</f>
        <v>2860.5</v>
      </c>
      <c r="D92" s="598">
        <f>+B92*C92</f>
        <v>15589.725</v>
      </c>
      <c r="E92" s="564"/>
    </row>
    <row r="93" spans="1:5" x14ac:dyDescent="0.35">
      <c r="A93" s="772" t="s">
        <v>281</v>
      </c>
      <c r="B93" s="258">
        <v>0</v>
      </c>
      <c r="C93" s="194">
        <f>+C88*2</f>
        <v>3814</v>
      </c>
      <c r="D93" s="598">
        <f>+B93*C93</f>
        <v>0</v>
      </c>
    </row>
    <row r="94" spans="1:5" x14ac:dyDescent="0.35">
      <c r="A94" s="1439" t="s">
        <v>389</v>
      </c>
      <c r="B94" s="1440"/>
      <c r="C94" s="1441"/>
      <c r="D94" s="599">
        <f>+D88+D89+D90+D91+D92+D93</f>
        <v>433640.72499999998</v>
      </c>
      <c r="E94" s="553"/>
    </row>
    <row r="95" spans="1:5" x14ac:dyDescent="0.35">
      <c r="A95" s="1088" t="s">
        <v>818</v>
      </c>
      <c r="B95" s="1085"/>
      <c r="C95" s="1086"/>
      <c r="D95" s="599">
        <v>110000</v>
      </c>
      <c r="E95" s="553"/>
    </row>
    <row r="96" spans="1:5" x14ac:dyDescent="0.35">
      <c r="A96" s="724" t="s">
        <v>19</v>
      </c>
      <c r="B96" s="729" t="s">
        <v>63</v>
      </c>
      <c r="C96" s="730" t="s">
        <v>63</v>
      </c>
      <c r="D96" s="731">
        <v>-70000</v>
      </c>
    </row>
    <row r="97" spans="1:5" s="997" customFormat="1" ht="15.5" x14ac:dyDescent="0.35">
      <c r="A97" s="992"/>
      <c r="B97" s="993" t="s">
        <v>11</v>
      </c>
      <c r="C97" s="994"/>
      <c r="D97" s="995">
        <f>+D94+D95+D96</f>
        <v>473640.72499999998</v>
      </c>
      <c r="E97" s="1046"/>
    </row>
    <row r="98" spans="1:5" s="90" customFormat="1" x14ac:dyDescent="0.35">
      <c r="B98" s="1042"/>
      <c r="C98" s="553"/>
      <c r="D98" s="1051"/>
      <c r="E98" s="1042"/>
    </row>
    <row r="100" spans="1:5" ht="23.5" x14ac:dyDescent="0.35">
      <c r="A100" s="1442" t="s">
        <v>834</v>
      </c>
      <c r="B100" s="1443"/>
      <c r="C100" s="1443"/>
      <c r="D100" s="1444"/>
    </row>
    <row r="101" spans="1:5" x14ac:dyDescent="0.35">
      <c r="A101" s="2" t="s">
        <v>7</v>
      </c>
      <c r="B101" s="270" t="s">
        <v>8</v>
      </c>
      <c r="C101" s="217" t="s">
        <v>4</v>
      </c>
      <c r="D101" s="597" t="s">
        <v>9</v>
      </c>
    </row>
    <row r="102" spans="1:5" x14ac:dyDescent="0.35">
      <c r="A102" s="772" t="s">
        <v>3</v>
      </c>
      <c r="B102" s="258">
        <v>170.55</v>
      </c>
      <c r="C102" s="194">
        <v>2801</v>
      </c>
      <c r="D102" s="598">
        <f>+B102*C102</f>
        <v>477710.55000000005</v>
      </c>
      <c r="E102" s="564"/>
    </row>
    <row r="103" spans="1:5" x14ac:dyDescent="0.35">
      <c r="A103" s="772" t="s">
        <v>111</v>
      </c>
      <c r="B103" s="258">
        <v>0</v>
      </c>
      <c r="C103" s="194">
        <f>+C102</f>
        <v>2801</v>
      </c>
      <c r="D103" s="609">
        <f>+B103*C103</f>
        <v>0</v>
      </c>
      <c r="E103" s="564"/>
    </row>
    <row r="104" spans="1:5" x14ac:dyDescent="0.35">
      <c r="A104" s="772" t="s">
        <v>6</v>
      </c>
      <c r="B104" s="258"/>
      <c r="C104" s="194">
        <v>35000</v>
      </c>
      <c r="D104" s="609">
        <f>+C104</f>
        <v>35000</v>
      </c>
      <c r="E104" s="564"/>
    </row>
    <row r="105" spans="1:5" x14ac:dyDescent="0.35">
      <c r="A105" s="614" t="s">
        <v>556</v>
      </c>
      <c r="B105" s="617"/>
      <c r="C105" s="227">
        <v>15000</v>
      </c>
      <c r="D105" s="609">
        <f>+C105</f>
        <v>15000</v>
      </c>
      <c r="E105" s="564"/>
    </row>
    <row r="106" spans="1:5" x14ac:dyDescent="0.35">
      <c r="A106" s="614"/>
      <c r="B106" s="617">
        <v>0</v>
      </c>
      <c r="C106" s="227">
        <v>0</v>
      </c>
      <c r="D106" s="609">
        <f>+B106*C106</f>
        <v>0</v>
      </c>
      <c r="E106" s="553"/>
    </row>
    <row r="107" spans="1:5" s="764" customFormat="1" x14ac:dyDescent="0.35">
      <c r="A107" s="882" t="s">
        <v>389</v>
      </c>
      <c r="B107" s="883"/>
      <c r="C107" s="884"/>
      <c r="D107" s="1058">
        <f>+D102+D103+D104+D105+D106</f>
        <v>527710.55000000005</v>
      </c>
      <c r="E107" s="768"/>
    </row>
    <row r="108" spans="1:5" s="764" customFormat="1" x14ac:dyDescent="0.35">
      <c r="A108" s="882" t="s">
        <v>823</v>
      </c>
      <c r="B108" s="883"/>
      <c r="C108" s="884"/>
      <c r="D108" s="1058">
        <v>100000</v>
      </c>
      <c r="E108" s="768"/>
    </row>
    <row r="109" spans="1:5" s="1070" customFormat="1" x14ac:dyDescent="0.35">
      <c r="A109" s="724" t="s">
        <v>19</v>
      </c>
      <c r="B109" s="729"/>
      <c r="C109" s="729"/>
      <c r="D109" s="731">
        <v>-100000</v>
      </c>
      <c r="E109" s="1073"/>
    </row>
    <row r="110" spans="1:5" s="90" customFormat="1" x14ac:dyDescent="0.35">
      <c r="A110" s="1071" t="s">
        <v>11</v>
      </c>
      <c r="B110" s="1074"/>
      <c r="C110" s="1074"/>
      <c r="D110" s="1075">
        <f>+D107+D108+D109</f>
        <v>527710.55000000005</v>
      </c>
      <c r="E110" s="1042"/>
    </row>
    <row r="111" spans="1:5" s="90" customFormat="1" x14ac:dyDescent="0.35">
      <c r="A111" s="691"/>
      <c r="B111" s="1089"/>
      <c r="C111" s="1089"/>
      <c r="D111" s="1090"/>
      <c r="E111" s="1042"/>
    </row>
    <row r="112" spans="1:5" s="90" customFormat="1" x14ac:dyDescent="0.35">
      <c r="A112" s="691"/>
      <c r="B112" s="1089"/>
      <c r="C112" s="1089"/>
      <c r="D112" s="1090"/>
      <c r="E112" s="1042"/>
    </row>
    <row r="113" spans="1:19" ht="23.5" x14ac:dyDescent="0.35">
      <c r="A113" s="1442" t="s">
        <v>835</v>
      </c>
      <c r="B113" s="1443"/>
      <c r="C113" s="1443"/>
      <c r="D113" s="1444"/>
    </row>
    <row r="114" spans="1:19" x14ac:dyDescent="0.35">
      <c r="A114" s="2" t="s">
        <v>7</v>
      </c>
      <c r="B114" s="270" t="s">
        <v>388</v>
      </c>
      <c r="C114" s="217" t="s">
        <v>629</v>
      </c>
      <c r="D114" s="597" t="s">
        <v>9</v>
      </c>
    </row>
    <row r="115" spans="1:19" x14ac:dyDescent="0.35">
      <c r="A115" s="772" t="s">
        <v>3</v>
      </c>
      <c r="B115" s="258">
        <v>193</v>
      </c>
      <c r="C115" s="194">
        <v>2801</v>
      </c>
      <c r="D115" s="598">
        <f>+B115*C115</f>
        <v>540593</v>
      </c>
      <c r="E115" s="564"/>
    </row>
    <row r="116" spans="1:19" x14ac:dyDescent="0.35">
      <c r="A116" s="772" t="s">
        <v>111</v>
      </c>
      <c r="B116" s="258">
        <v>0</v>
      </c>
      <c r="C116" s="194">
        <f>+C115</f>
        <v>2801</v>
      </c>
      <c r="D116" s="609">
        <f>+B116*C116</f>
        <v>0</v>
      </c>
      <c r="E116" s="564"/>
    </row>
    <row r="117" spans="1:19" x14ac:dyDescent="0.35">
      <c r="A117" s="772" t="s">
        <v>556</v>
      </c>
      <c r="B117" s="258"/>
      <c r="C117" s="194">
        <v>15000</v>
      </c>
      <c r="D117" s="609">
        <f>+C117</f>
        <v>15000</v>
      </c>
      <c r="E117" s="564"/>
    </row>
    <row r="118" spans="1:19" x14ac:dyDescent="0.35">
      <c r="A118" s="772" t="s">
        <v>6</v>
      </c>
      <c r="B118" s="258"/>
      <c r="C118" s="194">
        <v>35000</v>
      </c>
      <c r="D118" s="609">
        <f>+C118</f>
        <v>35000</v>
      </c>
      <c r="E118" s="564"/>
    </row>
    <row r="119" spans="1:19" x14ac:dyDescent="0.35">
      <c r="A119" s="614" t="s">
        <v>628</v>
      </c>
      <c r="B119" s="617">
        <v>3.05</v>
      </c>
      <c r="C119" s="227">
        <f>+C115*1.5</f>
        <v>4201.5</v>
      </c>
      <c r="D119" s="609">
        <f>+B119*C119</f>
        <v>12814.574999999999</v>
      </c>
      <c r="E119" s="564"/>
    </row>
    <row r="120" spans="1:19" x14ac:dyDescent="0.35">
      <c r="A120" s="614" t="s">
        <v>837</v>
      </c>
      <c r="B120" s="617"/>
      <c r="C120" s="227"/>
      <c r="D120" s="609">
        <v>26600</v>
      </c>
    </row>
    <row r="121" spans="1:19" x14ac:dyDescent="0.35">
      <c r="A121" s="614" t="s">
        <v>836</v>
      </c>
      <c r="B121" s="617"/>
      <c r="C121" s="227"/>
      <c r="D121" s="609">
        <v>34700</v>
      </c>
    </row>
    <row r="122" spans="1:19" s="1042" customFormat="1" x14ac:dyDescent="0.35">
      <c r="A122" s="882" t="s">
        <v>99</v>
      </c>
      <c r="B122" s="883"/>
      <c r="C122" s="883"/>
      <c r="D122" s="884">
        <f>+D115+D116+D117+D118+D119+D120+D121</f>
        <v>664707.57499999995</v>
      </c>
      <c r="E122" s="553"/>
      <c r="F122" s="771"/>
      <c r="G122" s="771"/>
      <c r="H122" s="771"/>
      <c r="I122" s="771"/>
      <c r="J122" s="771"/>
      <c r="K122" s="771"/>
      <c r="L122" s="771"/>
      <c r="M122" s="771"/>
      <c r="N122" s="771"/>
      <c r="O122" s="771"/>
      <c r="P122" s="771"/>
      <c r="Q122" s="771"/>
      <c r="R122" s="771"/>
      <c r="S122" s="771"/>
    </row>
    <row r="123" spans="1:19" s="1076" customFormat="1" x14ac:dyDescent="0.35">
      <c r="A123" s="1077" t="s">
        <v>823</v>
      </c>
      <c r="B123" s="1077"/>
      <c r="C123" s="1077"/>
      <c r="D123" s="1077">
        <v>60000</v>
      </c>
      <c r="E123" s="1078"/>
    </row>
    <row r="124" spans="1:19" s="1042" customFormat="1" x14ac:dyDescent="0.35">
      <c r="A124" s="962"/>
      <c r="B124" s="619"/>
      <c r="C124" s="619"/>
      <c r="D124" s="730"/>
      <c r="F124" s="771"/>
      <c r="G124" s="771"/>
      <c r="H124" s="771"/>
      <c r="I124" s="771"/>
      <c r="J124" s="771"/>
      <c r="K124" s="771"/>
      <c r="L124" s="771"/>
      <c r="M124" s="771"/>
      <c r="N124" s="771"/>
      <c r="O124" s="771"/>
      <c r="P124" s="771"/>
      <c r="Q124" s="771"/>
      <c r="R124" s="771"/>
      <c r="S124" s="771"/>
    </row>
    <row r="125" spans="1:19" s="1042" customFormat="1" ht="15.5" x14ac:dyDescent="0.35">
      <c r="A125" s="611" t="s">
        <v>11</v>
      </c>
      <c r="B125" s="612"/>
      <c r="C125" s="613"/>
      <c r="D125" s="603">
        <f>+D122+D123</f>
        <v>724707.57499999995</v>
      </c>
      <c r="E125" s="1091"/>
      <c r="F125" s="771"/>
      <c r="G125" s="771"/>
      <c r="H125" s="771"/>
      <c r="I125" s="771"/>
      <c r="J125" s="771"/>
      <c r="K125" s="771"/>
      <c r="L125" s="771"/>
      <c r="M125" s="771"/>
      <c r="N125" s="771"/>
      <c r="O125" s="771"/>
      <c r="P125" s="771"/>
      <c r="Q125" s="771"/>
      <c r="R125" s="771"/>
      <c r="S125" s="771"/>
    </row>
    <row r="127" spans="1:19" s="1042" customFormat="1" ht="23.5" x14ac:dyDescent="0.55000000000000004">
      <c r="A127" s="1056" t="s">
        <v>841</v>
      </c>
      <c r="B127" s="964" t="s">
        <v>7</v>
      </c>
      <c r="C127" s="1052" t="s">
        <v>9</v>
      </c>
      <c r="D127" s="203"/>
      <c r="F127" s="771"/>
      <c r="G127" s="771"/>
      <c r="H127" s="771"/>
      <c r="I127" s="771"/>
      <c r="J127" s="771"/>
      <c r="K127" s="771"/>
      <c r="L127" s="771"/>
      <c r="M127" s="771"/>
      <c r="N127" s="771"/>
      <c r="O127" s="771"/>
      <c r="P127" s="771"/>
      <c r="Q127" s="771"/>
      <c r="R127" s="771"/>
      <c r="S127" s="771"/>
    </row>
    <row r="128" spans="1:19" s="1042" customFormat="1" x14ac:dyDescent="0.35">
      <c r="A128" s="585"/>
      <c r="B128" s="258" t="s">
        <v>10</v>
      </c>
      <c r="C128" s="194">
        <v>410730</v>
      </c>
      <c r="D128" s="203"/>
      <c r="F128" s="771"/>
      <c r="G128" s="771"/>
      <c r="H128" s="771"/>
      <c r="I128" s="771"/>
      <c r="J128" s="771"/>
      <c r="K128" s="771"/>
      <c r="L128" s="771"/>
      <c r="M128" s="771"/>
      <c r="N128" s="771"/>
      <c r="O128" s="771"/>
      <c r="P128" s="771"/>
      <c r="Q128" s="771"/>
      <c r="R128" s="771"/>
      <c r="S128" s="771"/>
    </row>
    <row r="129" spans="1:19" s="1042" customFormat="1" x14ac:dyDescent="0.35">
      <c r="A129" s="771"/>
      <c r="B129" s="258" t="s">
        <v>16</v>
      </c>
      <c r="C129" s="194">
        <v>530550</v>
      </c>
      <c r="D129" s="203" t="s">
        <v>63</v>
      </c>
      <c r="F129" s="771"/>
      <c r="G129" s="771"/>
      <c r="H129" s="771"/>
      <c r="I129" s="771"/>
      <c r="J129" s="771"/>
      <c r="K129" s="771"/>
      <c r="L129" s="771"/>
      <c r="M129" s="771"/>
      <c r="N129" s="771"/>
      <c r="O129" s="771"/>
      <c r="P129" s="771"/>
      <c r="Q129" s="771"/>
      <c r="R129" s="771"/>
      <c r="S129" s="771"/>
    </row>
    <row r="130" spans="1:19" s="1042" customFormat="1" x14ac:dyDescent="0.35">
      <c r="A130" s="771"/>
      <c r="B130" s="258" t="s">
        <v>0</v>
      </c>
      <c r="C130" s="194">
        <v>577940</v>
      </c>
      <c r="D130" s="203"/>
      <c r="F130" s="771"/>
      <c r="G130" s="771"/>
      <c r="H130" s="771"/>
      <c r="I130" s="771"/>
      <c r="J130" s="771"/>
      <c r="K130" s="771"/>
      <c r="L130" s="771"/>
      <c r="M130" s="771"/>
      <c r="N130" s="771"/>
      <c r="O130" s="771"/>
      <c r="P130" s="771"/>
      <c r="Q130" s="771"/>
      <c r="R130" s="771"/>
      <c r="S130" s="771"/>
    </row>
    <row r="131" spans="1:19" s="1042" customFormat="1" x14ac:dyDescent="0.35">
      <c r="A131" s="771"/>
      <c r="B131" s="258" t="s">
        <v>245</v>
      </c>
      <c r="C131" s="194">
        <v>284200</v>
      </c>
      <c r="D131" s="203"/>
      <c r="F131" s="771"/>
      <c r="G131" s="771"/>
      <c r="H131" s="771"/>
      <c r="I131" s="771"/>
      <c r="J131" s="771"/>
      <c r="K131" s="771"/>
      <c r="L131" s="771"/>
      <c r="M131" s="771"/>
      <c r="N131" s="771"/>
      <c r="O131" s="771"/>
      <c r="P131" s="771"/>
      <c r="Q131" s="771"/>
      <c r="R131" s="771"/>
      <c r="S131" s="771"/>
    </row>
    <row r="132" spans="1:19" s="1042" customFormat="1" x14ac:dyDescent="0.35">
      <c r="A132" s="771"/>
      <c r="B132" s="258" t="s">
        <v>463</v>
      </c>
      <c r="C132" s="194">
        <v>544900</v>
      </c>
      <c r="D132" s="203"/>
      <c r="F132" s="771"/>
      <c r="G132" s="771"/>
      <c r="H132" s="771"/>
      <c r="I132" s="771"/>
      <c r="J132" s="771"/>
      <c r="K132" s="771"/>
      <c r="L132" s="771"/>
      <c r="M132" s="771"/>
      <c r="N132" s="771"/>
      <c r="O132" s="771"/>
      <c r="P132" s="771"/>
      <c r="Q132" s="771"/>
      <c r="R132" s="771"/>
      <c r="S132" s="771"/>
    </row>
    <row r="133" spans="1:19" s="1042" customFormat="1" x14ac:dyDescent="0.35">
      <c r="A133" s="771"/>
      <c r="B133" s="258" t="s">
        <v>553</v>
      </c>
      <c r="C133" s="194">
        <v>473650</v>
      </c>
      <c r="D133" s="203"/>
      <c r="F133" s="771"/>
      <c r="G133" s="771"/>
      <c r="H133" s="771"/>
      <c r="I133" s="771"/>
      <c r="J133" s="771"/>
      <c r="K133" s="771"/>
      <c r="L133" s="771"/>
      <c r="M133" s="771"/>
      <c r="N133" s="771"/>
      <c r="O133" s="771"/>
      <c r="P133" s="771"/>
      <c r="Q133" s="771"/>
      <c r="R133" s="771"/>
      <c r="S133" s="771"/>
    </row>
    <row r="134" spans="1:19" s="1042" customFormat="1" x14ac:dyDescent="0.35">
      <c r="A134" s="771"/>
      <c r="B134" s="258" t="s">
        <v>260</v>
      </c>
      <c r="C134" s="194">
        <v>527700</v>
      </c>
      <c r="D134" s="203"/>
      <c r="F134" s="771"/>
      <c r="G134" s="771"/>
      <c r="H134" s="771"/>
      <c r="I134" s="771"/>
      <c r="J134" s="771"/>
      <c r="K134" s="771"/>
      <c r="L134" s="771"/>
      <c r="M134" s="771"/>
      <c r="N134" s="771"/>
      <c r="O134" s="771"/>
      <c r="P134" s="771"/>
      <c r="Q134" s="771"/>
      <c r="R134" s="771"/>
      <c r="S134" s="771"/>
    </row>
    <row r="135" spans="1:19" s="1042" customFormat="1" x14ac:dyDescent="0.35">
      <c r="A135" s="771"/>
      <c r="B135" s="258" t="s">
        <v>613</v>
      </c>
      <c r="C135" s="194">
        <v>724710</v>
      </c>
      <c r="D135" s="203"/>
      <c r="F135" s="771"/>
      <c r="G135" s="771"/>
      <c r="H135" s="771"/>
      <c r="I135" s="771"/>
      <c r="J135" s="771"/>
      <c r="K135" s="771"/>
      <c r="L135" s="771"/>
      <c r="M135" s="771"/>
      <c r="N135" s="771"/>
      <c r="O135" s="771"/>
      <c r="P135" s="771"/>
      <c r="Q135" s="771"/>
      <c r="R135" s="771"/>
      <c r="S135" s="771"/>
    </row>
    <row r="136" spans="1:19" s="1042" customFormat="1" x14ac:dyDescent="0.35">
      <c r="A136" s="771"/>
      <c r="B136" s="274" t="s">
        <v>803</v>
      </c>
      <c r="C136" s="195">
        <f>SUM(C128:C135)</f>
        <v>4074380</v>
      </c>
      <c r="D136" s="203" t="s">
        <v>63</v>
      </c>
      <c r="F136" s="771"/>
      <c r="G136" s="771"/>
      <c r="H136" s="771"/>
      <c r="I136" s="771"/>
      <c r="J136" s="771"/>
      <c r="K136" s="771"/>
      <c r="L136" s="771"/>
      <c r="M136" s="771"/>
      <c r="N136" s="771"/>
      <c r="O136" s="771"/>
      <c r="P136" s="771"/>
      <c r="Q136" s="771"/>
      <c r="R136" s="771"/>
      <c r="S136" s="771"/>
    </row>
    <row r="143" spans="1:19" s="203" customFormat="1" x14ac:dyDescent="0.35">
      <c r="A143" s="771"/>
      <c r="B143" s="258" t="s">
        <v>267</v>
      </c>
      <c r="C143" s="194">
        <v>557150</v>
      </c>
      <c r="E143" s="1042"/>
      <c r="F143" s="771"/>
      <c r="G143" s="771"/>
      <c r="H143" s="771"/>
      <c r="I143" s="771"/>
      <c r="J143" s="771"/>
      <c r="K143" s="771"/>
      <c r="L143" s="771"/>
      <c r="M143" s="771"/>
      <c r="N143" s="771"/>
      <c r="O143" s="771"/>
      <c r="P143" s="771"/>
      <c r="Q143" s="771"/>
      <c r="R143" s="771"/>
      <c r="S143" s="771"/>
    </row>
    <row r="146" spans="1:19" s="203" customFormat="1" x14ac:dyDescent="0.35">
      <c r="A146" s="771"/>
      <c r="B146" s="274" t="s">
        <v>842</v>
      </c>
      <c r="C146" s="195">
        <f>+C136+C143</f>
        <v>4631530</v>
      </c>
      <c r="E146" s="1042"/>
      <c r="F146" s="771"/>
      <c r="G146" s="771"/>
      <c r="H146" s="771"/>
      <c r="I146" s="771"/>
      <c r="J146" s="771"/>
      <c r="K146" s="771"/>
      <c r="L146" s="771"/>
      <c r="M146" s="771"/>
      <c r="N146" s="771"/>
      <c r="O146" s="771"/>
      <c r="P146" s="771"/>
      <c r="Q146" s="771"/>
      <c r="R146" s="771"/>
      <c r="S146" s="771"/>
    </row>
    <row r="149" spans="1:19" x14ac:dyDescent="0.35">
      <c r="B149" s="258" t="str">
        <f>RESUMEN052024!B18</f>
        <v>,</v>
      </c>
      <c r="C149" s="1093" t="str">
        <f>RESUMEN052024!C18</f>
        <v>VALOR HORA</v>
      </c>
      <c r="D149" s="1094" t="str">
        <f>RESUMEN052024!D18</f>
        <v>PRESENTISMO</v>
      </c>
    </row>
    <row r="150" spans="1:19" x14ac:dyDescent="0.35">
      <c r="B150" s="258" t="str">
        <f>RESUMEN052024!B19</f>
        <v>PILU</v>
      </c>
      <c r="C150" s="194">
        <v>2417</v>
      </c>
      <c r="D150" s="598">
        <f>RESUMEN052024!D19</f>
        <v>15000</v>
      </c>
    </row>
    <row r="151" spans="1:19" x14ac:dyDescent="0.35">
      <c r="B151" s="258" t="str">
        <f>RESUMEN052024!B20</f>
        <v>FACU</v>
      </c>
      <c r="C151" s="194">
        <v>0</v>
      </c>
      <c r="D151" s="598">
        <v>0</v>
      </c>
    </row>
    <row r="152" spans="1:19" x14ac:dyDescent="0.35">
      <c r="B152" s="258" t="str">
        <f>RESUMEN052024!B21</f>
        <v>CHACO</v>
      </c>
      <c r="C152" s="194">
        <v>2165</v>
      </c>
      <c r="D152" s="598">
        <f>RESUMEN052024!D21</f>
        <v>15000</v>
      </c>
    </row>
    <row r="153" spans="1:19" x14ac:dyDescent="0.35">
      <c r="B153" s="258" t="str">
        <f>RESUMEN052024!B22</f>
        <v>JUANI</v>
      </c>
      <c r="C153" s="194">
        <v>3288</v>
      </c>
      <c r="D153" s="598">
        <f>RESUMEN052024!D22</f>
        <v>15000</v>
      </c>
    </row>
    <row r="154" spans="1:19" x14ac:dyDescent="0.35">
      <c r="B154" s="258" t="str">
        <f>RESUMEN052024!B23</f>
        <v>CORCHO</v>
      </c>
      <c r="C154" s="194">
        <v>2295</v>
      </c>
      <c r="D154" s="598">
        <f>RESUMEN052024!D23</f>
        <v>15000</v>
      </c>
    </row>
    <row r="155" spans="1:19" x14ac:dyDescent="0.35">
      <c r="B155" s="258" t="str">
        <f>RESUMEN052024!B24</f>
        <v>GERMAN</v>
      </c>
      <c r="C155" s="194">
        <v>1907</v>
      </c>
      <c r="D155" s="598">
        <f>RESUMEN052024!D24</f>
        <v>15000</v>
      </c>
    </row>
    <row r="156" spans="1:19" x14ac:dyDescent="0.35">
      <c r="B156" s="258" t="str">
        <f>RESUMEN052024!B25</f>
        <v>RUBEN</v>
      </c>
      <c r="C156" s="194">
        <v>2175</v>
      </c>
      <c r="D156" s="598">
        <f>RESUMEN052024!D25</f>
        <v>15000</v>
      </c>
    </row>
    <row r="157" spans="1:19" x14ac:dyDescent="0.35">
      <c r="B157" s="258" t="str">
        <f>RESUMEN052024!B26</f>
        <v>MATIAS</v>
      </c>
      <c r="C157" s="194">
        <v>1907</v>
      </c>
      <c r="D157" s="598">
        <f>RESUMEN052024!D26</f>
        <v>15000</v>
      </c>
    </row>
    <row r="158" spans="1:19" x14ac:dyDescent="0.35">
      <c r="B158" s="258" t="str">
        <f>RESUMEN052024!B27</f>
        <v>ANDREA</v>
      </c>
      <c r="C158" s="194">
        <v>2801</v>
      </c>
      <c r="D158" s="598">
        <f>RESUMEN052024!D27</f>
        <v>15000</v>
      </c>
    </row>
    <row r="159" spans="1:19" x14ac:dyDescent="0.35">
      <c r="B159" s="258" t="str">
        <f>RESUMEN052024!B28</f>
        <v>VIRGINIA</v>
      </c>
      <c r="C159" s="194">
        <v>2801</v>
      </c>
      <c r="D159" s="598">
        <f>RESUMEN052024!D28</f>
        <v>15000</v>
      </c>
    </row>
    <row r="162" spans="1:4" x14ac:dyDescent="0.35">
      <c r="A162" s="701" t="s">
        <v>106</v>
      </c>
      <c r="B162" s="702" t="s">
        <v>107</v>
      </c>
      <c r="C162" s="1013" t="s">
        <v>803</v>
      </c>
      <c r="D162" s="1092" t="s">
        <v>7</v>
      </c>
    </row>
    <row r="163" spans="1:4" x14ac:dyDescent="0.35">
      <c r="A163" s="703">
        <v>17</v>
      </c>
      <c r="B163" s="703">
        <v>9</v>
      </c>
      <c r="C163" s="964">
        <f>+A163*B163</f>
        <v>153</v>
      </c>
      <c r="D163" s="593" t="s">
        <v>116</v>
      </c>
    </row>
    <row r="164" spans="1:4" x14ac:dyDescent="0.35">
      <c r="A164" s="703">
        <v>5</v>
      </c>
      <c r="B164" s="703">
        <v>8</v>
      </c>
      <c r="C164" s="964">
        <f>+A164*B164</f>
        <v>40</v>
      </c>
      <c r="D164" s="593" t="s">
        <v>638</v>
      </c>
    </row>
    <row r="165" spans="1:4" x14ac:dyDescent="0.35">
      <c r="A165" s="703">
        <v>0</v>
      </c>
      <c r="B165" s="703">
        <v>8</v>
      </c>
      <c r="C165" s="964">
        <f>+A165*B165</f>
        <v>0</v>
      </c>
      <c r="D165" s="593" t="s">
        <v>111</v>
      </c>
    </row>
    <row r="166" spans="1:4" x14ac:dyDescent="0.35">
      <c r="A166" s="568" t="s">
        <v>63</v>
      </c>
      <c r="B166" s="773"/>
      <c r="C166" s="964">
        <f>+C163+C164+C165</f>
        <v>193</v>
      </c>
      <c r="D166" s="593" t="s">
        <v>309</v>
      </c>
    </row>
  </sheetData>
  <mergeCells count="18">
    <mergeCell ref="A29:D29"/>
    <mergeCell ref="A3:D3"/>
    <mergeCell ref="A10:C10"/>
    <mergeCell ref="A13:C13"/>
    <mergeCell ref="A16:D16"/>
    <mergeCell ref="A23:C23"/>
    <mergeCell ref="A113:D113"/>
    <mergeCell ref="A37:C37"/>
    <mergeCell ref="A43:D43"/>
    <mergeCell ref="A51:C51"/>
    <mergeCell ref="A57:D57"/>
    <mergeCell ref="A65:C65"/>
    <mergeCell ref="A69:C69"/>
    <mergeCell ref="A72:D72"/>
    <mergeCell ref="A83:C83"/>
    <mergeCell ref="A86:D86"/>
    <mergeCell ref="A94:C94"/>
    <mergeCell ref="A100:D100"/>
  </mergeCells>
  <pageMargins left="0.31496062992125984" right="0.11811023622047245" top="0" bottom="0" header="0.31496062992125984" footer="0.31496062992125984"/>
  <pageSetup paperSize="9" scale="3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08A1-2C5D-4097-ABC1-DD192AC832ED}">
  <sheetPr>
    <pageSetUpPr fitToPage="1"/>
  </sheetPr>
  <dimension ref="A1:S215"/>
  <sheetViews>
    <sheetView zoomScaleNormal="100" workbookViewId="0">
      <selection activeCell="B9" sqref="B9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6328125" style="771" bestFit="1" customWidth="1"/>
    <col min="7" max="7" width="12.5429687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 t="s">
        <v>863</v>
      </c>
    </row>
    <row r="3" spans="1:18" ht="25.5" customHeight="1" x14ac:dyDescent="0.35">
      <c r="A3" s="1466" t="s">
        <v>844</v>
      </c>
      <c r="B3" s="1431"/>
      <c r="C3" s="1431"/>
      <c r="D3" s="1431"/>
    </row>
    <row r="4" spans="1:18" s="1095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168</v>
      </c>
      <c r="C5" s="227">
        <v>2417</v>
      </c>
      <c r="D5" s="598">
        <f>+B5*C5</f>
        <v>406056</v>
      </c>
      <c r="E5" s="564"/>
      <c r="Q5" s="1095"/>
    </row>
    <row r="6" spans="1:18" ht="18" customHeight="1" x14ac:dyDescent="0.35">
      <c r="A6" s="772" t="s">
        <v>860</v>
      </c>
      <c r="B6" s="258">
        <v>8</v>
      </c>
      <c r="C6" s="227">
        <f>+C5</f>
        <v>2417</v>
      </c>
      <c r="D6" s="598">
        <f>+B6*C6</f>
        <v>19336</v>
      </c>
      <c r="E6" s="564"/>
      <c r="F6" s="176"/>
      <c r="Q6" s="774"/>
    </row>
    <row r="7" spans="1:18" ht="18" customHeight="1" x14ac:dyDescent="0.35">
      <c r="A7" s="772" t="s">
        <v>196</v>
      </c>
      <c r="B7" s="258"/>
      <c r="C7" s="227">
        <v>15000</v>
      </c>
      <c r="D7" s="598">
        <f>+C7</f>
        <v>15000</v>
      </c>
      <c r="E7" s="564"/>
      <c r="F7" s="176"/>
    </row>
    <row r="8" spans="1:18" ht="18" customHeight="1" x14ac:dyDescent="0.35">
      <c r="A8" s="772" t="s">
        <v>6</v>
      </c>
      <c r="B8" s="258"/>
      <c r="C8" s="227">
        <v>70000</v>
      </c>
      <c r="D8" s="598">
        <v>70000</v>
      </c>
      <c r="E8" s="564"/>
      <c r="F8" s="176"/>
    </row>
    <row r="9" spans="1:18" ht="18" customHeight="1" x14ac:dyDescent="0.35">
      <c r="A9" s="772" t="s">
        <v>467</v>
      </c>
      <c r="B9" s="258">
        <v>8</v>
      </c>
      <c r="C9" s="194">
        <f>+C5*1.5</f>
        <v>3625.5</v>
      </c>
      <c r="D9" s="598">
        <f>+B9*C9</f>
        <v>29004</v>
      </c>
      <c r="E9" s="564"/>
      <c r="F9" s="176"/>
    </row>
    <row r="10" spans="1:18" ht="18" customHeight="1" x14ac:dyDescent="0.35">
      <c r="A10" s="772" t="s">
        <v>281</v>
      </c>
      <c r="B10" s="258">
        <v>2.5</v>
      </c>
      <c r="C10" s="194">
        <f>+C5*2</f>
        <v>4834</v>
      </c>
      <c r="D10" s="598">
        <f>+B10*C10</f>
        <v>12085</v>
      </c>
      <c r="E10" s="564"/>
      <c r="F10" s="176"/>
    </row>
    <row r="11" spans="1:18" ht="18" customHeight="1" x14ac:dyDescent="0.35">
      <c r="A11" s="772"/>
      <c r="B11" s="258"/>
      <c r="C11" s="194"/>
      <c r="D11" s="598"/>
      <c r="F11" s="176"/>
      <c r="R11" s="1095"/>
    </row>
    <row r="12" spans="1:18" ht="18" customHeight="1" x14ac:dyDescent="0.35">
      <c r="A12" s="1432" t="s">
        <v>389</v>
      </c>
      <c r="B12" s="1432"/>
      <c r="C12" s="1432"/>
      <c r="D12" s="599">
        <f>+D5+D6+D7+D8+D9+D10+D11</f>
        <v>551481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095"/>
    </row>
    <row r="13" spans="1:18" ht="18" customHeight="1" x14ac:dyDescent="0.35">
      <c r="A13" s="1100" t="s">
        <v>864</v>
      </c>
      <c r="B13" s="1097"/>
      <c r="C13" s="1097"/>
      <c r="D13" s="599">
        <v>140000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095"/>
    </row>
    <row r="14" spans="1:18" ht="18" customHeight="1" x14ac:dyDescent="0.35">
      <c r="A14" s="800" t="s">
        <v>773</v>
      </c>
      <c r="B14" s="721"/>
      <c r="C14" s="905"/>
      <c r="D14" s="722">
        <v>-307090.86</v>
      </c>
      <c r="E14" s="553"/>
      <c r="F14" s="248"/>
      <c r="G14" s="248"/>
      <c r="H14" s="248"/>
      <c r="I14" s="248"/>
      <c r="J14" s="248"/>
      <c r="K14" s="248"/>
      <c r="L14" s="248"/>
      <c r="M14" s="248"/>
      <c r="O14" s="1095"/>
    </row>
    <row r="15" spans="1:18" ht="18" customHeight="1" x14ac:dyDescent="0.35">
      <c r="A15" s="1433" t="s">
        <v>11</v>
      </c>
      <c r="B15" s="1433"/>
      <c r="C15" s="1433"/>
      <c r="D15" s="603">
        <f>+D12+D13+D14</f>
        <v>384390.14</v>
      </c>
      <c r="F15" s="321"/>
      <c r="G15" s="321"/>
      <c r="H15" s="473"/>
      <c r="I15" s="321"/>
      <c r="J15" s="321"/>
      <c r="Q15" s="1095"/>
    </row>
    <row r="16" spans="1:18" ht="18" customHeight="1" x14ac:dyDescent="0.35">
      <c r="A16" s="1053"/>
      <c r="B16" s="1054"/>
      <c r="C16" s="1054"/>
      <c r="D16" s="1055"/>
      <c r="F16" s="321"/>
      <c r="G16" s="321"/>
      <c r="H16" s="473"/>
      <c r="I16" s="321"/>
      <c r="J16" s="321"/>
      <c r="Q16" s="1095"/>
    </row>
    <row r="17" spans="1:19" s="908" customFormat="1" ht="18" customHeight="1" x14ac:dyDescent="0.35">
      <c r="A17" s="689"/>
      <c r="B17" s="689"/>
      <c r="C17" s="689"/>
      <c r="D17" s="688"/>
      <c r="E17" s="1044"/>
      <c r="I17" s="910"/>
      <c r="J17" s="911"/>
      <c r="K17" s="912"/>
      <c r="L17" s="912"/>
      <c r="M17" s="910"/>
      <c r="N17" s="910"/>
      <c r="O17" s="910"/>
      <c r="P17" s="764"/>
      <c r="S17" s="764"/>
    </row>
    <row r="18" spans="1:19" ht="18" customHeight="1" x14ac:dyDescent="0.45">
      <c r="A18" s="1450" t="s">
        <v>846</v>
      </c>
      <c r="B18" s="1451"/>
      <c r="C18" s="1451"/>
      <c r="D18" s="1452"/>
      <c r="E18" s="1045"/>
      <c r="J18" s="185"/>
      <c r="K18" s="181"/>
      <c r="L18" s="181"/>
      <c r="M18" s="181"/>
      <c r="N18" s="181"/>
    </row>
    <row r="19" spans="1:19" ht="18" customHeight="1" x14ac:dyDescent="0.35">
      <c r="A19" s="604" t="s">
        <v>7</v>
      </c>
      <c r="B19" s="605" t="s">
        <v>8</v>
      </c>
      <c r="C19" s="606" t="s">
        <v>4</v>
      </c>
      <c r="D19" s="606" t="s">
        <v>9</v>
      </c>
      <c r="E19" s="564"/>
      <c r="J19" s="185"/>
      <c r="K19" s="181"/>
      <c r="L19" s="181"/>
      <c r="M19" s="184"/>
    </row>
    <row r="20" spans="1:19" ht="18" customHeight="1" x14ac:dyDescent="0.35">
      <c r="A20" s="607" t="s">
        <v>480</v>
      </c>
      <c r="B20" s="267">
        <v>159</v>
      </c>
      <c r="C20" s="211">
        <v>2165</v>
      </c>
      <c r="D20" s="211">
        <f>+B20*C20</f>
        <v>344235</v>
      </c>
      <c r="E20" s="564"/>
      <c r="J20" s="182"/>
    </row>
    <row r="21" spans="1:19" ht="18" customHeight="1" x14ac:dyDescent="0.35">
      <c r="A21" s="607" t="s">
        <v>403</v>
      </c>
      <c r="B21" s="267">
        <v>8</v>
      </c>
      <c r="C21" s="211">
        <f>+C20</f>
        <v>2165</v>
      </c>
      <c r="D21" s="211">
        <f>+B21*C21</f>
        <v>17320</v>
      </c>
      <c r="E21" s="564"/>
      <c r="J21" s="182"/>
    </row>
    <row r="22" spans="1:19" ht="18" customHeight="1" x14ac:dyDescent="0.35">
      <c r="A22" s="772" t="s">
        <v>845</v>
      </c>
      <c r="B22" s="267">
        <v>8</v>
      </c>
      <c r="C22" s="211">
        <f>+C20</f>
        <v>2165</v>
      </c>
      <c r="D22" s="211">
        <f>+B22*C22</f>
        <v>17320</v>
      </c>
      <c r="E22" s="564"/>
      <c r="F22" s="1095"/>
      <c r="G22" s="1095"/>
      <c r="H22" s="1095"/>
    </row>
    <row r="23" spans="1:19" ht="18" customHeight="1" x14ac:dyDescent="0.35">
      <c r="A23" s="772" t="s">
        <v>196</v>
      </c>
      <c r="B23" s="267"/>
      <c r="C23" s="211"/>
      <c r="D23" s="211">
        <v>7500</v>
      </c>
      <c r="E23" s="564"/>
      <c r="I23" s="1095"/>
    </row>
    <row r="24" spans="1:19" ht="18" customHeight="1" x14ac:dyDescent="0.35">
      <c r="A24" s="772" t="s">
        <v>6</v>
      </c>
      <c r="B24" s="267"/>
      <c r="C24" s="211">
        <v>50000</v>
      </c>
      <c r="D24" s="211">
        <f>+C24</f>
        <v>50000</v>
      </c>
      <c r="E24" s="564"/>
      <c r="I24" s="1095"/>
    </row>
    <row r="25" spans="1:19" ht="18" customHeight="1" x14ac:dyDescent="0.35">
      <c r="A25" s="772" t="s">
        <v>468</v>
      </c>
      <c r="B25" s="267">
        <v>8.15</v>
      </c>
      <c r="C25" s="211">
        <f>+C20*1.5</f>
        <v>3247.5</v>
      </c>
      <c r="D25" s="211">
        <f>B25*C25</f>
        <v>26467.125</v>
      </c>
      <c r="E25" s="1043"/>
      <c r="F25" s="181"/>
      <c r="G25" s="187"/>
      <c r="H25" s="188"/>
      <c r="I25" s="1095"/>
      <c r="L25" s="1095"/>
    </row>
    <row r="26" spans="1:19" ht="18" customHeight="1" x14ac:dyDescent="0.35">
      <c r="A26" s="772" t="s">
        <v>281</v>
      </c>
      <c r="B26" s="267">
        <v>0</v>
      </c>
      <c r="C26" s="211">
        <f>+C20*2</f>
        <v>4330</v>
      </c>
      <c r="D26" s="211">
        <f>+B26*C26</f>
        <v>0</v>
      </c>
      <c r="E26" s="1043"/>
      <c r="F26" s="181"/>
      <c r="G26" s="187"/>
      <c r="H26" s="188"/>
      <c r="I26" s="1095"/>
      <c r="L26" s="1095"/>
    </row>
    <row r="27" spans="1:19" ht="18" customHeight="1" x14ac:dyDescent="0.35">
      <c r="A27" s="772"/>
      <c r="B27" s="267"/>
      <c r="C27" s="211"/>
      <c r="D27" s="211"/>
      <c r="E27" s="1043"/>
      <c r="F27" s="181"/>
      <c r="G27" s="187"/>
      <c r="H27" s="188"/>
      <c r="I27" s="1102"/>
      <c r="L27" s="1102"/>
    </row>
    <row r="28" spans="1:19" s="1095" customFormat="1" ht="18" customHeight="1" x14ac:dyDescent="0.35">
      <c r="A28" s="1463" t="s">
        <v>389</v>
      </c>
      <c r="B28" s="1464"/>
      <c r="C28" s="1465"/>
      <c r="D28" s="599">
        <f>+D20+D21+D22+D23+D24+D25+D26+D27</f>
        <v>462842.125</v>
      </c>
      <c r="E28" s="553"/>
      <c r="F28" s="181"/>
      <c r="G28" s="181"/>
      <c r="H28" s="184"/>
      <c r="I28" s="771"/>
      <c r="K28" s="771"/>
      <c r="L28" s="771"/>
    </row>
    <row r="29" spans="1:19" s="1096" customFormat="1" ht="18" customHeight="1" x14ac:dyDescent="0.35">
      <c r="A29" s="129" t="s">
        <v>818</v>
      </c>
      <c r="B29" s="749"/>
      <c r="C29" s="1072" t="s">
        <v>63</v>
      </c>
      <c r="D29" s="749">
        <v>180000</v>
      </c>
      <c r="E29" s="553"/>
      <c r="F29" s="184"/>
      <c r="G29" s="184"/>
      <c r="H29" s="184"/>
      <c r="I29" s="90"/>
      <c r="K29" s="90"/>
      <c r="L29" s="90"/>
    </row>
    <row r="30" spans="1:19" s="1095" customFormat="1" ht="18" customHeight="1" x14ac:dyDescent="0.35">
      <c r="A30" s="825" t="s">
        <v>802</v>
      </c>
      <c r="B30" s="824" t="s">
        <v>63</v>
      </c>
      <c r="C30" s="823"/>
      <c r="D30" s="930">
        <v>-150000</v>
      </c>
      <c r="E30" s="1042"/>
      <c r="F30" s="181"/>
      <c r="G30" s="181"/>
      <c r="H30" s="184"/>
      <c r="I30" s="771"/>
      <c r="K30" s="771"/>
      <c r="L30" s="771"/>
    </row>
    <row r="31" spans="1:19" ht="18" customHeight="1" x14ac:dyDescent="0.35">
      <c r="A31" s="786" t="s">
        <v>11</v>
      </c>
      <c r="B31" s="783"/>
      <c r="C31" s="783"/>
      <c r="D31" s="784">
        <f>+D28+D29+D30</f>
        <v>492842.125</v>
      </c>
      <c r="E31" s="553"/>
      <c r="F31" s="181"/>
      <c r="G31" s="181"/>
      <c r="H31" s="184"/>
    </row>
    <row r="32" spans="1:19" ht="18" customHeight="1" x14ac:dyDescent="0.35">
      <c r="A32" s="1047"/>
      <c r="B32" s="594"/>
      <c r="C32" s="594"/>
      <c r="D32" s="595"/>
      <c r="F32" s="181"/>
      <c r="G32" s="181"/>
      <c r="H32" s="184"/>
    </row>
    <row r="33" spans="1:19" ht="18" customHeight="1" x14ac:dyDescent="0.35">
      <c r="A33" s="594"/>
      <c r="B33" s="594"/>
      <c r="C33" s="594"/>
      <c r="D33" s="595"/>
      <c r="F33" s="181"/>
      <c r="G33" s="181"/>
      <c r="H33" s="184"/>
    </row>
    <row r="34" spans="1:19" ht="18" customHeight="1" x14ac:dyDescent="0.35">
      <c r="A34" s="1442" t="s">
        <v>847</v>
      </c>
      <c r="B34" s="1443"/>
      <c r="C34" s="1443"/>
      <c r="D34" s="1444"/>
      <c r="F34" s="181"/>
      <c r="G34" s="181"/>
      <c r="H34" s="184"/>
    </row>
    <row r="35" spans="1:19" ht="18" customHeight="1" x14ac:dyDescent="0.35">
      <c r="A35" s="2"/>
      <c r="B35" s="270" t="s">
        <v>8</v>
      </c>
      <c r="C35" s="217" t="s">
        <v>4</v>
      </c>
      <c r="D35" s="597" t="s">
        <v>9</v>
      </c>
      <c r="F35" s="181"/>
      <c r="G35" s="181"/>
      <c r="H35" s="184"/>
    </row>
    <row r="36" spans="1:19" ht="18" customHeight="1" x14ac:dyDescent="0.35">
      <c r="A36" s="772" t="s">
        <v>253</v>
      </c>
      <c r="B36" s="258">
        <v>168</v>
      </c>
      <c r="C36" s="194">
        <v>3288</v>
      </c>
      <c r="D36" s="598">
        <f>+B36*C36</f>
        <v>552384</v>
      </c>
      <c r="E36" s="564"/>
      <c r="F36" s="181"/>
      <c r="G36" s="181"/>
      <c r="H36" s="184"/>
    </row>
    <row r="37" spans="1:19" ht="18" customHeight="1" x14ac:dyDescent="0.35">
      <c r="A37" s="772" t="s">
        <v>403</v>
      </c>
      <c r="B37" s="258">
        <v>8</v>
      </c>
      <c r="C37" s="194">
        <f>+C36</f>
        <v>3288</v>
      </c>
      <c r="D37" s="598">
        <f>+B37*C37</f>
        <v>26304</v>
      </c>
      <c r="E37" s="564"/>
      <c r="F37" s="181"/>
      <c r="G37" s="181"/>
      <c r="H37" s="184"/>
    </row>
    <row r="38" spans="1:19" ht="15" customHeight="1" x14ac:dyDescent="0.35">
      <c r="A38" s="772" t="s">
        <v>196</v>
      </c>
      <c r="B38" s="258"/>
      <c r="C38" s="194">
        <v>15000</v>
      </c>
      <c r="D38" s="598">
        <f>+C38</f>
        <v>15000</v>
      </c>
      <c r="E38" s="564"/>
      <c r="F38" s="181"/>
      <c r="G38" s="181"/>
      <c r="H38" s="184"/>
      <c r="I38" s="1095"/>
    </row>
    <row r="39" spans="1:19" ht="15" customHeight="1" x14ac:dyDescent="0.35">
      <c r="A39" s="772" t="s">
        <v>6</v>
      </c>
      <c r="B39" s="258"/>
      <c r="C39" s="194">
        <v>70000</v>
      </c>
      <c r="D39" s="598">
        <f>+C39</f>
        <v>70000</v>
      </c>
      <c r="E39" s="564"/>
      <c r="F39" s="181"/>
      <c r="G39" s="181"/>
      <c r="H39" s="184"/>
      <c r="I39" s="1095"/>
    </row>
    <row r="40" spans="1:19" ht="15" customHeight="1" x14ac:dyDescent="0.35">
      <c r="A40" s="772" t="s">
        <v>195</v>
      </c>
      <c r="B40" s="315">
        <v>14.45</v>
      </c>
      <c r="C40" s="194">
        <f>+C36*1.5</f>
        <v>4932</v>
      </c>
      <c r="D40" s="598">
        <f>+B40*C40</f>
        <v>71267.399999999994</v>
      </c>
      <c r="F40" s="181"/>
      <c r="G40" s="181"/>
      <c r="H40" s="184"/>
      <c r="I40" s="1095"/>
    </row>
    <row r="41" spans="1:19" ht="15" customHeight="1" x14ac:dyDescent="0.35">
      <c r="A41" s="772" t="s">
        <v>449</v>
      </c>
      <c r="B41" s="315">
        <v>2.5</v>
      </c>
      <c r="C41" s="194">
        <f>+C36*2</f>
        <v>6576</v>
      </c>
      <c r="D41" s="598">
        <f>+B41*C41</f>
        <v>16440</v>
      </c>
      <c r="E41" s="553"/>
      <c r="F41" s="181"/>
      <c r="G41" s="181"/>
      <c r="H41" s="184"/>
      <c r="I41" s="1095"/>
    </row>
    <row r="42" spans="1:19" ht="15" customHeight="1" x14ac:dyDescent="0.35">
      <c r="A42" s="772"/>
      <c r="B42" s="315"/>
      <c r="C42" s="194"/>
      <c r="D42" s="598"/>
      <c r="E42" s="553"/>
      <c r="F42" s="181"/>
      <c r="G42" s="181"/>
      <c r="H42" s="184"/>
      <c r="I42" s="1102"/>
    </row>
    <row r="43" spans="1:19" ht="15" customHeight="1" x14ac:dyDescent="0.35">
      <c r="A43" s="1463" t="s">
        <v>389</v>
      </c>
      <c r="B43" s="1464"/>
      <c r="C43" s="1465"/>
      <c r="D43" s="599">
        <f>+D36+D37+D38+D39+D40+D41+D42</f>
        <v>751395.4</v>
      </c>
      <c r="E43" s="553"/>
      <c r="J43" s="176"/>
      <c r="K43" s="176"/>
      <c r="L43" s="176"/>
      <c r="M43" s="181"/>
      <c r="N43" s="181"/>
      <c r="O43" s="184"/>
      <c r="Q43" s="1095"/>
    </row>
    <row r="44" spans="1:19" ht="15" customHeight="1" x14ac:dyDescent="0.35">
      <c r="A44" s="1101" t="s">
        <v>840</v>
      </c>
      <c r="B44" s="1098"/>
      <c r="C44" s="1099"/>
      <c r="D44" s="599">
        <v>160000</v>
      </c>
      <c r="E44" s="553"/>
      <c r="J44" s="176"/>
      <c r="K44" s="176"/>
      <c r="L44" s="176"/>
      <c r="M44" s="181"/>
      <c r="N44" s="181"/>
      <c r="O44" s="184"/>
      <c r="Q44" s="1095"/>
    </row>
    <row r="45" spans="1:19" s="1095" customFormat="1" ht="15" customHeight="1" x14ac:dyDescent="0.35">
      <c r="A45" s="723" t="s">
        <v>630</v>
      </c>
      <c r="B45" s="727" t="s">
        <v>63</v>
      </c>
      <c r="C45" s="727" t="s">
        <v>63</v>
      </c>
      <c r="D45" s="722">
        <v>-315785.94</v>
      </c>
      <c r="E45" s="1043"/>
      <c r="F45" s="771"/>
      <c r="G45" s="771"/>
      <c r="H45" s="771"/>
      <c r="I45" s="771"/>
      <c r="J45" s="176"/>
      <c r="K45" s="176"/>
      <c r="L45" s="176"/>
      <c r="M45" s="176"/>
      <c r="N45" s="176"/>
      <c r="O45" s="176"/>
      <c r="P45" s="771"/>
      <c r="Q45" s="771"/>
      <c r="R45" s="771"/>
      <c r="S45" s="771"/>
    </row>
    <row r="46" spans="1:19" s="1095" customFormat="1" ht="15" customHeight="1" x14ac:dyDescent="0.35">
      <c r="A46" s="1103" t="s">
        <v>11</v>
      </c>
      <c r="B46" s="1104"/>
      <c r="C46" s="197"/>
      <c r="D46" s="675">
        <f>+D43+D44+D45</f>
        <v>595609.46</v>
      </c>
      <c r="E46" s="1025"/>
      <c r="F46" s="771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ht="15" customHeight="1" x14ac:dyDescent="0.35">
      <c r="A47" s="90"/>
      <c r="B47" s="771"/>
      <c r="C47" s="771"/>
      <c r="D47" s="771"/>
      <c r="K47" s="183"/>
      <c r="L47" s="183"/>
      <c r="M47" s="176"/>
      <c r="N47" s="176"/>
      <c r="O47" s="176"/>
      <c r="Q47" s="1095"/>
    </row>
    <row r="48" spans="1:19" ht="15" customHeight="1" x14ac:dyDescent="0.35">
      <c r="B48" s="771"/>
      <c r="C48" s="771"/>
      <c r="D48" s="774" t="s">
        <v>63</v>
      </c>
    </row>
    <row r="49" spans="1:19" ht="15" customHeight="1" x14ac:dyDescent="0.35">
      <c r="A49" s="1442" t="s">
        <v>849</v>
      </c>
      <c r="B49" s="1443"/>
      <c r="C49" s="1443"/>
      <c r="D49" s="1444"/>
      <c r="S49" s="1095"/>
    </row>
    <row r="50" spans="1:19" x14ac:dyDescent="0.35">
      <c r="A50" s="2" t="s">
        <v>7</v>
      </c>
      <c r="B50" s="270" t="s">
        <v>8</v>
      </c>
      <c r="C50" s="217" t="s">
        <v>4</v>
      </c>
      <c r="D50" s="597" t="s">
        <v>9</v>
      </c>
    </row>
    <row r="51" spans="1:19" x14ac:dyDescent="0.35">
      <c r="A51" s="772" t="s">
        <v>501</v>
      </c>
      <c r="B51" s="258">
        <v>168</v>
      </c>
      <c r="C51" s="227">
        <v>2295</v>
      </c>
      <c r="D51" s="598">
        <f>+B51*C51</f>
        <v>385560</v>
      </c>
      <c r="E51" s="564"/>
    </row>
    <row r="52" spans="1:19" x14ac:dyDescent="0.35">
      <c r="A52" s="772" t="s">
        <v>861</v>
      </c>
      <c r="B52" s="258">
        <v>8</v>
      </c>
      <c r="C52" s="227">
        <f>+C51</f>
        <v>2295</v>
      </c>
      <c r="D52" s="598">
        <f>+B52*C52</f>
        <v>18360</v>
      </c>
      <c r="E52" s="564"/>
    </row>
    <row r="53" spans="1:19" x14ac:dyDescent="0.35">
      <c r="A53" s="772" t="s">
        <v>490</v>
      </c>
      <c r="B53" s="258"/>
      <c r="C53" s="227">
        <v>15000</v>
      </c>
      <c r="D53" s="598">
        <f>+C53</f>
        <v>15000</v>
      </c>
      <c r="E53" s="564"/>
    </row>
    <row r="54" spans="1:19" x14ac:dyDescent="0.35">
      <c r="A54" s="772" t="s">
        <v>489</v>
      </c>
      <c r="B54" s="258"/>
      <c r="C54" s="227">
        <v>50000</v>
      </c>
      <c r="D54" s="598">
        <f>+C54</f>
        <v>50000</v>
      </c>
      <c r="E54" s="564"/>
    </row>
    <row r="55" spans="1:19" x14ac:dyDescent="0.35">
      <c r="A55" s="772" t="s">
        <v>195</v>
      </c>
      <c r="B55" s="258">
        <v>12.15</v>
      </c>
      <c r="C55" s="194">
        <f>+C51*1.5</f>
        <v>3442.5</v>
      </c>
      <c r="D55" s="598">
        <f>+B55*C55</f>
        <v>41826.375</v>
      </c>
      <c r="E55" s="564"/>
    </row>
    <row r="56" spans="1:19" x14ac:dyDescent="0.35">
      <c r="A56" s="772" t="s">
        <v>449</v>
      </c>
      <c r="B56" s="258">
        <v>2.5</v>
      </c>
      <c r="C56" s="194">
        <f>+C51*2</f>
        <v>4590</v>
      </c>
      <c r="D56" s="598">
        <f>+B56*C56</f>
        <v>11475</v>
      </c>
    </row>
    <row r="57" spans="1:19" x14ac:dyDescent="0.35">
      <c r="A57" s="889"/>
      <c r="B57" s="890"/>
      <c r="C57" s="977"/>
      <c r="D57" s="598"/>
    </row>
    <row r="58" spans="1:19" x14ac:dyDescent="0.35">
      <c r="A58" s="1439" t="s">
        <v>99</v>
      </c>
      <c r="B58" s="1440"/>
      <c r="C58" s="1441"/>
      <c r="D58" s="599">
        <f>+D51+D52+D53+D54+D55+D56+D57</f>
        <v>522221.375</v>
      </c>
      <c r="E58" s="553"/>
    </row>
    <row r="59" spans="1:19" x14ac:dyDescent="0.35">
      <c r="A59" s="891" t="s">
        <v>182</v>
      </c>
      <c r="B59" s="720"/>
      <c r="C59" s="720"/>
      <c r="D59" s="887">
        <v>100000</v>
      </c>
      <c r="E59" s="553"/>
    </row>
    <row r="60" spans="1:19" x14ac:dyDescent="0.35">
      <c r="A60" s="921" t="s">
        <v>848</v>
      </c>
      <c r="B60" s="922">
        <f>+D51+D52+D53+D54</f>
        <v>468920</v>
      </c>
      <c r="C60" s="720"/>
      <c r="D60" s="722">
        <f>-B60*0.1</f>
        <v>-46892</v>
      </c>
      <c r="E60" s="553"/>
    </row>
    <row r="61" spans="1:19" x14ac:dyDescent="0.35">
      <c r="A61" s="672"/>
      <c r="B61" s="673" t="s">
        <v>11</v>
      </c>
      <c r="C61" s="674"/>
      <c r="D61" s="675">
        <f>+D58+D59+D60</f>
        <v>575329.375</v>
      </c>
      <c r="E61" s="553"/>
    </row>
    <row r="62" spans="1:19" x14ac:dyDescent="0.35">
      <c r="B62" s="771"/>
      <c r="C62" s="771"/>
      <c r="D62" s="771"/>
    </row>
    <row r="64" spans="1:19" ht="14.5" customHeight="1" x14ac:dyDescent="0.35">
      <c r="A64" s="1442" t="s">
        <v>851</v>
      </c>
      <c r="B64" s="1443"/>
      <c r="C64" s="1443"/>
      <c r="D64" s="1444"/>
    </row>
    <row r="65" spans="1:6" ht="14.5" customHeight="1" x14ac:dyDescent="0.35">
      <c r="A65" s="2" t="s">
        <v>7</v>
      </c>
      <c r="B65" s="270" t="s">
        <v>8</v>
      </c>
      <c r="C65" s="217" t="s">
        <v>4</v>
      </c>
      <c r="D65" s="597" t="s">
        <v>63</v>
      </c>
    </row>
    <row r="66" spans="1:6" ht="14.5" customHeight="1" x14ac:dyDescent="0.35">
      <c r="A66" s="772" t="s">
        <v>3</v>
      </c>
      <c r="B66" s="258">
        <v>167</v>
      </c>
      <c r="C66" s="227">
        <v>1907</v>
      </c>
      <c r="D66" s="598">
        <f>+B66*C66</f>
        <v>318469</v>
      </c>
      <c r="E66" s="564"/>
    </row>
    <row r="67" spans="1:6" ht="14.5" customHeight="1" x14ac:dyDescent="0.35">
      <c r="A67" s="772" t="s">
        <v>845</v>
      </c>
      <c r="B67" s="258">
        <v>8</v>
      </c>
      <c r="C67" s="227">
        <f>+C66</f>
        <v>1907</v>
      </c>
      <c r="D67" s="598">
        <f>+B67*C67</f>
        <v>15256</v>
      </c>
      <c r="E67" s="564"/>
    </row>
    <row r="68" spans="1:6" x14ac:dyDescent="0.35">
      <c r="A68" s="772" t="s">
        <v>196</v>
      </c>
      <c r="B68" s="258"/>
      <c r="C68" s="227">
        <v>15000</v>
      </c>
      <c r="D68" s="598">
        <v>7500</v>
      </c>
      <c r="E68" s="564"/>
    </row>
    <row r="69" spans="1:6" x14ac:dyDescent="0.35">
      <c r="A69" s="772" t="s">
        <v>6</v>
      </c>
      <c r="B69" s="258"/>
      <c r="C69" s="227">
        <v>35000</v>
      </c>
      <c r="D69" s="598">
        <f>+C69</f>
        <v>35000</v>
      </c>
      <c r="E69" s="564"/>
    </row>
    <row r="70" spans="1:6" s="1069" customFormat="1" x14ac:dyDescent="0.35">
      <c r="A70" s="614" t="s">
        <v>270</v>
      </c>
      <c r="B70" s="617">
        <v>12.5</v>
      </c>
      <c r="C70" s="227">
        <f>+C66*1.5</f>
        <v>2860.5</v>
      </c>
      <c r="D70" s="598">
        <f>+B70*C70</f>
        <v>35756.25</v>
      </c>
      <c r="E70" s="564"/>
    </row>
    <row r="71" spans="1:6" x14ac:dyDescent="0.35">
      <c r="A71" s="772" t="s">
        <v>281</v>
      </c>
      <c r="B71" s="258">
        <v>2.5</v>
      </c>
      <c r="C71" s="227">
        <f>+C66*2</f>
        <v>3814</v>
      </c>
      <c r="D71" s="598">
        <f>+B71*C71</f>
        <v>9535</v>
      </c>
    </row>
    <row r="72" spans="1:6" x14ac:dyDescent="0.35">
      <c r="A72" s="889"/>
      <c r="B72" s="890"/>
      <c r="C72" s="814"/>
      <c r="D72" s="598"/>
    </row>
    <row r="73" spans="1:6" x14ac:dyDescent="0.35">
      <c r="A73" s="1463" t="s">
        <v>389</v>
      </c>
      <c r="B73" s="1464"/>
      <c r="C73" s="1465"/>
      <c r="D73" s="599">
        <f>+D66+D67+D68+D69+D70+D71+D72</f>
        <v>421516.25</v>
      </c>
      <c r="E73" s="553"/>
      <c r="F73" s="774"/>
    </row>
    <row r="74" spans="1:6" x14ac:dyDescent="0.35">
      <c r="A74" s="1101" t="s">
        <v>864</v>
      </c>
      <c r="B74" s="1098"/>
      <c r="C74" s="1099"/>
      <c r="D74" s="599">
        <v>80000</v>
      </c>
      <c r="E74" s="553"/>
      <c r="F74" s="774"/>
    </row>
    <row r="75" spans="1:6" x14ac:dyDescent="0.35">
      <c r="A75" s="723" t="s">
        <v>50</v>
      </c>
      <c r="B75" s="721"/>
      <c r="C75" s="721"/>
      <c r="D75" s="722">
        <v>-70000</v>
      </c>
      <c r="E75" s="553"/>
    </row>
    <row r="76" spans="1:6" x14ac:dyDescent="0.35">
      <c r="A76" s="723" t="s">
        <v>850</v>
      </c>
      <c r="B76" s="721"/>
      <c r="C76" s="721"/>
      <c r="D76" s="722">
        <v>-35000</v>
      </c>
    </row>
    <row r="77" spans="1:6" ht="15.5" x14ac:dyDescent="0.35">
      <c r="A77" s="1460" t="s">
        <v>11</v>
      </c>
      <c r="B77" s="1461"/>
      <c r="C77" s="1462"/>
      <c r="D77" s="603">
        <f>+D73+D74+D75+D76</f>
        <v>396516.25</v>
      </c>
      <c r="E77" s="553"/>
    </row>
    <row r="78" spans="1:6" s="90" customFormat="1" x14ac:dyDescent="0.35">
      <c r="A78" s="1035"/>
      <c r="B78" s="1042"/>
      <c r="C78" s="553"/>
      <c r="D78" s="1051"/>
      <c r="E78" s="1042"/>
    </row>
    <row r="80" spans="1:6" ht="23.5" x14ac:dyDescent="0.35">
      <c r="A80" s="1442" t="s">
        <v>852</v>
      </c>
      <c r="B80" s="1443"/>
      <c r="C80" s="1443"/>
      <c r="D80" s="1444"/>
    </row>
    <row r="81" spans="1:5" x14ac:dyDescent="0.35">
      <c r="A81" s="2" t="s">
        <v>7</v>
      </c>
      <c r="B81" s="270" t="s">
        <v>388</v>
      </c>
      <c r="C81" s="217" t="s">
        <v>272</v>
      </c>
      <c r="D81" s="597" t="s">
        <v>9</v>
      </c>
    </row>
    <row r="82" spans="1:5" x14ac:dyDescent="0.35">
      <c r="A82" s="772" t="s">
        <v>3</v>
      </c>
      <c r="B82" s="258">
        <v>168</v>
      </c>
      <c r="C82" s="227">
        <v>2175</v>
      </c>
      <c r="D82" s="598">
        <f>+B82*C82</f>
        <v>365400</v>
      </c>
      <c r="E82" s="1048"/>
    </row>
    <row r="83" spans="1:5" x14ac:dyDescent="0.35">
      <c r="A83" s="772" t="s">
        <v>403</v>
      </c>
      <c r="B83" s="258">
        <v>8</v>
      </c>
      <c r="C83" s="227">
        <f>+C82</f>
        <v>2175</v>
      </c>
      <c r="D83" s="598">
        <f>+B83*C83</f>
        <v>17400</v>
      </c>
      <c r="E83" s="564"/>
    </row>
    <row r="84" spans="1:5" x14ac:dyDescent="0.35">
      <c r="A84" s="772" t="s">
        <v>6</v>
      </c>
      <c r="B84" s="258"/>
      <c r="C84" s="227">
        <v>50000</v>
      </c>
      <c r="D84" s="598">
        <f>+C84</f>
        <v>50000</v>
      </c>
      <c r="E84" s="564"/>
    </row>
    <row r="85" spans="1:5" x14ac:dyDescent="0.35">
      <c r="A85" s="772" t="s">
        <v>200</v>
      </c>
      <c r="B85" s="258"/>
      <c r="C85" s="227">
        <v>15000</v>
      </c>
      <c r="D85" s="598">
        <f>+C85</f>
        <v>15000</v>
      </c>
      <c r="E85" s="564"/>
    </row>
    <row r="86" spans="1:5" x14ac:dyDescent="0.35">
      <c r="A86" s="772" t="s">
        <v>475</v>
      </c>
      <c r="B86" s="258">
        <v>17.45</v>
      </c>
      <c r="C86" s="227">
        <f>+C82*1.5</f>
        <v>3262.5</v>
      </c>
      <c r="D86" s="811">
        <f>+B86*C86</f>
        <v>56930.625</v>
      </c>
      <c r="E86" s="564"/>
    </row>
    <row r="87" spans="1:5" x14ac:dyDescent="0.35">
      <c r="A87" s="772" t="s">
        <v>757</v>
      </c>
      <c r="B87" s="258">
        <v>2.5</v>
      </c>
      <c r="C87" s="227">
        <f>+C82*2</f>
        <v>4350</v>
      </c>
      <c r="D87" s="598">
        <f>+B87*C87</f>
        <v>10875</v>
      </c>
    </row>
    <row r="88" spans="1:5" x14ac:dyDescent="0.35">
      <c r="A88" s="772"/>
      <c r="B88" s="258"/>
      <c r="C88" s="227"/>
      <c r="D88" s="598"/>
    </row>
    <row r="89" spans="1:5" x14ac:dyDescent="0.35">
      <c r="A89" s="1036" t="s">
        <v>389</v>
      </c>
      <c r="B89" s="681"/>
      <c r="C89" s="1037"/>
      <c r="D89" s="1038">
        <f>+D82+D83+D84+D85+D86+D87</f>
        <v>515605.625</v>
      </c>
      <c r="E89" s="553"/>
    </row>
    <row r="90" spans="1:5" x14ac:dyDescent="0.35">
      <c r="A90" s="1036" t="s">
        <v>818</v>
      </c>
      <c r="B90" s="681"/>
      <c r="C90" s="1037"/>
      <c r="D90" s="1038">
        <v>110000</v>
      </c>
    </row>
    <row r="91" spans="1:5" x14ac:dyDescent="0.35">
      <c r="A91" s="772" t="s">
        <v>19</v>
      </c>
      <c r="B91" s="258"/>
      <c r="C91" s="227"/>
      <c r="D91" s="731">
        <v>-60000</v>
      </c>
    </row>
    <row r="92" spans="1:5" ht="15.5" x14ac:dyDescent="0.35">
      <c r="A92" s="1460" t="s">
        <v>11</v>
      </c>
      <c r="B92" s="1461"/>
      <c r="C92" s="1462"/>
      <c r="D92" s="603">
        <f>+D89+D90+D91</f>
        <v>565605.625</v>
      </c>
      <c r="E92" s="553"/>
    </row>
    <row r="93" spans="1:5" s="90" customFormat="1" x14ac:dyDescent="0.35">
      <c r="B93" s="1042"/>
      <c r="C93" s="553"/>
      <c r="D93" s="1051" t="s">
        <v>63</v>
      </c>
      <c r="E93" s="1042"/>
    </row>
    <row r="95" spans="1:5" ht="23.5" x14ac:dyDescent="0.35">
      <c r="A95" s="1431" t="s">
        <v>853</v>
      </c>
      <c r="B95" s="1431"/>
      <c r="C95" s="1431"/>
      <c r="D95" s="1431"/>
    </row>
    <row r="96" spans="1:5" x14ac:dyDescent="0.35">
      <c r="A96" s="2" t="s">
        <v>7</v>
      </c>
      <c r="B96" s="270" t="s">
        <v>8</v>
      </c>
      <c r="C96" s="217" t="s">
        <v>4</v>
      </c>
      <c r="D96" s="597" t="s">
        <v>9</v>
      </c>
    </row>
    <row r="97" spans="1:5" x14ac:dyDescent="0.35">
      <c r="A97" s="772" t="s">
        <v>3</v>
      </c>
      <c r="B97" s="258">
        <v>160</v>
      </c>
      <c r="C97" s="227">
        <v>1907</v>
      </c>
      <c r="D97" s="598">
        <f>+B97*C97</f>
        <v>305120</v>
      </c>
      <c r="E97" s="564"/>
    </row>
    <row r="98" spans="1:5" x14ac:dyDescent="0.35">
      <c r="A98" s="772" t="s">
        <v>403</v>
      </c>
      <c r="B98" s="258">
        <v>8</v>
      </c>
      <c r="C98" s="227">
        <f>+C97</f>
        <v>1907</v>
      </c>
      <c r="D98" s="598">
        <f>+B98*C98</f>
        <v>15256</v>
      </c>
      <c r="E98" s="564"/>
    </row>
    <row r="99" spans="1:5" x14ac:dyDescent="0.35">
      <c r="A99" s="772" t="s">
        <v>862</v>
      </c>
      <c r="B99" s="258">
        <v>8</v>
      </c>
      <c r="C99" s="227">
        <f>+C97</f>
        <v>1907</v>
      </c>
      <c r="D99" s="598">
        <v>7500</v>
      </c>
      <c r="E99" s="564"/>
    </row>
    <row r="100" spans="1:5" x14ac:dyDescent="0.35">
      <c r="A100" s="772" t="s">
        <v>200</v>
      </c>
      <c r="B100" s="258"/>
      <c r="C100" s="227">
        <v>15000</v>
      </c>
      <c r="D100" s="598">
        <v>7500</v>
      </c>
      <c r="E100" s="564"/>
    </row>
    <row r="101" spans="1:5" x14ac:dyDescent="0.35">
      <c r="A101" s="772" t="s">
        <v>6</v>
      </c>
      <c r="B101" s="258"/>
      <c r="C101" s="194">
        <v>35000</v>
      </c>
      <c r="D101" s="598">
        <f>+C101</f>
        <v>35000</v>
      </c>
      <c r="E101" s="564"/>
    </row>
    <row r="102" spans="1:5" x14ac:dyDescent="0.35">
      <c r="A102" s="772" t="s">
        <v>270</v>
      </c>
      <c r="B102" s="258">
        <v>11.15</v>
      </c>
      <c r="C102" s="194">
        <f>+C97*1.5</f>
        <v>2860.5</v>
      </c>
      <c r="D102" s="598">
        <f>+B102*C102</f>
        <v>31894.575000000001</v>
      </c>
      <c r="E102" s="564"/>
    </row>
    <row r="103" spans="1:5" x14ac:dyDescent="0.35">
      <c r="A103" s="772" t="s">
        <v>281</v>
      </c>
      <c r="B103" s="258">
        <v>2.5</v>
      </c>
      <c r="C103" s="194">
        <f>+C97*2</f>
        <v>3814</v>
      </c>
      <c r="D103" s="598">
        <f>+B103*C103</f>
        <v>9535</v>
      </c>
    </row>
    <row r="104" spans="1:5" x14ac:dyDescent="0.35">
      <c r="A104" s="772"/>
      <c r="B104" s="258"/>
      <c r="C104" s="194"/>
      <c r="D104" s="598"/>
    </row>
    <row r="105" spans="1:5" x14ac:dyDescent="0.35">
      <c r="A105" s="1463" t="s">
        <v>389</v>
      </c>
      <c r="B105" s="1464"/>
      <c r="C105" s="1465"/>
      <c r="D105" s="599">
        <f>+D97+D98+D99+D100+D101+D102+D103+D104</f>
        <v>411805.57500000001</v>
      </c>
      <c r="E105" s="553"/>
    </row>
    <row r="106" spans="1:5" x14ac:dyDescent="0.35">
      <c r="A106" s="1101" t="s">
        <v>818</v>
      </c>
      <c r="B106" s="1098"/>
      <c r="C106" s="1099"/>
      <c r="D106" s="599">
        <v>110000</v>
      </c>
      <c r="E106" s="553"/>
    </row>
    <row r="107" spans="1:5" x14ac:dyDescent="0.35">
      <c r="A107" s="724" t="s">
        <v>19</v>
      </c>
      <c r="B107" s="729" t="s">
        <v>63</v>
      </c>
      <c r="C107" s="730" t="s">
        <v>63</v>
      </c>
      <c r="D107" s="731">
        <v>-70000</v>
      </c>
      <c r="E107" s="553"/>
    </row>
    <row r="108" spans="1:5" s="997" customFormat="1" ht="15.5" x14ac:dyDescent="0.35">
      <c r="A108" s="992"/>
      <c r="B108" s="1105" t="s">
        <v>11</v>
      </c>
      <c r="C108" s="994"/>
      <c r="D108" s="995">
        <f>+D105+D106+D107</f>
        <v>451805.57500000001</v>
      </c>
      <c r="E108" s="1046"/>
    </row>
    <row r="109" spans="1:5" s="90" customFormat="1" x14ac:dyDescent="0.35">
      <c r="B109" s="1042"/>
      <c r="C109" s="553"/>
      <c r="D109" s="1051"/>
      <c r="E109" s="1042"/>
    </row>
    <row r="111" spans="1:5" ht="23.5" x14ac:dyDescent="0.35">
      <c r="A111" s="1442" t="s">
        <v>854</v>
      </c>
      <c r="B111" s="1443"/>
      <c r="C111" s="1443"/>
      <c r="D111" s="1444"/>
    </row>
    <row r="112" spans="1:5" x14ac:dyDescent="0.35">
      <c r="A112" s="2" t="s">
        <v>7</v>
      </c>
      <c r="B112" s="270" t="s">
        <v>8</v>
      </c>
      <c r="C112" s="217" t="s">
        <v>4</v>
      </c>
      <c r="D112" s="597" t="s">
        <v>9</v>
      </c>
    </row>
    <row r="113" spans="1:5" x14ac:dyDescent="0.35">
      <c r="A113" s="772" t="s">
        <v>3</v>
      </c>
      <c r="B113" s="258">
        <v>161</v>
      </c>
      <c r="C113" s="194">
        <v>2913</v>
      </c>
      <c r="D113" s="598">
        <f>+B113*C113</f>
        <v>468993</v>
      </c>
      <c r="E113" s="564"/>
    </row>
    <row r="114" spans="1:5" x14ac:dyDescent="0.35">
      <c r="A114" s="772" t="s">
        <v>403</v>
      </c>
      <c r="B114" s="258">
        <v>7</v>
      </c>
      <c r="C114" s="194">
        <f>+C113</f>
        <v>2913</v>
      </c>
      <c r="D114" s="609">
        <f>+B114*C114</f>
        <v>20391</v>
      </c>
      <c r="E114" s="564"/>
    </row>
    <row r="115" spans="1:5" x14ac:dyDescent="0.35">
      <c r="A115" s="772" t="s">
        <v>6</v>
      </c>
      <c r="B115" s="258"/>
      <c r="C115" s="194">
        <v>35000</v>
      </c>
      <c r="D115" s="609">
        <f>+C115</f>
        <v>35000</v>
      </c>
      <c r="E115" s="564"/>
    </row>
    <row r="116" spans="1:5" x14ac:dyDescent="0.35">
      <c r="A116" s="614" t="s">
        <v>556</v>
      </c>
      <c r="B116" s="617"/>
      <c r="C116" s="227">
        <v>15000</v>
      </c>
      <c r="D116" s="609">
        <f>+C116</f>
        <v>15000</v>
      </c>
      <c r="E116" s="564"/>
    </row>
    <row r="117" spans="1:5" x14ac:dyDescent="0.35">
      <c r="A117" s="614"/>
      <c r="B117" s="617">
        <v>0</v>
      </c>
      <c r="C117" s="227">
        <v>0</v>
      </c>
      <c r="D117" s="609">
        <f>+B117*C117</f>
        <v>0</v>
      </c>
      <c r="E117" s="553"/>
    </row>
    <row r="118" spans="1:5" s="764" customFormat="1" x14ac:dyDescent="0.35">
      <c r="A118" s="882" t="s">
        <v>389</v>
      </c>
      <c r="B118" s="883"/>
      <c r="C118" s="884"/>
      <c r="D118" s="1058">
        <f>+D113+D114+D115+D116+D117</f>
        <v>539384</v>
      </c>
      <c r="E118" s="768"/>
    </row>
    <row r="119" spans="1:5" s="764" customFormat="1" x14ac:dyDescent="0.35">
      <c r="A119" s="882" t="s">
        <v>823</v>
      </c>
      <c r="B119" s="883"/>
      <c r="C119" s="884"/>
      <c r="D119" s="1058">
        <v>100000</v>
      </c>
      <c r="E119" s="768"/>
    </row>
    <row r="120" spans="1:5" s="1070" customFormat="1" x14ac:dyDescent="0.35">
      <c r="A120" s="724" t="s">
        <v>19</v>
      </c>
      <c r="B120" s="729"/>
      <c r="C120" s="729"/>
      <c r="D120" s="731">
        <v>-111900</v>
      </c>
      <c r="E120" s="1073"/>
    </row>
    <row r="121" spans="1:5" s="90" customFormat="1" x14ac:dyDescent="0.35">
      <c r="A121" s="1071" t="s">
        <v>11</v>
      </c>
      <c r="B121" s="1074"/>
      <c r="C121" s="1074"/>
      <c r="D121" s="1075">
        <f>+D118+D119+D120</f>
        <v>527484</v>
      </c>
      <c r="E121" s="1042"/>
    </row>
    <row r="122" spans="1:5" s="90" customFormat="1" x14ac:dyDescent="0.35">
      <c r="A122" s="691"/>
      <c r="B122" s="1089"/>
      <c r="C122" s="1089"/>
      <c r="D122" s="1090"/>
      <c r="E122" s="1042"/>
    </row>
    <row r="123" spans="1:5" s="90" customFormat="1" x14ac:dyDescent="0.35">
      <c r="A123" s="691"/>
      <c r="B123" s="1089"/>
      <c r="C123" s="1089"/>
      <c r="D123" s="1090"/>
      <c r="E123" s="1042"/>
    </row>
    <row r="124" spans="1:5" ht="23.5" x14ac:dyDescent="0.35">
      <c r="A124" s="1442" t="s">
        <v>855</v>
      </c>
      <c r="B124" s="1443"/>
      <c r="C124" s="1443"/>
      <c r="D124" s="1444"/>
    </row>
    <row r="125" spans="1:5" x14ac:dyDescent="0.35">
      <c r="A125" s="2" t="s">
        <v>7</v>
      </c>
      <c r="B125" s="270" t="s">
        <v>388</v>
      </c>
      <c r="C125" s="217" t="s">
        <v>629</v>
      </c>
      <c r="D125" s="597" t="s">
        <v>9</v>
      </c>
    </row>
    <row r="126" spans="1:5" x14ac:dyDescent="0.35">
      <c r="A126" s="772" t="s">
        <v>3</v>
      </c>
      <c r="B126" s="258">
        <v>173</v>
      </c>
      <c r="C126" s="194">
        <v>2913</v>
      </c>
      <c r="D126" s="598">
        <f>+B126*C126</f>
        <v>503949</v>
      </c>
      <c r="E126" s="564"/>
    </row>
    <row r="127" spans="1:5" x14ac:dyDescent="0.35">
      <c r="A127" s="772" t="s">
        <v>403</v>
      </c>
      <c r="B127" s="258">
        <v>8</v>
      </c>
      <c r="C127" s="194">
        <f>+C126</f>
        <v>2913</v>
      </c>
      <c r="D127" s="609">
        <f>+B127*C127</f>
        <v>23304</v>
      </c>
      <c r="E127" s="564"/>
    </row>
    <row r="128" spans="1:5" x14ac:dyDescent="0.35">
      <c r="A128" s="772" t="s">
        <v>556</v>
      </c>
      <c r="B128" s="258"/>
      <c r="C128" s="194">
        <v>15000</v>
      </c>
      <c r="D128" s="609">
        <f>+C128</f>
        <v>15000</v>
      </c>
      <c r="E128" s="564"/>
    </row>
    <row r="129" spans="1:19" x14ac:dyDescent="0.35">
      <c r="A129" s="772" t="s">
        <v>6</v>
      </c>
      <c r="B129" s="258"/>
      <c r="C129" s="194">
        <v>35000</v>
      </c>
      <c r="D129" s="609">
        <f>+C129</f>
        <v>35000</v>
      </c>
      <c r="E129" s="564"/>
    </row>
    <row r="130" spans="1:19" x14ac:dyDescent="0.35">
      <c r="A130" s="614" t="s">
        <v>628</v>
      </c>
      <c r="B130" s="617">
        <v>0</v>
      </c>
      <c r="C130" s="227">
        <f>+C126*1.5</f>
        <v>4369.5</v>
      </c>
      <c r="D130" s="609">
        <f>+B130*C130</f>
        <v>0</v>
      </c>
      <c r="E130" s="564"/>
    </row>
    <row r="131" spans="1:19" x14ac:dyDescent="0.35">
      <c r="A131" s="614" t="s">
        <v>856</v>
      </c>
      <c r="B131" s="617"/>
      <c r="C131" s="227"/>
      <c r="D131" s="609">
        <v>26600</v>
      </c>
    </row>
    <row r="132" spans="1:19" x14ac:dyDescent="0.35">
      <c r="A132" s="614" t="s">
        <v>857</v>
      </c>
      <c r="B132" s="617"/>
      <c r="C132" s="227"/>
      <c r="D132" s="609">
        <v>36200</v>
      </c>
    </row>
    <row r="133" spans="1:19" s="1042" customFormat="1" x14ac:dyDescent="0.35">
      <c r="A133" s="882" t="s">
        <v>99</v>
      </c>
      <c r="B133" s="883"/>
      <c r="C133" s="883"/>
      <c r="D133" s="884">
        <f>+D126+D127+D128+D129+D130+D131+D132</f>
        <v>640053</v>
      </c>
      <c r="E133" s="553"/>
      <c r="F133" s="771"/>
      <c r="G133" s="771"/>
      <c r="H133" s="771"/>
      <c r="I133" s="771"/>
      <c r="J133" s="771"/>
      <c r="K133" s="771"/>
      <c r="L133" s="771"/>
      <c r="M133" s="771"/>
      <c r="N133" s="771"/>
      <c r="O133" s="771"/>
      <c r="P133" s="771"/>
      <c r="Q133" s="771"/>
      <c r="R133" s="771"/>
      <c r="S133" s="771"/>
    </row>
    <row r="134" spans="1:19" s="1076" customFormat="1" x14ac:dyDescent="0.35">
      <c r="A134" s="1077" t="s">
        <v>823</v>
      </c>
      <c r="B134" s="1077"/>
      <c r="C134" s="1077"/>
      <c r="D134" s="1077">
        <v>60000</v>
      </c>
      <c r="E134" s="1078"/>
    </row>
    <row r="135" spans="1:19" s="1042" customFormat="1" x14ac:dyDescent="0.35">
      <c r="A135" s="962"/>
      <c r="B135" s="619"/>
      <c r="C135" s="619"/>
      <c r="D135" s="730"/>
      <c r="F135" s="771"/>
      <c r="G135" s="771"/>
      <c r="H135" s="771"/>
      <c r="I135" s="771"/>
      <c r="J135" s="771"/>
      <c r="K135" s="771"/>
      <c r="L135" s="771"/>
      <c r="M135" s="771"/>
      <c r="N135" s="771"/>
      <c r="O135" s="771"/>
      <c r="P135" s="771"/>
      <c r="Q135" s="771"/>
      <c r="R135" s="771"/>
      <c r="S135" s="771"/>
    </row>
    <row r="136" spans="1:19" s="1042" customFormat="1" ht="15.5" x14ac:dyDescent="0.35">
      <c r="A136" s="611" t="s">
        <v>11</v>
      </c>
      <c r="B136" s="612"/>
      <c r="C136" s="613"/>
      <c r="D136" s="603">
        <f>+D133+D134</f>
        <v>700053</v>
      </c>
      <c r="E136" s="1091"/>
      <c r="F136" s="771"/>
      <c r="G136" s="771"/>
      <c r="H136" s="771"/>
      <c r="I136" s="771"/>
      <c r="J136" s="771"/>
      <c r="K136" s="771"/>
      <c r="L136" s="771"/>
      <c r="M136" s="771"/>
      <c r="N136" s="771"/>
      <c r="O136" s="771"/>
      <c r="P136" s="771"/>
      <c r="Q136" s="771"/>
      <c r="R136" s="771"/>
      <c r="S136" s="771"/>
    </row>
    <row r="139" spans="1:19" s="90" customFormat="1" ht="23.5" x14ac:dyDescent="0.35">
      <c r="A139" s="1467" t="s">
        <v>858</v>
      </c>
      <c r="B139" s="1468"/>
      <c r="C139" s="1468"/>
      <c r="D139" s="1469"/>
      <c r="E139" s="1042"/>
    </row>
    <row r="140" spans="1:19" x14ac:dyDescent="0.35">
      <c r="A140" s="2" t="s">
        <v>7</v>
      </c>
      <c r="B140" s="270"/>
      <c r="C140" s="217"/>
      <c r="D140" s="597" t="s">
        <v>9</v>
      </c>
    </row>
    <row r="141" spans="1:19" x14ac:dyDescent="0.35">
      <c r="A141" s="1106" t="s">
        <v>865</v>
      </c>
      <c r="B141" s="194">
        <v>1500000</v>
      </c>
      <c r="C141" s="194"/>
      <c r="D141" s="598">
        <f>+B141/4*3</f>
        <v>1125000</v>
      </c>
      <c r="E141" s="564"/>
    </row>
    <row r="142" spans="1:19" x14ac:dyDescent="0.35">
      <c r="A142" s="772" t="s">
        <v>866</v>
      </c>
      <c r="B142" s="258"/>
      <c r="C142" s="194"/>
      <c r="D142" s="609">
        <f>-D141/2</f>
        <v>-562500</v>
      </c>
      <c r="E142" s="564"/>
    </row>
    <row r="143" spans="1:19" x14ac:dyDescent="0.35">
      <c r="A143" s="772"/>
      <c r="B143" s="258"/>
      <c r="C143" s="194"/>
      <c r="D143" s="609"/>
      <c r="E143" s="564"/>
    </row>
    <row r="144" spans="1:19" x14ac:dyDescent="0.35">
      <c r="A144" s="772"/>
      <c r="B144" s="258"/>
      <c r="C144" s="194"/>
      <c r="D144" s="609"/>
      <c r="E144" s="564"/>
    </row>
    <row r="145" spans="1:19" x14ac:dyDescent="0.35">
      <c r="A145" s="614"/>
      <c r="B145" s="617"/>
      <c r="C145" s="227"/>
      <c r="D145" s="609"/>
      <c r="E145" s="564"/>
    </row>
    <row r="146" spans="1:19" x14ac:dyDescent="0.35">
      <c r="A146" s="614"/>
      <c r="B146" s="617"/>
      <c r="C146" s="227"/>
      <c r="D146" s="609"/>
    </row>
    <row r="147" spans="1:19" x14ac:dyDescent="0.35">
      <c r="A147" s="614"/>
      <c r="B147" s="617"/>
      <c r="C147" s="227"/>
      <c r="D147" s="609"/>
    </row>
    <row r="148" spans="1:19" s="1042" customFormat="1" x14ac:dyDescent="0.35">
      <c r="A148" s="962"/>
      <c r="B148" s="619"/>
      <c r="C148" s="619"/>
      <c r="D148" s="730"/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</row>
    <row r="149" spans="1:19" s="1042" customFormat="1" ht="15.5" x14ac:dyDescent="0.35">
      <c r="A149" s="611" t="s">
        <v>867</v>
      </c>
      <c r="B149" s="612"/>
      <c r="C149" s="613"/>
      <c r="D149" s="603">
        <f>+D141+D142</f>
        <v>562500</v>
      </c>
      <c r="E149" s="1091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2" spans="1:19" ht="23.5" x14ac:dyDescent="0.35">
      <c r="A152" s="1442" t="s">
        <v>859</v>
      </c>
      <c r="B152" s="1443"/>
      <c r="C152" s="1443"/>
      <c r="D152" s="1444"/>
    </row>
    <row r="153" spans="1:19" x14ac:dyDescent="0.35">
      <c r="A153" s="2" t="s">
        <v>7</v>
      </c>
      <c r="B153" s="270" t="s">
        <v>21</v>
      </c>
      <c r="C153" s="217" t="s">
        <v>272</v>
      </c>
      <c r="D153" s="597" t="s">
        <v>803</v>
      </c>
    </row>
    <row r="154" spans="1:19" x14ac:dyDescent="0.35">
      <c r="A154" s="772" t="s">
        <v>3</v>
      </c>
      <c r="B154" s="258">
        <v>44</v>
      </c>
      <c r="C154" s="194">
        <v>2175</v>
      </c>
      <c r="D154" s="598">
        <f>+B154*C154</f>
        <v>95700</v>
      </c>
      <c r="E154" s="564"/>
    </row>
    <row r="155" spans="1:19" x14ac:dyDescent="0.35">
      <c r="A155" s="772" t="s">
        <v>394</v>
      </c>
      <c r="B155" s="258">
        <v>8</v>
      </c>
      <c r="C155" s="194">
        <f>+C154</f>
        <v>2175</v>
      </c>
      <c r="D155" s="609">
        <f>+B155*C155</f>
        <v>17400</v>
      </c>
      <c r="E155" s="564"/>
    </row>
    <row r="156" spans="1:19" x14ac:dyDescent="0.35">
      <c r="A156" s="1107" t="s">
        <v>868</v>
      </c>
      <c r="B156" s="258">
        <v>15000</v>
      </c>
      <c r="C156" s="194"/>
      <c r="D156" s="609">
        <f>+B156/4</f>
        <v>3750</v>
      </c>
      <c r="E156" s="564"/>
    </row>
    <row r="157" spans="1:19" x14ac:dyDescent="0.35">
      <c r="A157" s="772"/>
      <c r="B157" s="258"/>
      <c r="C157" s="194"/>
      <c r="D157" s="609"/>
      <c r="E157" s="564"/>
    </row>
    <row r="158" spans="1:19" x14ac:dyDescent="0.35">
      <c r="A158" s="614"/>
      <c r="B158" s="617"/>
      <c r="C158" s="227"/>
      <c r="D158" s="609"/>
      <c r="E158" s="564"/>
    </row>
    <row r="159" spans="1:19" x14ac:dyDescent="0.35">
      <c r="A159" s="614"/>
      <c r="B159" s="617"/>
      <c r="C159" s="227"/>
      <c r="D159" s="609"/>
    </row>
    <row r="160" spans="1:19" x14ac:dyDescent="0.35">
      <c r="A160" s="614"/>
      <c r="B160" s="617"/>
      <c r="C160" s="227"/>
      <c r="D160" s="609"/>
    </row>
    <row r="161" spans="1:19" s="1042" customFormat="1" x14ac:dyDescent="0.35">
      <c r="A161" s="962"/>
      <c r="B161" s="619"/>
      <c r="C161" s="619"/>
      <c r="D161" s="730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ht="15.5" x14ac:dyDescent="0.35">
      <c r="A162" s="611" t="s">
        <v>11</v>
      </c>
      <c r="B162" s="612"/>
      <c r="C162" s="613"/>
      <c r="D162" s="603">
        <f>+D154+D155+D156</f>
        <v>116850</v>
      </c>
      <c r="E162" s="1091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5" spans="1:19" ht="23.5" x14ac:dyDescent="0.55000000000000004">
      <c r="A165" s="1056" t="s">
        <v>869</v>
      </c>
      <c r="B165" s="964" t="s">
        <v>7</v>
      </c>
      <c r="C165" s="1052" t="s">
        <v>870</v>
      </c>
    </row>
    <row r="166" spans="1:19" x14ac:dyDescent="0.35">
      <c r="A166" s="585"/>
      <c r="B166" s="258" t="s">
        <v>10</v>
      </c>
      <c r="C166" s="194">
        <v>384400</v>
      </c>
    </row>
    <row r="167" spans="1:19" x14ac:dyDescent="0.35">
      <c r="B167" s="258" t="s">
        <v>16</v>
      </c>
      <c r="C167" s="194">
        <v>492850</v>
      </c>
    </row>
    <row r="168" spans="1:19" x14ac:dyDescent="0.35">
      <c r="B168" s="258" t="s">
        <v>0</v>
      </c>
      <c r="C168" s="194">
        <v>595610</v>
      </c>
    </row>
    <row r="169" spans="1:19" x14ac:dyDescent="0.35">
      <c r="B169" s="258" t="s">
        <v>245</v>
      </c>
      <c r="C169" s="194">
        <v>396520</v>
      </c>
    </row>
    <row r="170" spans="1:19" x14ac:dyDescent="0.35">
      <c r="B170" s="258" t="s">
        <v>463</v>
      </c>
      <c r="C170" s="194">
        <v>565610</v>
      </c>
    </row>
    <row r="171" spans="1:19" x14ac:dyDescent="0.35">
      <c r="B171" s="258" t="s">
        <v>553</v>
      </c>
      <c r="C171" s="194">
        <v>451810</v>
      </c>
    </row>
    <row r="172" spans="1:19" x14ac:dyDescent="0.35">
      <c r="B172" s="258" t="s">
        <v>260</v>
      </c>
      <c r="C172" s="194">
        <v>527500</v>
      </c>
    </row>
    <row r="173" spans="1:19" x14ac:dyDescent="0.35">
      <c r="B173" s="617" t="s">
        <v>613</v>
      </c>
      <c r="C173" s="227">
        <v>700060</v>
      </c>
    </row>
    <row r="174" spans="1:19" x14ac:dyDescent="0.35">
      <c r="B174" s="315" t="s">
        <v>871</v>
      </c>
      <c r="C174" s="194">
        <v>562500</v>
      </c>
    </row>
    <row r="175" spans="1:19" x14ac:dyDescent="0.35">
      <c r="B175" s="315" t="s">
        <v>86</v>
      </c>
      <c r="C175" s="194">
        <v>116850</v>
      </c>
    </row>
    <row r="176" spans="1:19" x14ac:dyDescent="0.35">
      <c r="B176" s="1016" t="s">
        <v>872</v>
      </c>
      <c r="C176" s="195">
        <f>SUM(C166:C175)</f>
        <v>4793710</v>
      </c>
    </row>
    <row r="180" spans="2:5" x14ac:dyDescent="0.35">
      <c r="B180" s="258" t="s">
        <v>267</v>
      </c>
      <c r="C180" s="194">
        <v>575330</v>
      </c>
    </row>
    <row r="184" spans="2:5" s="90" customFormat="1" x14ac:dyDescent="0.35">
      <c r="B184" s="274" t="s">
        <v>7</v>
      </c>
      <c r="C184" s="1052" t="s">
        <v>272</v>
      </c>
      <c r="D184" s="1109" t="s">
        <v>200</v>
      </c>
      <c r="E184" s="1042"/>
    </row>
    <row r="185" spans="2:5" x14ac:dyDescent="0.35">
      <c r="B185" s="258" t="s">
        <v>10</v>
      </c>
      <c r="C185" s="194">
        <v>2417</v>
      </c>
      <c r="D185" s="598">
        <v>15000</v>
      </c>
    </row>
    <row r="186" spans="2:5" x14ac:dyDescent="0.35">
      <c r="B186" s="258" t="s">
        <v>16</v>
      </c>
      <c r="C186" s="194">
        <v>2165</v>
      </c>
      <c r="D186" s="598">
        <v>15000</v>
      </c>
    </row>
    <row r="187" spans="2:5" x14ac:dyDescent="0.35">
      <c r="B187" s="258" t="s">
        <v>0</v>
      </c>
      <c r="C187" s="194">
        <v>3288</v>
      </c>
      <c r="D187" s="598">
        <v>15000</v>
      </c>
    </row>
    <row r="188" spans="2:5" x14ac:dyDescent="0.35">
      <c r="B188" s="258" t="s">
        <v>267</v>
      </c>
      <c r="C188" s="194">
        <v>2295</v>
      </c>
      <c r="D188" s="598">
        <v>15000</v>
      </c>
    </row>
    <row r="189" spans="2:5" x14ac:dyDescent="0.35">
      <c r="B189" s="258" t="s">
        <v>245</v>
      </c>
      <c r="C189" s="194">
        <v>1907</v>
      </c>
      <c r="D189" s="598">
        <v>15000</v>
      </c>
    </row>
    <row r="190" spans="2:5" x14ac:dyDescent="0.35">
      <c r="B190" s="258" t="s">
        <v>463</v>
      </c>
      <c r="C190" s="194">
        <v>2175</v>
      </c>
      <c r="D190" s="598">
        <v>15000</v>
      </c>
    </row>
    <row r="191" spans="2:5" x14ac:dyDescent="0.35">
      <c r="B191" s="258" t="s">
        <v>553</v>
      </c>
      <c r="C191" s="194">
        <v>1907</v>
      </c>
      <c r="D191" s="598">
        <v>15000</v>
      </c>
    </row>
    <row r="192" spans="2:5" x14ac:dyDescent="0.35">
      <c r="B192" s="258" t="s">
        <v>260</v>
      </c>
      <c r="C192" s="194">
        <v>2913</v>
      </c>
      <c r="D192" s="598">
        <v>15000</v>
      </c>
    </row>
    <row r="193" spans="1:4" x14ac:dyDescent="0.35">
      <c r="B193" s="258" t="s">
        <v>613</v>
      </c>
      <c r="C193" s="194">
        <v>2913</v>
      </c>
      <c r="D193" s="598">
        <v>15000</v>
      </c>
    </row>
    <row r="194" spans="1:4" x14ac:dyDescent="0.35">
      <c r="B194" s="258" t="s">
        <v>871</v>
      </c>
      <c r="C194" s="194"/>
      <c r="D194" s="598"/>
    </row>
    <row r="195" spans="1:4" x14ac:dyDescent="0.35">
      <c r="B195" s="315" t="s">
        <v>86</v>
      </c>
      <c r="C195" s="194">
        <v>2175</v>
      </c>
      <c r="D195" s="598">
        <v>15000</v>
      </c>
    </row>
    <row r="196" spans="1:4" x14ac:dyDescent="0.35">
      <c r="B196" s="1110"/>
    </row>
    <row r="197" spans="1:4" x14ac:dyDescent="0.35">
      <c r="B197" s="1108"/>
    </row>
    <row r="198" spans="1:4" x14ac:dyDescent="0.35">
      <c r="B198" s="1111"/>
    </row>
    <row r="199" spans="1:4" x14ac:dyDescent="0.35">
      <c r="A199" s="701" t="s">
        <v>106</v>
      </c>
      <c r="B199" s="702" t="s">
        <v>873</v>
      </c>
      <c r="C199" s="1013" t="s">
        <v>803</v>
      </c>
      <c r="D199" s="1092" t="s">
        <v>7</v>
      </c>
    </row>
    <row r="200" spans="1:4" x14ac:dyDescent="0.35">
      <c r="A200" s="703">
        <v>16</v>
      </c>
      <c r="B200" s="703">
        <v>9</v>
      </c>
      <c r="C200" s="964">
        <f>+A200*B200</f>
        <v>144</v>
      </c>
      <c r="D200" s="593" t="s">
        <v>874</v>
      </c>
    </row>
    <row r="201" spans="1:4" x14ac:dyDescent="0.35">
      <c r="A201" s="703">
        <v>3</v>
      </c>
      <c r="B201" s="703">
        <v>8</v>
      </c>
      <c r="C201" s="964">
        <f>+A201*B201</f>
        <v>24</v>
      </c>
      <c r="D201" s="593" t="s">
        <v>117</v>
      </c>
    </row>
    <row r="202" spans="1:4" x14ac:dyDescent="0.35">
      <c r="A202" s="703">
        <v>1</v>
      </c>
      <c r="B202" s="703">
        <v>8</v>
      </c>
      <c r="C202" s="964">
        <f>+A202*B202</f>
        <v>8</v>
      </c>
      <c r="D202" s="593" t="s">
        <v>111</v>
      </c>
    </row>
    <row r="203" spans="1:4" x14ac:dyDescent="0.35">
      <c r="A203" s="568"/>
      <c r="B203" s="773"/>
      <c r="C203" s="964">
        <f>+C200+C201+C202</f>
        <v>176</v>
      </c>
      <c r="D203" s="593" t="s">
        <v>875</v>
      </c>
    </row>
    <row r="205" spans="1:4" ht="23.5" x14ac:dyDescent="0.35">
      <c r="A205" s="1442" t="s">
        <v>878</v>
      </c>
      <c r="B205" s="1443"/>
      <c r="C205" s="1443"/>
      <c r="D205" s="1444"/>
    </row>
    <row r="206" spans="1:4" x14ac:dyDescent="0.35">
      <c r="A206" s="2"/>
      <c r="B206" s="270"/>
      <c r="C206" s="217"/>
      <c r="D206" s="597"/>
    </row>
    <row r="207" spans="1:4" x14ac:dyDescent="0.35">
      <c r="A207" s="772" t="s">
        <v>876</v>
      </c>
      <c r="B207" s="258">
        <v>68</v>
      </c>
      <c r="C207" s="194">
        <v>1907</v>
      </c>
      <c r="D207" s="598">
        <f>+B207*C207</f>
        <v>129676</v>
      </c>
    </row>
    <row r="208" spans="1:4" x14ac:dyDescent="0.35">
      <c r="A208" s="772" t="s">
        <v>394</v>
      </c>
      <c r="B208" s="258">
        <v>8</v>
      </c>
      <c r="C208" s="194">
        <f>+C207</f>
        <v>1907</v>
      </c>
      <c r="D208" s="609">
        <f>+B208*C208</f>
        <v>15256</v>
      </c>
    </row>
    <row r="209" spans="1:4" x14ac:dyDescent="0.35">
      <c r="A209" s="1107" t="s">
        <v>877</v>
      </c>
      <c r="B209" s="258"/>
      <c r="C209" s="194"/>
      <c r="D209" s="609">
        <v>6750</v>
      </c>
    </row>
    <row r="210" spans="1:4" x14ac:dyDescent="0.35">
      <c r="A210" s="772"/>
      <c r="B210" s="258"/>
      <c r="C210" s="194"/>
      <c r="D210" s="609"/>
    </row>
    <row r="211" spans="1:4" x14ac:dyDescent="0.35">
      <c r="A211" s="614"/>
      <c r="B211" s="617"/>
      <c r="C211" s="227"/>
      <c r="D211" s="609"/>
    </row>
    <row r="212" spans="1:4" x14ac:dyDescent="0.35">
      <c r="A212" s="614"/>
      <c r="B212" s="617"/>
      <c r="C212" s="227"/>
      <c r="D212" s="609"/>
    </row>
    <row r="213" spans="1:4" x14ac:dyDescent="0.35">
      <c r="A213" s="614"/>
      <c r="B213" s="617"/>
      <c r="C213" s="227"/>
      <c r="D213" s="609"/>
    </row>
    <row r="214" spans="1:4" x14ac:dyDescent="0.35">
      <c r="A214" s="962"/>
      <c r="B214" s="619"/>
      <c r="C214" s="619"/>
      <c r="D214" s="730"/>
    </row>
    <row r="215" spans="1:4" ht="15.5" x14ac:dyDescent="0.35">
      <c r="A215" s="611" t="s">
        <v>11</v>
      </c>
      <c r="B215" s="612"/>
      <c r="C215" s="613"/>
      <c r="D215" s="603">
        <f>+D207+D208+D209</f>
        <v>151682</v>
      </c>
    </row>
  </sheetData>
  <mergeCells count="21">
    <mergeCell ref="A92:C92"/>
    <mergeCell ref="A95:D95"/>
    <mergeCell ref="A105:C105"/>
    <mergeCell ref="A111:D111"/>
    <mergeCell ref="A124:D124"/>
    <mergeCell ref="A205:D205"/>
    <mergeCell ref="A77:C77"/>
    <mergeCell ref="A3:D3"/>
    <mergeCell ref="A12:C12"/>
    <mergeCell ref="A15:C15"/>
    <mergeCell ref="A18:D18"/>
    <mergeCell ref="A28:C28"/>
    <mergeCell ref="A34:D34"/>
    <mergeCell ref="A43:C43"/>
    <mergeCell ref="A49:D49"/>
    <mergeCell ref="A58:C58"/>
    <mergeCell ref="A64:D64"/>
    <mergeCell ref="A73:C73"/>
    <mergeCell ref="A152:D152"/>
    <mergeCell ref="A139:D139"/>
    <mergeCell ref="A80:D80"/>
  </mergeCells>
  <pageMargins left="0.31496062992125984" right="0.11811023622047245" top="0" bottom="0" header="0.31496062992125984" footer="0.31496062992125984"/>
  <pageSetup paperSize="9" scale="24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BA37-18EA-45A8-8957-20BA85151E6E}">
  <sheetPr>
    <pageSetUpPr fitToPage="1"/>
  </sheetPr>
  <dimension ref="A1:S179"/>
  <sheetViews>
    <sheetView zoomScaleNormal="100" workbookViewId="0">
      <selection activeCell="A68" sqref="A68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6328125" style="771" bestFit="1" customWidth="1"/>
    <col min="7" max="7" width="12.5429687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45566</v>
      </c>
    </row>
    <row r="3" spans="1:18" ht="25.5" customHeight="1" x14ac:dyDescent="0.35">
      <c r="A3" s="1466" t="s">
        <v>879</v>
      </c>
      <c r="B3" s="1431"/>
      <c r="C3" s="1431"/>
      <c r="D3" s="1431"/>
    </row>
    <row r="4" spans="1:18" s="1112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195</v>
      </c>
      <c r="C5" s="227">
        <f>2417*1.18</f>
        <v>2852.06</v>
      </c>
      <c r="D5" s="598">
        <f>+B5*C5</f>
        <v>556151.69999999995</v>
      </c>
      <c r="E5" s="564" t="s">
        <v>902</v>
      </c>
      <c r="Q5" s="1112"/>
    </row>
    <row r="6" spans="1:18" ht="18" customHeight="1" x14ac:dyDescent="0.35">
      <c r="A6" s="772" t="s">
        <v>860</v>
      </c>
      <c r="B6" s="258">
        <v>8</v>
      </c>
      <c r="C6" s="227">
        <f>+C5</f>
        <v>2852.06</v>
      </c>
      <c r="D6" s="598">
        <f>+B6*C6</f>
        <v>22816.48</v>
      </c>
      <c r="E6" s="564"/>
      <c r="F6" s="176"/>
      <c r="Q6" s="774"/>
    </row>
    <row r="7" spans="1:18" ht="18" customHeight="1" x14ac:dyDescent="0.35">
      <c r="A7" s="772" t="s">
        <v>196</v>
      </c>
      <c r="B7" s="258"/>
      <c r="C7" s="227">
        <v>30000</v>
      </c>
      <c r="D7" s="598">
        <f>+C7</f>
        <v>30000</v>
      </c>
      <c r="E7" s="564" t="s">
        <v>898</v>
      </c>
      <c r="F7" s="176"/>
    </row>
    <row r="8" spans="1:18" ht="18" customHeight="1" x14ac:dyDescent="0.35">
      <c r="A8" s="772" t="s">
        <v>6</v>
      </c>
      <c r="B8" s="258"/>
      <c r="C8" s="227">
        <v>70000</v>
      </c>
      <c r="D8" s="598">
        <v>70000</v>
      </c>
      <c r="E8" s="564"/>
      <c r="F8" s="176"/>
    </row>
    <row r="9" spans="1:18" ht="18" customHeight="1" x14ac:dyDescent="0.35">
      <c r="A9" s="772" t="s">
        <v>467</v>
      </c>
      <c r="B9" s="258">
        <v>9</v>
      </c>
      <c r="C9" s="194">
        <f>+C5*1.5</f>
        <v>4278.09</v>
      </c>
      <c r="D9" s="598">
        <f>+B9*C9</f>
        <v>38502.81</v>
      </c>
      <c r="E9" s="564"/>
      <c r="F9" s="176"/>
    </row>
    <row r="10" spans="1:18" ht="18" customHeight="1" x14ac:dyDescent="0.35">
      <c r="A10" s="772" t="s">
        <v>281</v>
      </c>
      <c r="B10" s="258">
        <v>0</v>
      </c>
      <c r="C10" s="194">
        <f>+C5*2</f>
        <v>5704.12</v>
      </c>
      <c r="D10" s="598">
        <f>+B10*C10</f>
        <v>0</v>
      </c>
      <c r="E10" s="564"/>
      <c r="F10" s="176"/>
    </row>
    <row r="11" spans="1:18" ht="18" customHeight="1" x14ac:dyDescent="0.35">
      <c r="A11" s="772"/>
      <c r="B11" s="258"/>
      <c r="C11" s="194"/>
      <c r="D11" s="598"/>
      <c r="F11" s="176"/>
      <c r="R11" s="1112"/>
    </row>
    <row r="12" spans="1:18" ht="18" customHeight="1" x14ac:dyDescent="0.35">
      <c r="A12" s="1432" t="s">
        <v>389</v>
      </c>
      <c r="B12" s="1432"/>
      <c r="C12" s="1432"/>
      <c r="D12" s="599">
        <f>+D5+D6+D7+D8+D9+D10+D11</f>
        <v>717470.99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112"/>
    </row>
    <row r="13" spans="1:18" ht="18" customHeight="1" x14ac:dyDescent="0.35">
      <c r="A13" s="1117" t="s">
        <v>864</v>
      </c>
      <c r="B13" s="1114"/>
      <c r="C13" s="1114"/>
      <c r="D13" s="599">
        <v>140000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112"/>
    </row>
    <row r="14" spans="1:18" ht="18" customHeight="1" x14ac:dyDescent="0.35">
      <c r="A14" s="723" t="s">
        <v>19</v>
      </c>
      <c r="B14" s="720"/>
      <c r="C14" s="720"/>
      <c r="D14" s="722">
        <v>-200000</v>
      </c>
      <c r="E14" s="553"/>
      <c r="F14" s="248"/>
      <c r="G14" s="248"/>
      <c r="H14" s="248"/>
      <c r="I14" s="248"/>
      <c r="J14" s="248"/>
      <c r="K14" s="248"/>
      <c r="L14" s="248"/>
      <c r="M14" s="248"/>
      <c r="O14" s="1120"/>
    </row>
    <row r="15" spans="1:18" ht="18" customHeight="1" x14ac:dyDescent="0.35">
      <c r="A15" s="800" t="s">
        <v>773</v>
      </c>
      <c r="B15" s="721"/>
      <c r="C15" s="905"/>
      <c r="D15" s="722">
        <v>-309990</v>
      </c>
      <c r="E15" s="553"/>
      <c r="F15" s="248"/>
      <c r="G15" s="248"/>
      <c r="H15" s="248"/>
      <c r="I15" s="248"/>
      <c r="J15" s="248"/>
      <c r="K15" s="248"/>
      <c r="L15" s="248"/>
      <c r="M15" s="248"/>
      <c r="O15" s="1112"/>
    </row>
    <row r="16" spans="1:18" ht="18" customHeight="1" x14ac:dyDescent="0.35">
      <c r="A16" s="1433" t="s">
        <v>11</v>
      </c>
      <c r="B16" s="1433"/>
      <c r="C16" s="1433"/>
      <c r="D16" s="603">
        <f>+D12+D13+D14+D15</f>
        <v>347480.99</v>
      </c>
      <c r="F16" s="321"/>
      <c r="G16" s="321"/>
      <c r="H16" s="473"/>
      <c r="I16" s="321"/>
      <c r="J16" s="321"/>
      <c r="Q16" s="1112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112"/>
    </row>
    <row r="18" spans="1:19" s="908" customFormat="1" ht="18" customHeight="1" x14ac:dyDescent="0.35">
      <c r="A18" s="689"/>
      <c r="B18" s="689"/>
      <c r="C18" s="689"/>
      <c r="D18" s="688"/>
      <c r="E18" s="1044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880</v>
      </c>
      <c r="B19" s="1451"/>
      <c r="C19" s="1451"/>
      <c r="D19" s="1452"/>
      <c r="E19" s="1045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E20" s="564"/>
      <c r="J20" s="185"/>
      <c r="K20" s="181"/>
      <c r="L20" s="181"/>
      <c r="M20" s="184"/>
    </row>
    <row r="21" spans="1:19" ht="18" customHeight="1" x14ac:dyDescent="0.35">
      <c r="A21" s="607" t="s">
        <v>480</v>
      </c>
      <c r="B21" s="267">
        <v>195</v>
      </c>
      <c r="C21" s="211">
        <f>2165*1.18</f>
        <v>2554.6999999999998</v>
      </c>
      <c r="D21" s="211">
        <f>+B21*C21</f>
        <v>498166.49999999994</v>
      </c>
      <c r="E21" s="564" t="s">
        <v>902</v>
      </c>
      <c r="J21" s="182"/>
    </row>
    <row r="22" spans="1:19" ht="18" customHeight="1" x14ac:dyDescent="0.35">
      <c r="A22" s="607" t="s">
        <v>403</v>
      </c>
      <c r="B22" s="267">
        <v>8</v>
      </c>
      <c r="C22" s="211">
        <f>+C21</f>
        <v>2554.6999999999998</v>
      </c>
      <c r="D22" s="211">
        <f>+B22*C22</f>
        <v>20437.599999999999</v>
      </c>
      <c r="E22" s="564"/>
      <c r="J22" s="182"/>
    </row>
    <row r="23" spans="1:19" ht="18" customHeight="1" x14ac:dyDescent="0.35">
      <c r="A23" s="772" t="s">
        <v>196</v>
      </c>
      <c r="B23" s="267"/>
      <c r="C23" s="211">
        <v>30000</v>
      </c>
      <c r="D23" s="211">
        <f>+C23</f>
        <v>30000</v>
      </c>
      <c r="E23" s="564" t="s">
        <v>898</v>
      </c>
      <c r="I23" s="1112"/>
    </row>
    <row r="24" spans="1:19" ht="18" customHeight="1" x14ac:dyDescent="0.35">
      <c r="A24" s="772" t="s">
        <v>6</v>
      </c>
      <c r="B24" s="267"/>
      <c r="C24" s="211">
        <v>50000</v>
      </c>
      <c r="D24" s="211">
        <f>+C24</f>
        <v>50000</v>
      </c>
      <c r="E24" s="564"/>
      <c r="I24" s="1112"/>
    </row>
    <row r="25" spans="1:19" ht="18" customHeight="1" x14ac:dyDescent="0.35">
      <c r="A25" s="772" t="s">
        <v>468</v>
      </c>
      <c r="B25" s="267">
        <v>15.5</v>
      </c>
      <c r="C25" s="211">
        <f>+C21*1.5</f>
        <v>3832.0499999999997</v>
      </c>
      <c r="D25" s="211">
        <f>B25*C25</f>
        <v>59396.774999999994</v>
      </c>
      <c r="E25" s="1043"/>
      <c r="F25" s="181"/>
      <c r="G25" s="187"/>
      <c r="H25" s="188"/>
      <c r="I25" s="1112"/>
      <c r="L25" s="1112"/>
    </row>
    <row r="26" spans="1:19" ht="18" customHeight="1" x14ac:dyDescent="0.35">
      <c r="A26" s="772" t="s">
        <v>281</v>
      </c>
      <c r="B26" s="267">
        <v>0</v>
      </c>
      <c r="C26" s="211">
        <f>+C21*2</f>
        <v>5109.3999999999996</v>
      </c>
      <c r="D26" s="211">
        <f>+B26*C26</f>
        <v>0</v>
      </c>
      <c r="E26" s="1043"/>
      <c r="F26" s="181"/>
      <c r="G26" s="187"/>
      <c r="H26" s="188"/>
      <c r="I26" s="1112"/>
      <c r="L26" s="1112"/>
    </row>
    <row r="27" spans="1:19" ht="18" customHeight="1" x14ac:dyDescent="0.35">
      <c r="A27" s="772"/>
      <c r="B27" s="267"/>
      <c r="C27" s="211"/>
      <c r="D27" s="211"/>
      <c r="E27" s="1043"/>
      <c r="F27" s="181"/>
      <c r="G27" s="187"/>
      <c r="H27" s="188"/>
      <c r="I27" s="1112"/>
      <c r="L27" s="1112"/>
    </row>
    <row r="28" spans="1:19" s="1112" customFormat="1" ht="18" customHeight="1" x14ac:dyDescent="0.35">
      <c r="A28" s="1463" t="s">
        <v>389</v>
      </c>
      <c r="B28" s="1464"/>
      <c r="C28" s="1465"/>
      <c r="D28" s="599">
        <f>+D21+D22+D23+D24+D25+D26</f>
        <v>658000.87499999988</v>
      </c>
      <c r="E28" s="553"/>
      <c r="F28" s="181"/>
      <c r="G28" s="181"/>
      <c r="H28" s="184"/>
      <c r="I28" s="771"/>
      <c r="K28" s="771"/>
      <c r="L28" s="771"/>
    </row>
    <row r="29" spans="1:19" s="1113" customFormat="1" ht="18" customHeight="1" x14ac:dyDescent="0.35">
      <c r="A29" s="129" t="s">
        <v>818</v>
      </c>
      <c r="B29" s="749"/>
      <c r="C29" s="1072" t="s">
        <v>63</v>
      </c>
      <c r="D29" s="749">
        <v>180000</v>
      </c>
      <c r="E29" s="553"/>
      <c r="F29" s="184"/>
      <c r="G29" s="184"/>
      <c r="H29" s="184"/>
      <c r="I29" s="90"/>
      <c r="K29" s="90"/>
      <c r="L29" s="90"/>
    </row>
    <row r="30" spans="1:19" s="1112" customFormat="1" ht="18" customHeight="1" x14ac:dyDescent="0.35">
      <c r="A30" s="825" t="s">
        <v>374</v>
      </c>
      <c r="B30" s="824" t="s">
        <v>63</v>
      </c>
      <c r="C30" s="823"/>
      <c r="D30" s="930">
        <v>-200000</v>
      </c>
      <c r="E30" s="1042"/>
      <c r="F30" s="181"/>
      <c r="G30" s="181"/>
      <c r="H30" s="184"/>
      <c r="I30" s="771"/>
      <c r="K30" s="771"/>
      <c r="L30" s="771"/>
    </row>
    <row r="31" spans="1:19" s="1119" customFormat="1" ht="18" customHeight="1" x14ac:dyDescent="0.35">
      <c r="A31" s="825" t="s">
        <v>374</v>
      </c>
      <c r="B31" s="824"/>
      <c r="C31" s="823"/>
      <c r="D31" s="930">
        <v>-300000</v>
      </c>
      <c r="E31" s="1042"/>
      <c r="F31" s="181"/>
      <c r="G31" s="181"/>
      <c r="H31" s="184"/>
      <c r="I31" s="771"/>
      <c r="K31" s="771"/>
      <c r="L31" s="771"/>
    </row>
    <row r="32" spans="1:19" ht="18" customHeight="1" x14ac:dyDescent="0.35">
      <c r="A32" s="786" t="s">
        <v>11</v>
      </c>
      <c r="B32" s="783"/>
      <c r="C32" s="783"/>
      <c r="D32" s="784">
        <f>+D28+D29+D30+D31</f>
        <v>338000.87499999988</v>
      </c>
      <c r="E32" s="553"/>
      <c r="F32" s="181"/>
      <c r="G32" s="181"/>
      <c r="H32" s="184"/>
    </row>
    <row r="33" spans="1:19" ht="18" customHeight="1" x14ac:dyDescent="0.35">
      <c r="A33" s="1047"/>
      <c r="B33" s="594"/>
      <c r="C33" s="594"/>
      <c r="D33" s="595"/>
      <c r="F33" s="181"/>
      <c r="G33" s="181"/>
      <c r="H33" s="184"/>
    </row>
    <row r="34" spans="1:19" ht="18" customHeight="1" x14ac:dyDescent="0.35">
      <c r="A34" s="594"/>
      <c r="B34" s="594"/>
      <c r="C34" s="594"/>
      <c r="D34" s="595"/>
      <c r="F34" s="181"/>
      <c r="G34" s="181"/>
      <c r="H34" s="184"/>
    </row>
    <row r="35" spans="1:19" ht="18" customHeight="1" x14ac:dyDescent="0.35">
      <c r="A35" s="1442" t="s">
        <v>881</v>
      </c>
      <c r="B35" s="1443"/>
      <c r="C35" s="1443"/>
      <c r="D35" s="1444"/>
      <c r="F35" s="181"/>
      <c r="G35" s="181"/>
      <c r="H35" s="184"/>
    </row>
    <row r="36" spans="1:19" ht="18" customHeight="1" x14ac:dyDescent="0.35">
      <c r="A36" s="2"/>
      <c r="B36" s="270" t="s">
        <v>8</v>
      </c>
      <c r="C36" s="217" t="s">
        <v>4</v>
      </c>
      <c r="D36" s="597" t="s">
        <v>9</v>
      </c>
      <c r="F36" s="181"/>
      <c r="G36" s="181"/>
      <c r="H36" s="184"/>
    </row>
    <row r="37" spans="1:19" ht="18" customHeight="1" x14ac:dyDescent="0.35">
      <c r="A37" s="772" t="s">
        <v>253</v>
      </c>
      <c r="B37" s="258">
        <v>195</v>
      </c>
      <c r="C37" s="194">
        <f>3288*1.2</f>
        <v>3945.6</v>
      </c>
      <c r="D37" s="598">
        <f>+B37*C37</f>
        <v>769392</v>
      </c>
      <c r="E37" s="564" t="s">
        <v>509</v>
      </c>
      <c r="F37" s="181"/>
      <c r="G37" s="181"/>
      <c r="H37" s="184"/>
    </row>
    <row r="38" spans="1:19" ht="18" customHeight="1" x14ac:dyDescent="0.35">
      <c r="A38" s="772" t="s">
        <v>403</v>
      </c>
      <c r="B38" s="258">
        <v>8</v>
      </c>
      <c r="C38" s="194">
        <f>+C37</f>
        <v>3945.6</v>
      </c>
      <c r="D38" s="598">
        <f>+B38*C38</f>
        <v>31564.799999999999</v>
      </c>
      <c r="E38" s="564"/>
      <c r="F38" s="181"/>
      <c r="G38" s="181"/>
      <c r="H38" s="184"/>
    </row>
    <row r="39" spans="1:19" ht="15" customHeight="1" x14ac:dyDescent="0.35">
      <c r="A39" s="772" t="s">
        <v>196</v>
      </c>
      <c r="B39" s="258"/>
      <c r="C39" s="194">
        <v>30000</v>
      </c>
      <c r="D39" s="598">
        <f>+C39</f>
        <v>30000</v>
      </c>
      <c r="E39" s="564" t="s">
        <v>897</v>
      </c>
      <c r="F39" s="181"/>
      <c r="G39" s="181"/>
      <c r="H39" s="184"/>
      <c r="I39" s="1112"/>
    </row>
    <row r="40" spans="1:19" ht="15" customHeight="1" x14ac:dyDescent="0.35">
      <c r="A40" s="772" t="s">
        <v>6</v>
      </c>
      <c r="B40" s="258"/>
      <c r="C40" s="194">
        <v>70000</v>
      </c>
      <c r="D40" s="598">
        <f>+C40</f>
        <v>70000</v>
      </c>
      <c r="E40" s="564"/>
      <c r="F40" s="181"/>
      <c r="G40" s="181"/>
      <c r="H40" s="184"/>
      <c r="I40" s="1112"/>
    </row>
    <row r="41" spans="1:19" ht="15" customHeight="1" x14ac:dyDescent="0.35">
      <c r="A41" s="772" t="s">
        <v>195</v>
      </c>
      <c r="B41" s="315">
        <v>14.2</v>
      </c>
      <c r="C41" s="194">
        <f>+C37*1.5</f>
        <v>5918.4</v>
      </c>
      <c r="D41" s="598">
        <f>+B41*C41</f>
        <v>84041.279999999984</v>
      </c>
      <c r="F41" s="181"/>
      <c r="G41" s="181"/>
      <c r="H41" s="184"/>
      <c r="I41" s="1112"/>
    </row>
    <row r="42" spans="1:19" ht="15" customHeight="1" x14ac:dyDescent="0.35">
      <c r="A42" s="772" t="s">
        <v>449</v>
      </c>
      <c r="B42" s="315">
        <v>0</v>
      </c>
      <c r="C42" s="194">
        <f>+C37*2</f>
        <v>7891.2</v>
      </c>
      <c r="D42" s="598">
        <f>+B42*C42</f>
        <v>0</v>
      </c>
      <c r="E42" s="553"/>
      <c r="F42" s="181"/>
      <c r="G42" s="181"/>
      <c r="H42" s="184"/>
      <c r="I42" s="1112"/>
    </row>
    <row r="43" spans="1:19" ht="15" customHeight="1" x14ac:dyDescent="0.35">
      <c r="A43" s="772"/>
      <c r="B43" s="315"/>
      <c r="C43" s="194"/>
      <c r="D43" s="598"/>
      <c r="E43" s="553"/>
      <c r="F43" s="181"/>
      <c r="G43" s="181"/>
      <c r="H43" s="184"/>
      <c r="I43" s="1112"/>
    </row>
    <row r="44" spans="1:19" ht="15" customHeight="1" x14ac:dyDescent="0.35">
      <c r="A44" s="1463" t="s">
        <v>389</v>
      </c>
      <c r="B44" s="1464"/>
      <c r="C44" s="1465"/>
      <c r="D44" s="599">
        <f>+D37+D38+D39+D40+D41+D42+D43</f>
        <v>984998.08000000007</v>
      </c>
      <c r="E44" s="553"/>
      <c r="J44" s="176"/>
      <c r="K44" s="176"/>
      <c r="L44" s="176"/>
      <c r="M44" s="181"/>
      <c r="N44" s="181"/>
      <c r="O44" s="184"/>
      <c r="Q44" s="1112"/>
    </row>
    <row r="45" spans="1:19" ht="15" customHeight="1" x14ac:dyDescent="0.35">
      <c r="A45" s="1118" t="s">
        <v>840</v>
      </c>
      <c r="B45" s="1115"/>
      <c r="C45" s="1116"/>
      <c r="D45" s="599">
        <v>160000</v>
      </c>
      <c r="E45" s="553"/>
      <c r="J45" s="176"/>
      <c r="K45" s="176"/>
      <c r="L45" s="176"/>
      <c r="M45" s="181"/>
      <c r="N45" s="181"/>
      <c r="O45" s="184"/>
      <c r="Q45" s="1112"/>
    </row>
    <row r="46" spans="1:19" s="1112" customFormat="1" ht="15" customHeight="1" x14ac:dyDescent="0.35">
      <c r="A46" s="723" t="s">
        <v>630</v>
      </c>
      <c r="B46" s="727" t="s">
        <v>63</v>
      </c>
      <c r="C46" s="727" t="s">
        <v>63</v>
      </c>
      <c r="D46" s="722">
        <v>-315790</v>
      </c>
      <c r="E46" s="1043"/>
      <c r="F46" s="771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112" customFormat="1" ht="15" customHeight="1" x14ac:dyDescent="0.35">
      <c r="A47" s="1103" t="s">
        <v>11</v>
      </c>
      <c r="B47" s="1104"/>
      <c r="C47" s="197"/>
      <c r="D47" s="675">
        <f>+D44+D45+D46</f>
        <v>829208.08000000007</v>
      </c>
      <c r="E47" s="1025"/>
      <c r="F47" s="771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ht="15" customHeight="1" x14ac:dyDescent="0.35">
      <c r="A48" s="90"/>
      <c r="B48" s="771"/>
      <c r="C48" s="771"/>
      <c r="D48" s="771"/>
      <c r="K48" s="183"/>
      <c r="L48" s="183"/>
      <c r="M48" s="176"/>
      <c r="N48" s="176"/>
      <c r="O48" s="176"/>
      <c r="Q48" s="1112"/>
    </row>
    <row r="49" spans="1:19" ht="15" customHeight="1" x14ac:dyDescent="0.35">
      <c r="B49" s="771"/>
      <c r="C49" s="771"/>
      <c r="D49" s="774" t="s">
        <v>63</v>
      </c>
    </row>
    <row r="50" spans="1:19" ht="15" customHeight="1" x14ac:dyDescent="0.35">
      <c r="A50" s="1442" t="s">
        <v>882</v>
      </c>
      <c r="B50" s="1443"/>
      <c r="C50" s="1443"/>
      <c r="D50" s="1444"/>
      <c r="S50" s="1112"/>
    </row>
    <row r="51" spans="1:19" x14ac:dyDescent="0.35">
      <c r="A51" s="2" t="s">
        <v>7</v>
      </c>
      <c r="B51" s="270" t="s">
        <v>8</v>
      </c>
      <c r="C51" s="217" t="s">
        <v>4</v>
      </c>
      <c r="D51" s="597" t="s">
        <v>9</v>
      </c>
    </row>
    <row r="52" spans="1:19" x14ac:dyDescent="0.35">
      <c r="A52" s="772" t="s">
        <v>501</v>
      </c>
      <c r="B52" s="258">
        <v>195</v>
      </c>
      <c r="C52" s="227">
        <f>2295*1.2</f>
        <v>2754</v>
      </c>
      <c r="D52" s="598">
        <f>+B52*C52</f>
        <v>537030</v>
      </c>
      <c r="E52" s="564" t="s">
        <v>509</v>
      </c>
    </row>
    <row r="53" spans="1:19" x14ac:dyDescent="0.35">
      <c r="A53" s="772" t="s">
        <v>861</v>
      </c>
      <c r="B53" s="258">
        <v>8</v>
      </c>
      <c r="C53" s="227">
        <f>+C52</f>
        <v>2754</v>
      </c>
      <c r="D53" s="598">
        <f>+B53*C53</f>
        <v>22032</v>
      </c>
      <c r="E53" s="564"/>
    </row>
    <row r="54" spans="1:19" x14ac:dyDescent="0.35">
      <c r="A54" s="772" t="s">
        <v>490</v>
      </c>
      <c r="B54" s="258"/>
      <c r="C54" s="227">
        <v>30000</v>
      </c>
      <c r="D54" s="598">
        <f>+C54</f>
        <v>30000</v>
      </c>
      <c r="E54" s="564" t="s">
        <v>364</v>
      </c>
    </row>
    <row r="55" spans="1:19" x14ac:dyDescent="0.35">
      <c r="A55" s="772" t="s">
        <v>489</v>
      </c>
      <c r="B55" s="258"/>
      <c r="C55" s="227">
        <v>70000</v>
      </c>
      <c r="D55" s="598">
        <f>+C55</f>
        <v>70000</v>
      </c>
      <c r="E55" s="564" t="s">
        <v>710</v>
      </c>
    </row>
    <row r="56" spans="1:19" x14ac:dyDescent="0.35">
      <c r="A56" s="772" t="s">
        <v>195</v>
      </c>
      <c r="B56" s="258">
        <v>0</v>
      </c>
      <c r="C56" s="194">
        <f>+C52*1.5</f>
        <v>4131</v>
      </c>
      <c r="D56" s="598">
        <f>+B56*C56</f>
        <v>0</v>
      </c>
      <c r="E56" s="564"/>
    </row>
    <row r="57" spans="1:19" x14ac:dyDescent="0.35">
      <c r="A57" s="772" t="s">
        <v>449</v>
      </c>
      <c r="B57" s="258">
        <v>0</v>
      </c>
      <c r="C57" s="194">
        <f>+C52*2</f>
        <v>5508</v>
      </c>
      <c r="D57" s="598">
        <f>+B57*C57</f>
        <v>0</v>
      </c>
    </row>
    <row r="58" spans="1:19" x14ac:dyDescent="0.35">
      <c r="A58" s="889"/>
      <c r="B58" s="890"/>
      <c r="C58" s="977"/>
      <c r="D58" s="598"/>
    </row>
    <row r="59" spans="1:19" x14ac:dyDescent="0.35">
      <c r="A59" s="1439" t="s">
        <v>99</v>
      </c>
      <c r="B59" s="1440"/>
      <c r="C59" s="1441"/>
      <c r="D59" s="599">
        <f>+D52+D53+D54+D55+D56+D57+D58</f>
        <v>659062</v>
      </c>
      <c r="E59" s="553"/>
    </row>
    <row r="60" spans="1:19" x14ac:dyDescent="0.35">
      <c r="A60" s="891" t="s">
        <v>182</v>
      </c>
      <c r="B60" s="720"/>
      <c r="C60" s="720"/>
      <c r="D60" s="887">
        <v>130000</v>
      </c>
      <c r="E60" s="553" t="s">
        <v>710</v>
      </c>
    </row>
    <row r="61" spans="1:19" x14ac:dyDescent="0.35">
      <c r="A61" s="921" t="s">
        <v>883</v>
      </c>
      <c r="B61" s="922">
        <f>+D52+D53+D54+D55</f>
        <v>659062</v>
      </c>
      <c r="C61" s="720"/>
      <c r="D61" s="722">
        <f>-B61*0.1</f>
        <v>-65906.2</v>
      </c>
      <c r="E61" s="553"/>
    </row>
    <row r="62" spans="1:19" x14ac:dyDescent="0.35">
      <c r="A62" s="672"/>
      <c r="B62" s="673" t="s">
        <v>11</v>
      </c>
      <c r="C62" s="674"/>
      <c r="D62" s="675">
        <f>+D59+D60+D61</f>
        <v>723155.8</v>
      </c>
      <c r="E62" s="553"/>
    </row>
    <row r="63" spans="1:19" x14ac:dyDescent="0.35">
      <c r="B63" s="771"/>
      <c r="C63" s="771"/>
      <c r="D63" s="771"/>
    </row>
    <row r="65" spans="1:6" ht="14.5" customHeight="1" x14ac:dyDescent="0.35">
      <c r="A65" s="1442" t="s">
        <v>884</v>
      </c>
      <c r="B65" s="1443"/>
      <c r="C65" s="1443"/>
      <c r="D65" s="1444"/>
    </row>
    <row r="66" spans="1:6" ht="14.5" customHeight="1" x14ac:dyDescent="0.35">
      <c r="A66" s="2" t="s">
        <v>7</v>
      </c>
      <c r="B66" s="270" t="s">
        <v>8</v>
      </c>
      <c r="C66" s="217" t="s">
        <v>4</v>
      </c>
      <c r="D66" s="597" t="s">
        <v>63</v>
      </c>
    </row>
    <row r="67" spans="1:6" ht="14.5" customHeight="1" x14ac:dyDescent="0.35">
      <c r="A67" s="772" t="s">
        <v>3</v>
      </c>
      <c r="B67" s="258">
        <v>195</v>
      </c>
      <c r="C67" s="227">
        <f>1907*1.25</f>
        <v>2383.75</v>
      </c>
      <c r="D67" s="598">
        <f>+B67*C67</f>
        <v>464831.25</v>
      </c>
      <c r="E67" s="564" t="s">
        <v>635</v>
      </c>
    </row>
    <row r="68" spans="1:6" ht="14.5" customHeight="1" x14ac:dyDescent="0.35">
      <c r="A68" s="772" t="s">
        <v>394</v>
      </c>
      <c r="B68" s="258">
        <v>8</v>
      </c>
      <c r="C68" s="227">
        <f>+C67</f>
        <v>2383.75</v>
      </c>
      <c r="D68" s="598">
        <f>+B68*C68</f>
        <v>19070</v>
      </c>
      <c r="E68" s="564"/>
    </row>
    <row r="69" spans="1:6" x14ac:dyDescent="0.35">
      <c r="A69" s="772" t="s">
        <v>196</v>
      </c>
      <c r="B69" s="258"/>
      <c r="C69" s="227">
        <v>30000</v>
      </c>
      <c r="D69" s="598">
        <f>+C69</f>
        <v>30000</v>
      </c>
      <c r="E69" s="564" t="s">
        <v>712</v>
      </c>
    </row>
    <row r="70" spans="1:6" x14ac:dyDescent="0.35">
      <c r="A70" s="772" t="s">
        <v>6</v>
      </c>
      <c r="B70" s="258"/>
      <c r="C70" s="227">
        <v>35000</v>
      </c>
      <c r="D70" s="598">
        <f>+C70</f>
        <v>35000</v>
      </c>
      <c r="E70" s="564"/>
    </row>
    <row r="71" spans="1:6" s="1069" customFormat="1" x14ac:dyDescent="0.35">
      <c r="A71" s="614" t="s">
        <v>270</v>
      </c>
      <c r="B71" s="617">
        <v>15.5</v>
      </c>
      <c r="C71" s="227">
        <f>+C67*1.5</f>
        <v>3575.625</v>
      </c>
      <c r="D71" s="598">
        <f>+B71*C71</f>
        <v>55422.1875</v>
      </c>
      <c r="E71" s="564"/>
    </row>
    <row r="72" spans="1:6" x14ac:dyDescent="0.35">
      <c r="A72" s="772" t="s">
        <v>281</v>
      </c>
      <c r="B72" s="258">
        <v>0</v>
      </c>
      <c r="C72" s="227">
        <f>+C67*2</f>
        <v>4767.5</v>
      </c>
      <c r="D72" s="598">
        <f>+B72*C72</f>
        <v>0</v>
      </c>
    </row>
    <row r="73" spans="1:6" x14ac:dyDescent="0.35">
      <c r="A73" s="889"/>
      <c r="B73" s="890"/>
      <c r="C73" s="814"/>
      <c r="D73" s="598"/>
    </row>
    <row r="74" spans="1:6" x14ac:dyDescent="0.35">
      <c r="A74" s="1463" t="s">
        <v>389</v>
      </c>
      <c r="B74" s="1464"/>
      <c r="C74" s="1465"/>
      <c r="D74" s="599">
        <f>+D67+D68+D69+D70+D71+D72+D73</f>
        <v>604323.4375</v>
      </c>
      <c r="E74" s="553"/>
      <c r="F74" s="774"/>
    </row>
    <row r="75" spans="1:6" x14ac:dyDescent="0.35">
      <c r="A75" s="1118" t="s">
        <v>864</v>
      </c>
      <c r="B75" s="1115"/>
      <c r="C75" s="1116"/>
      <c r="D75" s="599">
        <v>80000</v>
      </c>
      <c r="E75" s="553"/>
      <c r="F75" s="774"/>
    </row>
    <row r="76" spans="1:6" x14ac:dyDescent="0.35">
      <c r="A76" s="723" t="s">
        <v>50</v>
      </c>
      <c r="B76" s="721"/>
      <c r="C76" s="721"/>
      <c r="D76" s="722">
        <v>-115000</v>
      </c>
      <c r="E76" s="553"/>
    </row>
    <row r="77" spans="1:6" x14ac:dyDescent="0.35">
      <c r="A77" s="723" t="s">
        <v>896</v>
      </c>
      <c r="B77" s="721"/>
      <c r="C77" s="721"/>
      <c r="D77" s="722">
        <v>-30000</v>
      </c>
    </row>
    <row r="78" spans="1:6" ht="15.5" x14ac:dyDescent="0.35">
      <c r="A78" s="1460" t="s">
        <v>11</v>
      </c>
      <c r="B78" s="1461"/>
      <c r="C78" s="1462"/>
      <c r="D78" s="603">
        <f>+D74+D75+D76+D77</f>
        <v>539323.4375</v>
      </c>
      <c r="E78" s="553"/>
    </row>
    <row r="79" spans="1:6" s="90" customFormat="1" x14ac:dyDescent="0.35">
      <c r="A79" s="1035"/>
      <c r="B79" s="1042"/>
      <c r="C79" s="553"/>
      <c r="D79" s="1051"/>
      <c r="E79" s="1042"/>
    </row>
    <row r="81" spans="1:5" ht="23.5" x14ac:dyDescent="0.35">
      <c r="A81" s="1442" t="s">
        <v>885</v>
      </c>
      <c r="B81" s="1443"/>
      <c r="C81" s="1443"/>
      <c r="D81" s="1444"/>
    </row>
    <row r="82" spans="1:5" x14ac:dyDescent="0.35">
      <c r="A82" s="2" t="s">
        <v>7</v>
      </c>
      <c r="B82" s="270" t="s">
        <v>388</v>
      </c>
      <c r="C82" s="217" t="s">
        <v>272</v>
      </c>
      <c r="D82" s="597" t="s">
        <v>9</v>
      </c>
    </row>
    <row r="83" spans="1:5" x14ac:dyDescent="0.35">
      <c r="A83" s="772" t="s">
        <v>3</v>
      </c>
      <c r="B83" s="258">
        <v>195</v>
      </c>
      <c r="C83" s="227">
        <f>2175*1.25</f>
        <v>2718.75</v>
      </c>
      <c r="D83" s="598">
        <f>+B83*C83</f>
        <v>530156.25</v>
      </c>
      <c r="E83" s="1048" t="s">
        <v>635</v>
      </c>
    </row>
    <row r="84" spans="1:5" x14ac:dyDescent="0.35">
      <c r="A84" s="772" t="s">
        <v>403</v>
      </c>
      <c r="B84" s="258">
        <v>8</v>
      </c>
      <c r="C84" s="227">
        <f>+C83</f>
        <v>2718.75</v>
      </c>
      <c r="D84" s="598">
        <f>+B84*C84</f>
        <v>21750</v>
      </c>
      <c r="E84" s="564"/>
    </row>
    <row r="85" spans="1:5" x14ac:dyDescent="0.35">
      <c r="A85" s="772" t="s">
        <v>6</v>
      </c>
      <c r="B85" s="258"/>
      <c r="C85" s="227">
        <v>50000</v>
      </c>
      <c r="D85" s="598">
        <f>+C85</f>
        <v>50000</v>
      </c>
      <c r="E85" s="564"/>
    </row>
    <row r="86" spans="1:5" x14ac:dyDescent="0.35">
      <c r="A86" s="772" t="s">
        <v>200</v>
      </c>
      <c r="B86" s="258"/>
      <c r="C86" s="227">
        <v>30000</v>
      </c>
      <c r="D86" s="598">
        <f>+C86</f>
        <v>30000</v>
      </c>
      <c r="E86" s="564" t="s">
        <v>899</v>
      </c>
    </row>
    <row r="87" spans="1:5" x14ac:dyDescent="0.35">
      <c r="A87" s="772" t="s">
        <v>475</v>
      </c>
      <c r="B87" s="258">
        <v>9.5</v>
      </c>
      <c r="C87" s="227">
        <f>+C83*1.5</f>
        <v>4078.125</v>
      </c>
      <c r="D87" s="811">
        <f>+B87*C87</f>
        <v>38742.1875</v>
      </c>
      <c r="E87" s="564"/>
    </row>
    <row r="88" spans="1:5" x14ac:dyDescent="0.35">
      <c r="A88" s="772" t="s">
        <v>757</v>
      </c>
      <c r="B88" s="258">
        <v>0</v>
      </c>
      <c r="C88" s="227">
        <f>+C83*2</f>
        <v>5437.5</v>
      </c>
      <c r="D88" s="598">
        <f>+B88*C88</f>
        <v>0</v>
      </c>
    </row>
    <row r="89" spans="1:5" x14ac:dyDescent="0.35">
      <c r="A89" s="772"/>
      <c r="B89" s="258"/>
      <c r="C89" s="227"/>
      <c r="D89" s="598"/>
    </row>
    <row r="90" spans="1:5" x14ac:dyDescent="0.35">
      <c r="A90" s="1036" t="s">
        <v>389</v>
      </c>
      <c r="B90" s="681"/>
      <c r="C90" s="1037"/>
      <c r="D90" s="1038">
        <f>+D83+D84+D85+D86+D87+D88</f>
        <v>670648.4375</v>
      </c>
      <c r="E90" s="553"/>
    </row>
    <row r="91" spans="1:5" x14ac:dyDescent="0.35">
      <c r="A91" s="1036" t="s">
        <v>818</v>
      </c>
      <c r="B91" s="681"/>
      <c r="C91" s="1037"/>
      <c r="D91" s="1038">
        <v>110000</v>
      </c>
    </row>
    <row r="92" spans="1:5" x14ac:dyDescent="0.35">
      <c r="A92" s="772" t="s">
        <v>19</v>
      </c>
      <c r="B92" s="258"/>
      <c r="C92" s="227"/>
      <c r="D92" s="731">
        <v>-60000</v>
      </c>
    </row>
    <row r="93" spans="1:5" ht="15.5" x14ac:dyDescent="0.35">
      <c r="A93" s="1460" t="s">
        <v>11</v>
      </c>
      <c r="B93" s="1461"/>
      <c r="C93" s="1462"/>
      <c r="D93" s="603">
        <f>+D90+D91+D92</f>
        <v>720648.4375</v>
      </c>
      <c r="E93" s="553"/>
    </row>
    <row r="94" spans="1:5" s="90" customFormat="1" x14ac:dyDescent="0.35">
      <c r="B94" s="1042"/>
      <c r="C94" s="553"/>
      <c r="D94" s="1051" t="s">
        <v>63</v>
      </c>
      <c r="E94" s="1042"/>
    </row>
    <row r="96" spans="1:5" ht="23.5" x14ac:dyDescent="0.35">
      <c r="A96" s="1431" t="s">
        <v>907</v>
      </c>
      <c r="B96" s="1431"/>
      <c r="C96" s="1431"/>
      <c r="D96" s="1431"/>
    </row>
    <row r="97" spans="1:5" x14ac:dyDescent="0.35">
      <c r="A97" s="2" t="s">
        <v>7</v>
      </c>
      <c r="B97" s="270" t="s">
        <v>8</v>
      </c>
      <c r="C97" s="217" t="s">
        <v>4</v>
      </c>
      <c r="D97" s="597" t="s">
        <v>9</v>
      </c>
    </row>
    <row r="98" spans="1:5" x14ac:dyDescent="0.35">
      <c r="A98" s="772" t="s">
        <v>3</v>
      </c>
      <c r="B98" s="258">
        <v>195</v>
      </c>
      <c r="C98" s="227">
        <f>1907*1.25</f>
        <v>2383.75</v>
      </c>
      <c r="D98" s="598">
        <f>+B98*C98</f>
        <v>464831.25</v>
      </c>
      <c r="E98" s="564" t="s">
        <v>635</v>
      </c>
    </row>
    <row r="99" spans="1:5" x14ac:dyDescent="0.35">
      <c r="A99" s="772" t="s">
        <v>403</v>
      </c>
      <c r="B99" s="258">
        <v>8</v>
      </c>
      <c r="C99" s="227">
        <f>+C98</f>
        <v>2383.75</v>
      </c>
      <c r="D99" s="598">
        <f>+B99*C99</f>
        <v>19070</v>
      </c>
      <c r="E99" s="564"/>
    </row>
    <row r="100" spans="1:5" x14ac:dyDescent="0.35">
      <c r="A100" s="772" t="s">
        <v>200</v>
      </c>
      <c r="B100" s="258"/>
      <c r="C100" s="227">
        <v>30000</v>
      </c>
      <c r="D100" s="598">
        <f>+C100</f>
        <v>30000</v>
      </c>
      <c r="E100" s="564" t="s">
        <v>900</v>
      </c>
    </row>
    <row r="101" spans="1:5" x14ac:dyDescent="0.35">
      <c r="A101" s="772" t="s">
        <v>6</v>
      </c>
      <c r="B101" s="258"/>
      <c r="C101" s="194">
        <v>35000</v>
      </c>
      <c r="D101" s="598">
        <f>+C101</f>
        <v>35000</v>
      </c>
      <c r="E101" s="564"/>
    </row>
    <row r="102" spans="1:5" x14ac:dyDescent="0.35">
      <c r="A102" s="772" t="s">
        <v>270</v>
      </c>
      <c r="B102" s="258">
        <v>15.5</v>
      </c>
      <c r="C102" s="194">
        <f>+C98*1.5</f>
        <v>3575.625</v>
      </c>
      <c r="D102" s="598">
        <f>+B102*C102</f>
        <v>55422.1875</v>
      </c>
      <c r="E102" s="564"/>
    </row>
    <row r="103" spans="1:5" x14ac:dyDescent="0.35">
      <c r="A103" s="772" t="s">
        <v>281</v>
      </c>
      <c r="B103" s="258">
        <v>0</v>
      </c>
      <c r="C103" s="194">
        <f>+C98*2</f>
        <v>4767.5</v>
      </c>
      <c r="D103" s="598">
        <f>+B103*C103</f>
        <v>0</v>
      </c>
    </row>
    <row r="104" spans="1:5" x14ac:dyDescent="0.35">
      <c r="A104" s="772"/>
      <c r="B104" s="258"/>
      <c r="C104" s="194"/>
      <c r="D104" s="598"/>
    </row>
    <row r="105" spans="1:5" x14ac:dyDescent="0.35">
      <c r="A105" s="1463" t="s">
        <v>389</v>
      </c>
      <c r="B105" s="1464"/>
      <c r="C105" s="1465"/>
      <c r="D105" s="599">
        <f>+D98+D99+D100+D101+D102+D103+D104</f>
        <v>604323.4375</v>
      </c>
      <c r="E105" s="553"/>
    </row>
    <row r="106" spans="1:5" x14ac:dyDescent="0.35">
      <c r="A106" s="1118" t="s">
        <v>818</v>
      </c>
      <c r="B106" s="1115"/>
      <c r="C106" s="1116"/>
      <c r="D106" s="599">
        <v>140000</v>
      </c>
      <c r="E106" s="553" t="s">
        <v>710</v>
      </c>
    </row>
    <row r="107" spans="1:5" x14ac:dyDescent="0.35">
      <c r="A107" s="724" t="s">
        <v>19</v>
      </c>
      <c r="B107" s="729" t="s">
        <v>63</v>
      </c>
      <c r="C107" s="730" t="s">
        <v>63</v>
      </c>
      <c r="D107" s="731">
        <v>-100000</v>
      </c>
      <c r="E107" s="553"/>
    </row>
    <row r="108" spans="1:5" x14ac:dyDescent="0.35">
      <c r="A108" s="724" t="s">
        <v>19</v>
      </c>
      <c r="B108" s="729"/>
      <c r="C108" s="730"/>
      <c r="D108" s="731">
        <v>-300000</v>
      </c>
      <c r="E108" s="553"/>
    </row>
    <row r="109" spans="1:5" s="997" customFormat="1" ht="15.5" x14ac:dyDescent="0.35">
      <c r="A109" s="992"/>
      <c r="B109" s="1105" t="s">
        <v>11</v>
      </c>
      <c r="C109" s="994"/>
      <c r="D109" s="995">
        <f>+D105+D106+D107+D108</f>
        <v>344323.4375</v>
      </c>
      <c r="E109" s="1046"/>
    </row>
    <row r="110" spans="1:5" s="90" customFormat="1" x14ac:dyDescent="0.35">
      <c r="B110" s="1042"/>
      <c r="C110" s="553"/>
      <c r="D110" s="1051"/>
      <c r="E110" s="1042"/>
    </row>
    <row r="112" spans="1:5" ht="23.5" x14ac:dyDescent="0.35">
      <c r="A112" s="1442" t="s">
        <v>886</v>
      </c>
      <c r="B112" s="1443"/>
      <c r="C112" s="1443"/>
      <c r="D112" s="1444"/>
    </row>
    <row r="113" spans="1:5" x14ac:dyDescent="0.35">
      <c r="A113" s="2" t="s">
        <v>7</v>
      </c>
      <c r="B113" s="270" t="s">
        <v>8</v>
      </c>
      <c r="C113" s="217" t="s">
        <v>4</v>
      </c>
      <c r="D113" s="597" t="s">
        <v>9</v>
      </c>
    </row>
    <row r="114" spans="1:5" x14ac:dyDescent="0.35">
      <c r="A114" s="772" t="s">
        <v>3</v>
      </c>
      <c r="B114" s="258">
        <v>168</v>
      </c>
      <c r="C114" s="194">
        <f>2913*1.1</f>
        <v>3204.3</v>
      </c>
      <c r="D114" s="598">
        <f>+B114*C114</f>
        <v>538322.4</v>
      </c>
      <c r="E114" s="564" t="s">
        <v>362</v>
      </c>
    </row>
    <row r="115" spans="1:5" x14ac:dyDescent="0.35">
      <c r="A115" s="772" t="s">
        <v>403</v>
      </c>
      <c r="B115" s="258">
        <v>7</v>
      </c>
      <c r="C115" s="194">
        <f>+C114</f>
        <v>3204.3</v>
      </c>
      <c r="D115" s="609">
        <f>+B115*C115</f>
        <v>22430.100000000002</v>
      </c>
      <c r="E115" s="564"/>
    </row>
    <row r="116" spans="1:5" x14ac:dyDescent="0.35">
      <c r="A116" s="772" t="s">
        <v>6</v>
      </c>
      <c r="B116" s="258"/>
      <c r="C116" s="194">
        <v>35000</v>
      </c>
      <c r="D116" s="609">
        <f>+C116</f>
        <v>35000</v>
      </c>
      <c r="E116" s="564"/>
    </row>
    <row r="117" spans="1:5" x14ac:dyDescent="0.35">
      <c r="A117" s="614" t="s">
        <v>556</v>
      </c>
      <c r="B117" s="617"/>
      <c r="C117" s="227">
        <v>30000</v>
      </c>
      <c r="D117" s="609">
        <f>+C117</f>
        <v>30000</v>
      </c>
      <c r="E117" s="564" t="s">
        <v>364</v>
      </c>
    </row>
    <row r="118" spans="1:5" x14ac:dyDescent="0.35">
      <c r="A118" s="614"/>
      <c r="B118" s="617">
        <v>0</v>
      </c>
      <c r="C118" s="227">
        <v>0</v>
      </c>
      <c r="D118" s="609">
        <f>+B118*C118</f>
        <v>0</v>
      </c>
      <c r="E118" s="553"/>
    </row>
    <row r="119" spans="1:5" s="764" customFormat="1" x14ac:dyDescent="0.35">
      <c r="A119" s="882" t="s">
        <v>389</v>
      </c>
      <c r="B119" s="883"/>
      <c r="C119" s="884"/>
      <c r="D119" s="1058">
        <f>+D114+D115+D116+D117+D118</f>
        <v>625752.5</v>
      </c>
      <c r="E119" s="768"/>
    </row>
    <row r="120" spans="1:5" s="764" customFormat="1" x14ac:dyDescent="0.35">
      <c r="A120" s="882" t="s">
        <v>823</v>
      </c>
      <c r="B120" s="883"/>
      <c r="C120" s="884"/>
      <c r="D120" s="1058">
        <v>100000</v>
      </c>
      <c r="E120" s="768"/>
    </row>
    <row r="121" spans="1:5" s="1070" customFormat="1" x14ac:dyDescent="0.35">
      <c r="A121" s="724" t="s">
        <v>19</v>
      </c>
      <c r="B121" s="729"/>
      <c r="C121" s="729"/>
      <c r="D121" s="731">
        <v>-136000</v>
      </c>
      <c r="E121" s="1073"/>
    </row>
    <row r="122" spans="1:5" s="90" customFormat="1" x14ac:dyDescent="0.35">
      <c r="A122" s="1071" t="s">
        <v>11</v>
      </c>
      <c r="B122" s="1074"/>
      <c r="C122" s="1074"/>
      <c r="D122" s="1075">
        <f>+D119+D120+D121</f>
        <v>589752.5</v>
      </c>
      <c r="E122" s="1042"/>
    </row>
    <row r="123" spans="1:5" s="90" customFormat="1" x14ac:dyDescent="0.35">
      <c r="A123" s="691"/>
      <c r="B123" s="1089"/>
      <c r="C123" s="1089"/>
      <c r="D123" s="1090"/>
      <c r="E123" s="1042"/>
    </row>
    <row r="124" spans="1:5" s="90" customFormat="1" x14ac:dyDescent="0.35">
      <c r="A124" s="691"/>
      <c r="B124" s="1089"/>
      <c r="C124" s="1089"/>
      <c r="D124" s="1090"/>
      <c r="E124" s="1042"/>
    </row>
    <row r="125" spans="1:5" ht="23.5" x14ac:dyDescent="0.35">
      <c r="A125" s="1442" t="s">
        <v>887</v>
      </c>
      <c r="B125" s="1443"/>
      <c r="C125" s="1443"/>
      <c r="D125" s="1444"/>
    </row>
    <row r="126" spans="1:5" x14ac:dyDescent="0.35">
      <c r="A126" s="2" t="s">
        <v>7</v>
      </c>
      <c r="B126" s="270" t="s">
        <v>388</v>
      </c>
      <c r="C126" s="217" t="s">
        <v>629</v>
      </c>
      <c r="D126" s="597" t="s">
        <v>9</v>
      </c>
    </row>
    <row r="127" spans="1:5" x14ac:dyDescent="0.35">
      <c r="A127" s="772" t="s">
        <v>3</v>
      </c>
      <c r="B127" s="258">
        <v>169</v>
      </c>
      <c r="C127" s="194">
        <f>2913*1.1</f>
        <v>3204.3</v>
      </c>
      <c r="D127" s="598">
        <f>+B127*C127</f>
        <v>541526.70000000007</v>
      </c>
      <c r="E127" s="564" t="s">
        <v>362</v>
      </c>
    </row>
    <row r="128" spans="1:5" x14ac:dyDescent="0.35">
      <c r="A128" s="772" t="s">
        <v>403</v>
      </c>
      <c r="B128" s="258">
        <v>8</v>
      </c>
      <c r="C128" s="194">
        <f>+C127</f>
        <v>3204.3</v>
      </c>
      <c r="D128" s="609">
        <f>+B128*C128</f>
        <v>25634.400000000001</v>
      </c>
      <c r="E128" s="564"/>
    </row>
    <row r="129" spans="1:19" x14ac:dyDescent="0.35">
      <c r="A129" s="772" t="s">
        <v>891</v>
      </c>
      <c r="B129" s="258">
        <v>24</v>
      </c>
      <c r="C129" s="194">
        <f>+C127</f>
        <v>3204.3</v>
      </c>
      <c r="D129" s="609">
        <f>+B129*C129</f>
        <v>76903.200000000012</v>
      </c>
      <c r="E129" s="564"/>
    </row>
    <row r="130" spans="1:19" x14ac:dyDescent="0.35">
      <c r="A130" s="772" t="s">
        <v>556</v>
      </c>
      <c r="B130" s="258">
        <v>0</v>
      </c>
      <c r="C130" s="194">
        <v>30000</v>
      </c>
      <c r="D130" s="609">
        <f>0*C130</f>
        <v>0</v>
      </c>
      <c r="E130" s="564" t="s">
        <v>903</v>
      </c>
    </row>
    <row r="131" spans="1:19" x14ac:dyDescent="0.35">
      <c r="A131" s="772" t="s">
        <v>6</v>
      </c>
      <c r="B131" s="258"/>
      <c r="C131" s="194">
        <v>35000</v>
      </c>
      <c r="D131" s="609">
        <f>+C131</f>
        <v>35000</v>
      </c>
      <c r="E131" s="564"/>
    </row>
    <row r="132" spans="1:19" x14ac:dyDescent="0.35">
      <c r="A132" s="614" t="s">
        <v>628</v>
      </c>
      <c r="B132" s="617">
        <v>0</v>
      </c>
      <c r="C132" s="227">
        <f>+C127*1.5</f>
        <v>4806.4500000000007</v>
      </c>
      <c r="D132" s="609">
        <f>+B132*C132</f>
        <v>0</v>
      </c>
      <c r="E132" s="564"/>
    </row>
    <row r="133" spans="1:19" x14ac:dyDescent="0.35">
      <c r="A133" s="614" t="s">
        <v>889</v>
      </c>
      <c r="B133" s="617"/>
      <c r="C133" s="227"/>
      <c r="D133" s="609">
        <v>26600</v>
      </c>
    </row>
    <row r="134" spans="1:19" x14ac:dyDescent="0.35">
      <c r="A134" s="614" t="s">
        <v>890</v>
      </c>
      <c r="B134" s="617"/>
      <c r="C134" s="227"/>
      <c r="D134" s="609">
        <v>37300</v>
      </c>
    </row>
    <row r="135" spans="1:19" x14ac:dyDescent="0.35">
      <c r="A135" s="614"/>
      <c r="B135" s="617"/>
      <c r="C135" s="227"/>
      <c r="D135" s="609"/>
    </row>
    <row r="136" spans="1:19" s="1042" customFormat="1" x14ac:dyDescent="0.35">
      <c r="A136" s="882" t="s">
        <v>99</v>
      </c>
      <c r="B136" s="883"/>
      <c r="C136" s="883"/>
      <c r="D136" s="884">
        <f>+D127+D128+D129+D130+D131+D132+D133+D134</f>
        <v>742964.3</v>
      </c>
      <c r="E136" s="553"/>
      <c r="F136" s="771"/>
      <c r="G136" s="771"/>
      <c r="H136" s="771"/>
      <c r="I136" s="771"/>
      <c r="J136" s="771"/>
      <c r="K136" s="771"/>
      <c r="L136" s="771"/>
      <c r="M136" s="771"/>
      <c r="N136" s="771"/>
      <c r="O136" s="771"/>
      <c r="P136" s="771"/>
      <c r="Q136" s="771"/>
      <c r="R136" s="771"/>
      <c r="S136" s="771"/>
    </row>
    <row r="137" spans="1:19" s="1076" customFormat="1" x14ac:dyDescent="0.35">
      <c r="A137" s="1077" t="s">
        <v>823</v>
      </c>
      <c r="B137" s="1077"/>
      <c r="C137" s="1077"/>
      <c r="D137" s="1077">
        <v>60000</v>
      </c>
      <c r="E137" s="1078"/>
    </row>
    <row r="138" spans="1:19" s="1042" customFormat="1" x14ac:dyDescent="0.35">
      <c r="A138" s="962"/>
      <c r="B138" s="619"/>
      <c r="C138" s="619"/>
      <c r="D138" s="730"/>
      <c r="F138" s="771"/>
      <c r="G138" s="771"/>
      <c r="H138" s="771"/>
      <c r="I138" s="771"/>
      <c r="J138" s="771"/>
      <c r="K138" s="771"/>
      <c r="L138" s="771"/>
      <c r="M138" s="771"/>
      <c r="N138" s="771"/>
      <c r="O138" s="771"/>
      <c r="P138" s="771"/>
      <c r="Q138" s="771"/>
      <c r="R138" s="771"/>
      <c r="S138" s="771"/>
    </row>
    <row r="139" spans="1:19" s="1042" customFormat="1" ht="15.5" x14ac:dyDescent="0.35">
      <c r="A139" s="611" t="s">
        <v>11</v>
      </c>
      <c r="B139" s="612"/>
      <c r="C139" s="613"/>
      <c r="D139" s="603">
        <f>+D136+D137</f>
        <v>802964.3</v>
      </c>
      <c r="E139" s="1091"/>
      <c r="F139" s="771"/>
      <c r="G139" s="771"/>
      <c r="H139" s="771"/>
      <c r="I139" s="771"/>
      <c r="J139" s="771"/>
      <c r="K139" s="771"/>
      <c r="L139" s="771"/>
      <c r="M139" s="771"/>
      <c r="N139" s="771"/>
      <c r="O139" s="771"/>
      <c r="P139" s="771"/>
      <c r="Q139" s="771"/>
      <c r="R139" s="771"/>
      <c r="S139" s="771"/>
    </row>
    <row r="142" spans="1:19" s="90" customFormat="1" ht="23.5" x14ac:dyDescent="0.35">
      <c r="A142" s="1467" t="s">
        <v>888</v>
      </c>
      <c r="B142" s="1468"/>
      <c r="C142" s="1468"/>
      <c r="D142" s="1469"/>
      <c r="E142" s="1042"/>
    </row>
    <row r="143" spans="1:19" x14ac:dyDescent="0.35">
      <c r="A143" s="2" t="s">
        <v>7</v>
      </c>
      <c r="B143" s="270"/>
      <c r="C143" s="217"/>
      <c r="D143" s="597" t="s">
        <v>9</v>
      </c>
    </row>
    <row r="144" spans="1:19" x14ac:dyDescent="0.35">
      <c r="A144" s="1106" t="s">
        <v>865</v>
      </c>
      <c r="B144" s="194">
        <v>1500000</v>
      </c>
      <c r="C144" s="194"/>
      <c r="D144" s="598">
        <f>+B144</f>
        <v>1500000</v>
      </c>
      <c r="E144" s="564"/>
    </row>
    <row r="145" spans="1:19" x14ac:dyDescent="0.35">
      <c r="A145" s="772" t="s">
        <v>866</v>
      </c>
      <c r="B145" s="258"/>
      <c r="C145" s="194"/>
      <c r="D145" s="609">
        <f>-D144/2</f>
        <v>-750000</v>
      </c>
      <c r="E145" s="564"/>
    </row>
    <row r="146" spans="1:19" x14ac:dyDescent="0.35">
      <c r="A146" s="772" t="s">
        <v>234</v>
      </c>
      <c r="B146" s="258"/>
      <c r="C146" s="194"/>
      <c r="D146" s="609">
        <v>37870</v>
      </c>
      <c r="E146" s="564"/>
    </row>
    <row r="147" spans="1:19" x14ac:dyDescent="0.35">
      <c r="A147" s="772"/>
      <c r="B147" s="258"/>
      <c r="C147" s="194"/>
      <c r="D147" s="609"/>
      <c r="E147" s="564"/>
    </row>
    <row r="148" spans="1:19" x14ac:dyDescent="0.35">
      <c r="A148" s="614"/>
      <c r="B148" s="617"/>
      <c r="C148" s="227"/>
      <c r="D148" s="609"/>
      <c r="E148" s="564"/>
    </row>
    <row r="149" spans="1:19" x14ac:dyDescent="0.35">
      <c r="A149" s="614"/>
      <c r="B149" s="617"/>
      <c r="C149" s="227"/>
      <c r="D149" s="609"/>
    </row>
    <row r="150" spans="1:19" x14ac:dyDescent="0.35">
      <c r="A150" s="614"/>
      <c r="B150" s="617"/>
      <c r="C150" s="227"/>
      <c r="D150" s="609"/>
    </row>
    <row r="151" spans="1:19" s="1042" customFormat="1" x14ac:dyDescent="0.35">
      <c r="A151" s="962"/>
      <c r="B151" s="619"/>
      <c r="C151" s="619"/>
      <c r="D151" s="730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ht="15.5" x14ac:dyDescent="0.35">
      <c r="A152" s="611" t="s">
        <v>867</v>
      </c>
      <c r="B152" s="612"/>
      <c r="C152" s="613"/>
      <c r="D152" s="603">
        <f>+D144+D145+D146</f>
        <v>787870</v>
      </c>
      <c r="E152" s="1091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5" spans="1:19" ht="23.5" x14ac:dyDescent="0.35">
      <c r="A155" s="1442" t="s">
        <v>894</v>
      </c>
      <c r="B155" s="1443"/>
      <c r="C155" s="1443"/>
      <c r="D155" s="1444"/>
    </row>
    <row r="156" spans="1:19" x14ac:dyDescent="0.35">
      <c r="A156" s="2" t="s">
        <v>7</v>
      </c>
      <c r="B156" s="270" t="s">
        <v>21</v>
      </c>
      <c r="C156" s="217" t="s">
        <v>272</v>
      </c>
      <c r="D156" s="597" t="s">
        <v>803</v>
      </c>
    </row>
    <row r="157" spans="1:19" x14ac:dyDescent="0.35">
      <c r="A157" s="772" t="s">
        <v>3</v>
      </c>
      <c r="B157" s="258">
        <v>177</v>
      </c>
      <c r="C157" s="194">
        <v>2175</v>
      </c>
      <c r="D157" s="598">
        <f>+B157*C157</f>
        <v>384975</v>
      </c>
      <c r="E157" s="564"/>
    </row>
    <row r="158" spans="1:19" x14ac:dyDescent="0.35">
      <c r="A158" s="772" t="s">
        <v>394</v>
      </c>
      <c r="B158" s="258">
        <v>8</v>
      </c>
      <c r="C158" s="194">
        <f>+C157</f>
        <v>2175</v>
      </c>
      <c r="D158" s="609">
        <f>+B158*C158</f>
        <v>17400</v>
      </c>
      <c r="E158" s="564"/>
    </row>
    <row r="159" spans="1:19" x14ac:dyDescent="0.35">
      <c r="A159" s="772" t="s">
        <v>892</v>
      </c>
      <c r="B159" s="258">
        <v>16</v>
      </c>
      <c r="C159" s="194">
        <f>+C157</f>
        <v>2175</v>
      </c>
      <c r="D159" s="609">
        <f>+B159*C159</f>
        <v>34800</v>
      </c>
      <c r="E159" s="564"/>
    </row>
    <row r="160" spans="1:19" x14ac:dyDescent="0.35">
      <c r="A160" s="1107" t="s">
        <v>200</v>
      </c>
      <c r="B160" s="258">
        <v>0</v>
      </c>
      <c r="C160" s="194">
        <v>30000</v>
      </c>
      <c r="D160" s="609">
        <f>+B160*C160</f>
        <v>0</v>
      </c>
      <c r="E160" s="564"/>
    </row>
    <row r="161" spans="1:19" x14ac:dyDescent="0.35">
      <c r="A161" s="772" t="s">
        <v>6</v>
      </c>
      <c r="B161" s="258"/>
      <c r="C161" s="194"/>
      <c r="D161" s="609"/>
      <c r="E161" s="564"/>
    </row>
    <row r="162" spans="1:19" x14ac:dyDescent="0.35">
      <c r="A162" s="614"/>
      <c r="B162" s="617"/>
      <c r="C162" s="227"/>
      <c r="D162" s="609"/>
      <c r="E162" s="564"/>
    </row>
    <row r="163" spans="1:19" x14ac:dyDescent="0.35">
      <c r="A163" s="614"/>
      <c r="B163" s="617"/>
      <c r="C163" s="227"/>
      <c r="D163" s="609"/>
    </row>
    <row r="164" spans="1:19" x14ac:dyDescent="0.35">
      <c r="A164" s="614"/>
      <c r="B164" s="617"/>
      <c r="C164" s="227"/>
      <c r="D164" s="609"/>
    </row>
    <row r="165" spans="1:19" s="1042" customFormat="1" x14ac:dyDescent="0.35">
      <c r="A165" s="962"/>
      <c r="B165" s="619"/>
      <c r="C165" s="619"/>
      <c r="D165" s="730"/>
      <c r="F165" s="771"/>
      <c r="G165" s="771"/>
      <c r="H165" s="771"/>
      <c r="I165" s="771"/>
      <c r="J165" s="771"/>
      <c r="K165" s="771"/>
      <c r="L165" s="771"/>
      <c r="M165" s="771"/>
      <c r="N165" s="771"/>
      <c r="O165" s="771"/>
      <c r="P165" s="771"/>
      <c r="Q165" s="771"/>
      <c r="R165" s="771"/>
      <c r="S165" s="771"/>
    </row>
    <row r="166" spans="1:19" s="1042" customFormat="1" ht="15.5" x14ac:dyDescent="0.35">
      <c r="A166" s="611" t="s">
        <v>11</v>
      </c>
      <c r="B166" s="612"/>
      <c r="C166" s="613"/>
      <c r="D166" s="603">
        <f>+D157+D158+D160</f>
        <v>402375</v>
      </c>
      <c r="E166" s="1091"/>
      <c r="F166" s="771"/>
      <c r="G166" s="771"/>
      <c r="H166" s="771"/>
      <c r="I166" s="771"/>
      <c r="J166" s="771"/>
      <c r="K166" s="771"/>
      <c r="L166" s="771"/>
      <c r="M166" s="771"/>
      <c r="N166" s="771"/>
      <c r="O166" s="771"/>
      <c r="P166" s="771"/>
      <c r="Q166" s="771"/>
      <c r="R166" s="771"/>
      <c r="S166" s="771"/>
    </row>
    <row r="169" spans="1:19" s="1042" customFormat="1" ht="23.5" x14ac:dyDescent="0.35">
      <c r="A169" s="1442" t="s">
        <v>893</v>
      </c>
      <c r="B169" s="1443"/>
      <c r="C169" s="1443"/>
      <c r="D169" s="1444"/>
      <c r="F169" s="771"/>
      <c r="G169" s="771"/>
      <c r="H169" s="771"/>
      <c r="I169" s="771"/>
      <c r="J169" s="771"/>
      <c r="K169" s="771"/>
      <c r="L169" s="771"/>
      <c r="M169" s="771"/>
      <c r="N169" s="771"/>
      <c r="O169" s="771"/>
      <c r="P169" s="771"/>
      <c r="Q169" s="771"/>
      <c r="R169" s="771"/>
      <c r="S169" s="771"/>
    </row>
    <row r="170" spans="1:19" s="1042" customFormat="1" x14ac:dyDescent="0.35">
      <c r="A170" s="2"/>
      <c r="B170" s="270"/>
      <c r="C170" s="217"/>
      <c r="D170" s="597"/>
      <c r="F170" s="771"/>
      <c r="G170" s="771"/>
      <c r="H170" s="771"/>
      <c r="I170" s="771"/>
      <c r="J170" s="771"/>
      <c r="K170" s="771"/>
      <c r="L170" s="771"/>
      <c r="M170" s="771"/>
      <c r="N170" s="771"/>
      <c r="O170" s="771"/>
      <c r="P170" s="771"/>
      <c r="Q170" s="771"/>
      <c r="R170" s="771"/>
      <c r="S170" s="771"/>
    </row>
    <row r="171" spans="1:19" s="1042" customFormat="1" x14ac:dyDescent="0.35">
      <c r="A171" s="772" t="s">
        <v>895</v>
      </c>
      <c r="B171" s="258">
        <v>36</v>
      </c>
      <c r="C171" s="194">
        <v>2175</v>
      </c>
      <c r="D171" s="598">
        <f>+B171*C171</f>
        <v>78300</v>
      </c>
      <c r="F171" s="771"/>
      <c r="G171" s="771"/>
      <c r="H171" s="771"/>
      <c r="I171" s="771"/>
      <c r="J171" s="771"/>
      <c r="K171" s="771"/>
      <c r="L171" s="771"/>
      <c r="M171" s="771"/>
      <c r="N171" s="771"/>
      <c r="O171" s="771"/>
      <c r="P171" s="771"/>
      <c r="Q171" s="771"/>
      <c r="R171" s="771"/>
      <c r="S171" s="771"/>
    </row>
    <row r="172" spans="1:19" s="1042" customFormat="1" x14ac:dyDescent="0.35">
      <c r="A172" s="772" t="s">
        <v>904</v>
      </c>
      <c r="B172" s="258"/>
      <c r="C172" s="194"/>
      <c r="D172" s="609">
        <v>6000</v>
      </c>
      <c r="F172" s="771"/>
      <c r="G172" s="771"/>
      <c r="H172" s="771"/>
      <c r="I172" s="771"/>
      <c r="J172" s="771"/>
      <c r="K172" s="771"/>
      <c r="L172" s="771"/>
      <c r="M172" s="771"/>
      <c r="N172" s="771"/>
      <c r="O172" s="771"/>
      <c r="P172" s="771"/>
      <c r="Q172" s="771"/>
      <c r="R172" s="771"/>
      <c r="S172" s="771"/>
    </row>
    <row r="173" spans="1:19" s="1042" customFormat="1" x14ac:dyDescent="0.35">
      <c r="A173" s="1107"/>
      <c r="B173" s="258"/>
      <c r="C173" s="194"/>
      <c r="D173" s="609"/>
      <c r="F173" s="771"/>
      <c r="G173" s="771"/>
      <c r="H173" s="771"/>
      <c r="I173" s="771"/>
      <c r="J173" s="771"/>
      <c r="K173" s="771"/>
      <c r="L173" s="771"/>
      <c r="M173" s="771"/>
      <c r="N173" s="771"/>
      <c r="O173" s="771"/>
      <c r="P173" s="771"/>
      <c r="Q173" s="771"/>
      <c r="R173" s="771"/>
      <c r="S173" s="771"/>
    </row>
    <row r="174" spans="1:19" s="1042" customFormat="1" x14ac:dyDescent="0.35">
      <c r="A174" s="772"/>
      <c r="B174" s="258"/>
      <c r="C174" s="194"/>
      <c r="D174" s="609"/>
      <c r="F174" s="771"/>
      <c r="G174" s="771"/>
      <c r="H174" s="771"/>
      <c r="I174" s="771"/>
      <c r="J174" s="771"/>
      <c r="K174" s="771"/>
      <c r="L174" s="771"/>
      <c r="M174" s="771"/>
      <c r="N174" s="771"/>
      <c r="O174" s="771"/>
      <c r="P174" s="771"/>
      <c r="Q174" s="771"/>
      <c r="R174" s="771"/>
      <c r="S174" s="771"/>
    </row>
    <row r="175" spans="1:19" s="1042" customFormat="1" x14ac:dyDescent="0.35">
      <c r="A175" s="614"/>
      <c r="B175" s="617"/>
      <c r="C175" s="227"/>
      <c r="D175" s="609"/>
      <c r="F175" s="771"/>
      <c r="G175" s="771"/>
      <c r="H175" s="771"/>
      <c r="I175" s="771"/>
      <c r="J175" s="771"/>
      <c r="K175" s="771"/>
      <c r="L175" s="771"/>
      <c r="M175" s="771"/>
      <c r="N175" s="771"/>
      <c r="O175" s="771"/>
      <c r="P175" s="771"/>
      <c r="Q175" s="771"/>
      <c r="R175" s="771"/>
      <c r="S175" s="771"/>
    </row>
    <row r="176" spans="1:19" s="1042" customFormat="1" x14ac:dyDescent="0.35">
      <c r="A176" s="614"/>
      <c r="B176" s="617"/>
      <c r="C176" s="227"/>
      <c r="D176" s="609"/>
      <c r="F176" s="771"/>
      <c r="G176" s="771"/>
      <c r="H176" s="771"/>
      <c r="I176" s="771"/>
      <c r="J176" s="771"/>
      <c r="K176" s="771"/>
      <c r="L176" s="771"/>
      <c r="M176" s="771"/>
      <c r="N176" s="771"/>
      <c r="O176" s="771"/>
      <c r="P176" s="771"/>
      <c r="Q176" s="771"/>
      <c r="R176" s="771"/>
      <c r="S176" s="771"/>
    </row>
    <row r="177" spans="1:19" s="1042" customFormat="1" x14ac:dyDescent="0.35">
      <c r="A177" s="614"/>
      <c r="B177" s="617"/>
      <c r="C177" s="227"/>
      <c r="D177" s="609"/>
      <c r="F177" s="771"/>
      <c r="G177" s="771"/>
      <c r="H177" s="771"/>
      <c r="I177" s="771"/>
      <c r="J177" s="771"/>
      <c r="K177" s="771"/>
      <c r="L177" s="771"/>
      <c r="M177" s="771"/>
      <c r="N177" s="771"/>
      <c r="O177" s="771"/>
      <c r="P177" s="771"/>
      <c r="Q177" s="771"/>
      <c r="R177" s="771"/>
      <c r="S177" s="771"/>
    </row>
    <row r="178" spans="1:19" s="1042" customFormat="1" x14ac:dyDescent="0.35">
      <c r="A178" s="962"/>
      <c r="B178" s="619"/>
      <c r="C178" s="619"/>
      <c r="D178" s="730"/>
      <c r="F178" s="771"/>
      <c r="G178" s="771"/>
      <c r="H178" s="771"/>
      <c r="I178" s="771"/>
      <c r="J178" s="771"/>
      <c r="K178" s="771"/>
      <c r="L178" s="771"/>
      <c r="M178" s="771"/>
      <c r="N178" s="771"/>
      <c r="O178" s="771"/>
      <c r="P178" s="771"/>
      <c r="Q178" s="771"/>
      <c r="R178" s="771"/>
      <c r="S178" s="771"/>
    </row>
    <row r="179" spans="1:19" s="1042" customFormat="1" ht="15.5" x14ac:dyDescent="0.35">
      <c r="A179" s="611" t="s">
        <v>11</v>
      </c>
      <c r="B179" s="612"/>
      <c r="C179" s="613"/>
      <c r="D179" s="603">
        <f>+D171+D172</f>
        <v>84300</v>
      </c>
      <c r="F179" s="771"/>
      <c r="G179" s="771"/>
      <c r="H179" s="771"/>
      <c r="I179" s="771"/>
      <c r="J179" s="771"/>
      <c r="K179" s="771"/>
      <c r="L179" s="771"/>
      <c r="M179" s="771"/>
      <c r="N179" s="771"/>
      <c r="O179" s="771"/>
      <c r="P179" s="771"/>
      <c r="Q179" s="771"/>
      <c r="R179" s="771"/>
      <c r="S179" s="771"/>
    </row>
  </sheetData>
  <mergeCells count="21">
    <mergeCell ref="A142:D142"/>
    <mergeCell ref="A155:D155"/>
    <mergeCell ref="A169:D169"/>
    <mergeCell ref="A81:D81"/>
    <mergeCell ref="A93:C93"/>
    <mergeCell ref="A96:D96"/>
    <mergeCell ref="A105:C105"/>
    <mergeCell ref="A112:D112"/>
    <mergeCell ref="A125:D125"/>
    <mergeCell ref="A78:C78"/>
    <mergeCell ref="A3:D3"/>
    <mergeCell ref="A12:C12"/>
    <mergeCell ref="A16:C16"/>
    <mergeCell ref="A19:D19"/>
    <mergeCell ref="A28:C28"/>
    <mergeCell ref="A35:D35"/>
    <mergeCell ref="A44:C44"/>
    <mergeCell ref="A50:D50"/>
    <mergeCell ref="A59:C59"/>
    <mergeCell ref="A65:D65"/>
    <mergeCell ref="A74:C74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B823-F952-4684-9EF8-CAD89D683EC8}">
  <sheetPr>
    <pageSetUpPr fitToPage="1"/>
  </sheetPr>
  <dimension ref="A1:D42"/>
  <sheetViews>
    <sheetView workbookViewId="0">
      <selection activeCell="E10" sqref="E10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4" s="658" customFormat="1" ht="28.5" x14ac:dyDescent="0.65">
      <c r="A1" s="946"/>
      <c r="B1" s="1122" t="s">
        <v>908</v>
      </c>
      <c r="C1" s="983"/>
      <c r="D1" s="983"/>
    </row>
    <row r="3" spans="1:4" x14ac:dyDescent="0.35">
      <c r="A3" s="1014"/>
      <c r="B3" s="964" t="s">
        <v>7</v>
      </c>
      <c r="C3" s="1052" t="s">
        <v>870</v>
      </c>
    </row>
    <row r="4" spans="1:4" x14ac:dyDescent="0.35">
      <c r="B4" s="258" t="s">
        <v>10</v>
      </c>
      <c r="C4" s="194">
        <v>347500</v>
      </c>
    </row>
    <row r="5" spans="1:4" x14ac:dyDescent="0.35">
      <c r="B5" s="258" t="s">
        <v>16</v>
      </c>
      <c r="C5" s="194">
        <v>338000</v>
      </c>
    </row>
    <row r="6" spans="1:4" x14ac:dyDescent="0.35">
      <c r="B6" s="258" t="s">
        <v>0</v>
      </c>
      <c r="C6" s="194">
        <v>829210</v>
      </c>
    </row>
    <row r="7" spans="1:4" x14ac:dyDescent="0.35">
      <c r="B7" s="258" t="s">
        <v>245</v>
      </c>
      <c r="C7" s="194">
        <v>539350</v>
      </c>
    </row>
    <row r="8" spans="1:4" x14ac:dyDescent="0.35">
      <c r="B8" s="258" t="s">
        <v>463</v>
      </c>
      <c r="C8" s="194">
        <v>720650</v>
      </c>
    </row>
    <row r="9" spans="1:4" x14ac:dyDescent="0.35">
      <c r="B9" s="258" t="s">
        <v>553</v>
      </c>
      <c r="C9" s="194">
        <v>344350</v>
      </c>
    </row>
    <row r="10" spans="1:4" x14ac:dyDescent="0.35">
      <c r="B10" s="258" t="s">
        <v>260</v>
      </c>
      <c r="C10" s="194">
        <v>589760</v>
      </c>
    </row>
    <row r="11" spans="1:4" x14ac:dyDescent="0.35">
      <c r="B11" s="617" t="s">
        <v>613</v>
      </c>
      <c r="C11" s="227">
        <v>803000</v>
      </c>
    </row>
    <row r="12" spans="1:4" x14ac:dyDescent="0.35">
      <c r="B12" s="315" t="s">
        <v>901</v>
      </c>
      <c r="C12" s="194">
        <v>787900</v>
      </c>
    </row>
    <row r="13" spans="1:4" x14ac:dyDescent="0.35">
      <c r="B13" s="315" t="s">
        <v>86</v>
      </c>
      <c r="C13" s="194">
        <v>402400</v>
      </c>
    </row>
    <row r="14" spans="1:4" x14ac:dyDescent="0.35">
      <c r="B14" s="315" t="s">
        <v>905</v>
      </c>
      <c r="C14" s="194">
        <v>84300</v>
      </c>
    </row>
    <row r="15" spans="1:4" x14ac:dyDescent="0.35">
      <c r="B15" s="1016" t="s">
        <v>872</v>
      </c>
      <c r="C15" s="195">
        <f>SUM(C4:C14)</f>
        <v>5786420</v>
      </c>
    </row>
    <row r="16" spans="1:4" x14ac:dyDescent="0.35">
      <c r="B16" s="261"/>
    </row>
    <row r="17" spans="2:4" x14ac:dyDescent="0.35">
      <c r="B17" s="261"/>
    </row>
    <row r="18" spans="2:4" x14ac:dyDescent="0.35">
      <c r="B18" s="261"/>
    </row>
    <row r="19" spans="2:4" x14ac:dyDescent="0.35">
      <c r="B19" s="258" t="s">
        <v>267</v>
      </c>
      <c r="C19" s="194">
        <v>723200</v>
      </c>
    </row>
    <row r="20" spans="2:4" x14ac:dyDescent="0.35">
      <c r="B20" s="261"/>
    </row>
    <row r="23" spans="2:4" x14ac:dyDescent="0.35">
      <c r="B23" s="274" t="s">
        <v>7</v>
      </c>
      <c r="C23" s="1052" t="s">
        <v>272</v>
      </c>
      <c r="D23" s="1109" t="s">
        <v>200</v>
      </c>
    </row>
    <row r="24" spans="2:4" x14ac:dyDescent="0.35">
      <c r="B24" s="258" t="s">
        <v>10</v>
      </c>
      <c r="C24" s="194">
        <v>2852.06</v>
      </c>
      <c r="D24" s="598">
        <v>30000</v>
      </c>
    </row>
    <row r="25" spans="2:4" x14ac:dyDescent="0.35">
      <c r="B25" s="258" t="s">
        <v>16</v>
      </c>
      <c r="C25" s="194">
        <v>2554.6999999999998</v>
      </c>
      <c r="D25" s="598">
        <v>30000</v>
      </c>
    </row>
    <row r="26" spans="2:4" x14ac:dyDescent="0.35">
      <c r="B26" s="258" t="s">
        <v>0</v>
      </c>
      <c r="C26" s="194">
        <v>3945.6</v>
      </c>
      <c r="D26" s="598">
        <v>30000</v>
      </c>
    </row>
    <row r="27" spans="2:4" x14ac:dyDescent="0.35">
      <c r="B27" s="258" t="s">
        <v>267</v>
      </c>
      <c r="C27" s="194">
        <v>2754</v>
      </c>
      <c r="D27" s="598">
        <v>30000</v>
      </c>
    </row>
    <row r="28" spans="2:4" x14ac:dyDescent="0.35">
      <c r="B28" s="258" t="s">
        <v>245</v>
      </c>
      <c r="C28" s="194">
        <v>2383.75</v>
      </c>
      <c r="D28" s="598">
        <v>30000</v>
      </c>
    </row>
    <row r="29" spans="2:4" x14ac:dyDescent="0.35">
      <c r="B29" s="258" t="s">
        <v>463</v>
      </c>
      <c r="C29" s="194">
        <v>2718.75</v>
      </c>
      <c r="D29" s="598">
        <v>30000</v>
      </c>
    </row>
    <row r="30" spans="2:4" x14ac:dyDescent="0.35">
      <c r="B30" s="258" t="s">
        <v>553</v>
      </c>
      <c r="C30" s="194">
        <v>2383.75</v>
      </c>
      <c r="D30" s="598">
        <v>30000</v>
      </c>
    </row>
    <row r="31" spans="2:4" x14ac:dyDescent="0.35">
      <c r="B31" s="258" t="s">
        <v>260</v>
      </c>
      <c r="C31" s="194">
        <v>3204.3</v>
      </c>
      <c r="D31" s="598">
        <v>30000</v>
      </c>
    </row>
    <row r="32" spans="2:4" x14ac:dyDescent="0.35">
      <c r="B32" s="258" t="s">
        <v>613</v>
      </c>
      <c r="C32" s="194">
        <v>3204.3</v>
      </c>
      <c r="D32" s="598">
        <v>30000</v>
      </c>
    </row>
    <row r="33" spans="1:4" x14ac:dyDescent="0.35">
      <c r="B33" s="258" t="s">
        <v>871</v>
      </c>
      <c r="C33" s="194"/>
      <c r="D33" s="598"/>
    </row>
    <row r="34" spans="1:4" x14ac:dyDescent="0.35">
      <c r="B34" s="315" t="s">
        <v>86</v>
      </c>
      <c r="C34" s="194">
        <v>2175</v>
      </c>
      <c r="D34" s="598">
        <f>+D32</f>
        <v>30000</v>
      </c>
    </row>
    <row r="35" spans="1:4" x14ac:dyDescent="0.35">
      <c r="B35" s="315" t="s">
        <v>905</v>
      </c>
      <c r="C35" s="194">
        <v>2175</v>
      </c>
      <c r="D35" s="598">
        <v>30000</v>
      </c>
    </row>
    <row r="36" spans="1:4" x14ac:dyDescent="0.35">
      <c r="B36" s="1121"/>
      <c r="C36" s="204"/>
      <c r="D36" s="205"/>
    </row>
    <row r="38" spans="1:4" x14ac:dyDescent="0.35">
      <c r="A38" s="701" t="s">
        <v>106</v>
      </c>
      <c r="B38" s="702" t="s">
        <v>873</v>
      </c>
      <c r="C38" s="1013" t="s">
        <v>803</v>
      </c>
      <c r="D38" s="1092" t="s">
        <v>7</v>
      </c>
    </row>
    <row r="39" spans="1:4" x14ac:dyDescent="0.35">
      <c r="A39" s="703">
        <v>19</v>
      </c>
      <c r="B39" s="703">
        <v>9</v>
      </c>
      <c r="C39" s="964">
        <f>+A39*B39</f>
        <v>171</v>
      </c>
      <c r="D39" s="593" t="s">
        <v>874</v>
      </c>
    </row>
    <row r="40" spans="1:4" x14ac:dyDescent="0.35">
      <c r="A40" s="703">
        <v>3</v>
      </c>
      <c r="B40" s="703">
        <v>8</v>
      </c>
      <c r="C40" s="964">
        <f>+A40*B40</f>
        <v>24</v>
      </c>
      <c r="D40" s="593" t="s">
        <v>117</v>
      </c>
    </row>
    <row r="41" spans="1:4" x14ac:dyDescent="0.35">
      <c r="A41" s="703">
        <v>1</v>
      </c>
      <c r="B41" s="703">
        <v>8</v>
      </c>
      <c r="C41" s="964">
        <f>+A41*B41</f>
        <v>8</v>
      </c>
      <c r="D41" s="593" t="s">
        <v>111</v>
      </c>
    </row>
    <row r="42" spans="1:4" x14ac:dyDescent="0.35">
      <c r="A42" s="568"/>
      <c r="B42" s="773"/>
      <c r="C42" s="964">
        <f>+C39+C40+C41</f>
        <v>203</v>
      </c>
      <c r="D42" s="593" t="s">
        <v>906</v>
      </c>
    </row>
  </sheetData>
  <pageMargins left="0.7" right="0.7" top="0.75" bottom="0.75" header="0.3" footer="0.3"/>
  <pageSetup paperSize="9" scale="94" fitToHeight="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DD27-0AFD-4DD5-9C01-2F25BD367256}">
  <sheetPr>
    <pageSetUpPr fitToPage="1"/>
  </sheetPr>
  <dimension ref="A1:S198"/>
  <sheetViews>
    <sheetView topLeftCell="A118" zoomScaleNormal="100" workbookViewId="0">
      <selection activeCell="A2" sqref="A2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6328125" style="771" bestFit="1" customWidth="1"/>
    <col min="7" max="7" width="12.5429687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45597</v>
      </c>
    </row>
    <row r="3" spans="1:18" ht="25.5" customHeight="1" x14ac:dyDescent="0.35">
      <c r="A3" s="1466" t="s">
        <v>909</v>
      </c>
      <c r="B3" s="1431"/>
      <c r="C3" s="1431"/>
      <c r="D3" s="1431"/>
    </row>
    <row r="4" spans="1:18" s="1123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175</v>
      </c>
      <c r="C5" s="227">
        <f>2417*1.18*1.15</f>
        <v>3279.8689999999997</v>
      </c>
      <c r="D5" s="598">
        <f>+B5*C5</f>
        <v>573977.07499999995</v>
      </c>
      <c r="E5" s="564" t="s">
        <v>365</v>
      </c>
      <c r="Q5" s="1123"/>
    </row>
    <row r="6" spans="1:18" ht="18" customHeight="1" x14ac:dyDescent="0.35">
      <c r="A6" s="772" t="s">
        <v>860</v>
      </c>
      <c r="B6" s="258">
        <v>8</v>
      </c>
      <c r="C6" s="227">
        <f>+C5</f>
        <v>3279.8689999999997</v>
      </c>
      <c r="D6" s="598">
        <f>+B6*C6</f>
        <v>26238.951999999997</v>
      </c>
      <c r="E6" s="564"/>
      <c r="F6" s="176"/>
      <c r="Q6" s="774"/>
    </row>
    <row r="7" spans="1:18" ht="18" customHeight="1" x14ac:dyDescent="0.35">
      <c r="A7" s="772" t="s">
        <v>196</v>
      </c>
      <c r="B7" s="258"/>
      <c r="C7" s="227">
        <v>30000</v>
      </c>
      <c r="D7" s="598">
        <f>+C7</f>
        <v>30000</v>
      </c>
      <c r="E7" s="564"/>
      <c r="F7" s="176"/>
    </row>
    <row r="8" spans="1:18" ht="18" customHeight="1" x14ac:dyDescent="0.35">
      <c r="A8" s="772" t="s">
        <v>6</v>
      </c>
      <c r="B8" s="258"/>
      <c r="C8" s="227">
        <v>70000</v>
      </c>
      <c r="D8" s="598">
        <v>70000</v>
      </c>
      <c r="E8" s="564"/>
      <c r="F8" s="176"/>
    </row>
    <row r="9" spans="1:18" ht="18" customHeight="1" x14ac:dyDescent="0.35">
      <c r="A9" s="772" t="s">
        <v>467</v>
      </c>
      <c r="B9" s="258">
        <v>4.5</v>
      </c>
      <c r="C9" s="194">
        <f>+C5*1.5</f>
        <v>4919.8035</v>
      </c>
      <c r="D9" s="598">
        <f>+B9*C9</f>
        <v>22139.115750000001</v>
      </c>
      <c r="E9" s="564"/>
      <c r="F9" s="176"/>
    </row>
    <row r="10" spans="1:18" ht="18" customHeight="1" x14ac:dyDescent="0.35">
      <c r="A10" s="772" t="s">
        <v>281</v>
      </c>
      <c r="B10" s="258"/>
      <c r="C10" s="194">
        <f>+C5*2</f>
        <v>6559.7379999999994</v>
      </c>
      <c r="D10" s="598">
        <f>+B10*C10</f>
        <v>0</v>
      </c>
      <c r="E10" s="564"/>
      <c r="F10" s="176"/>
    </row>
    <row r="11" spans="1:18" ht="18" customHeight="1" x14ac:dyDescent="0.35">
      <c r="A11" s="772"/>
      <c r="B11" s="258"/>
      <c r="C11" s="194"/>
      <c r="D11" s="598"/>
      <c r="F11" s="176"/>
      <c r="R11" s="1123"/>
    </row>
    <row r="12" spans="1:18" ht="18" customHeight="1" x14ac:dyDescent="0.35">
      <c r="A12" s="1432" t="s">
        <v>389</v>
      </c>
      <c r="B12" s="1432"/>
      <c r="C12" s="1432"/>
      <c r="D12" s="599">
        <f>+D5+D6+D7+D8+D9+D10+D11</f>
        <v>722355.14275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123"/>
    </row>
    <row r="13" spans="1:18" ht="18" customHeight="1" x14ac:dyDescent="0.35">
      <c r="A13" s="1128" t="s">
        <v>864</v>
      </c>
      <c r="B13" s="1125"/>
      <c r="C13" s="1125"/>
      <c r="D13" s="599">
        <v>140000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123"/>
    </row>
    <row r="14" spans="1:18" ht="18" customHeight="1" x14ac:dyDescent="0.35">
      <c r="A14" s="723" t="s">
        <v>19</v>
      </c>
      <c r="B14" s="720"/>
      <c r="C14" s="720"/>
      <c r="D14" s="722"/>
      <c r="E14" s="553"/>
      <c r="F14" s="248"/>
      <c r="G14" s="248"/>
      <c r="H14" s="248"/>
      <c r="I14" s="248"/>
      <c r="J14" s="248"/>
      <c r="K14" s="248"/>
      <c r="L14" s="248"/>
      <c r="M14" s="248"/>
      <c r="O14" s="1123"/>
    </row>
    <row r="15" spans="1:18" ht="18" customHeight="1" x14ac:dyDescent="0.35">
      <c r="A15" s="800" t="s">
        <v>773</v>
      </c>
      <c r="B15" s="721"/>
      <c r="C15" s="905"/>
      <c r="D15" s="722">
        <v>-309988.89</v>
      </c>
      <c r="E15" s="553"/>
      <c r="F15" s="248"/>
      <c r="G15" s="248"/>
      <c r="H15" s="248"/>
      <c r="I15" s="248"/>
      <c r="J15" s="248"/>
      <c r="K15" s="248"/>
      <c r="L15" s="248"/>
      <c r="M15" s="248"/>
      <c r="O15" s="1123"/>
    </row>
    <row r="16" spans="1:18" ht="18" customHeight="1" x14ac:dyDescent="0.35">
      <c r="A16" s="1433" t="s">
        <v>11</v>
      </c>
      <c r="B16" s="1433"/>
      <c r="C16" s="1433"/>
      <c r="D16" s="603">
        <f>+D12+D13+D14+D15</f>
        <v>552366.25274999999</v>
      </c>
      <c r="F16" s="321"/>
      <c r="G16" s="321"/>
      <c r="H16" s="473"/>
      <c r="I16" s="321"/>
      <c r="J16" s="321"/>
      <c r="Q16" s="1123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123"/>
    </row>
    <row r="18" spans="1:19" s="908" customFormat="1" ht="18" customHeight="1" x14ac:dyDescent="0.35">
      <c r="A18" s="689"/>
      <c r="B18" s="689"/>
      <c r="C18" s="689"/>
      <c r="D18" s="688"/>
      <c r="E18" s="1044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925</v>
      </c>
      <c r="B19" s="1451"/>
      <c r="C19" s="1451"/>
      <c r="D19" s="1452"/>
      <c r="E19" s="1045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E20" s="564"/>
      <c r="J20" s="185"/>
      <c r="K20" s="181"/>
      <c r="L20" s="181"/>
      <c r="M20" s="184"/>
    </row>
    <row r="21" spans="1:19" ht="18" customHeight="1" x14ac:dyDescent="0.35">
      <c r="A21" s="607" t="s">
        <v>480</v>
      </c>
      <c r="B21" s="267">
        <v>175</v>
      </c>
      <c r="C21" s="211">
        <f>2165*1.18*1.1</f>
        <v>2810.17</v>
      </c>
      <c r="D21" s="211">
        <f>+B21*C21</f>
        <v>491779.75</v>
      </c>
      <c r="E21" s="564" t="s">
        <v>362</v>
      </c>
      <c r="J21" s="182"/>
    </row>
    <row r="22" spans="1:19" ht="18" customHeight="1" x14ac:dyDescent="0.35">
      <c r="A22" s="607" t="s">
        <v>403</v>
      </c>
      <c r="B22" s="267">
        <v>8</v>
      </c>
      <c r="C22" s="211">
        <f>+C21</f>
        <v>2810.17</v>
      </c>
      <c r="D22" s="211">
        <f>+B22*C22</f>
        <v>22481.360000000001</v>
      </c>
      <c r="E22" s="564"/>
      <c r="J22" s="182"/>
    </row>
    <row r="23" spans="1:19" ht="18" customHeight="1" x14ac:dyDescent="0.35">
      <c r="A23" s="772" t="s">
        <v>196</v>
      </c>
      <c r="B23" s="267"/>
      <c r="C23" s="211">
        <v>30000</v>
      </c>
      <c r="D23" s="211">
        <f>+C23</f>
        <v>30000</v>
      </c>
      <c r="E23" s="564"/>
      <c r="I23" s="1123"/>
    </row>
    <row r="24" spans="1:19" ht="18" customHeight="1" x14ac:dyDescent="0.35">
      <c r="A24" s="772" t="s">
        <v>6</v>
      </c>
      <c r="B24" s="267"/>
      <c r="C24" s="211">
        <v>50000</v>
      </c>
      <c r="D24" s="211">
        <f>+C24</f>
        <v>50000</v>
      </c>
      <c r="E24" s="564"/>
      <c r="I24" s="1123"/>
    </row>
    <row r="25" spans="1:19" ht="18" customHeight="1" x14ac:dyDescent="0.35">
      <c r="A25" s="772" t="s">
        <v>468</v>
      </c>
      <c r="B25" s="267">
        <v>6.15</v>
      </c>
      <c r="C25" s="211">
        <f>+C21*1.5</f>
        <v>4215.2550000000001</v>
      </c>
      <c r="D25" s="211">
        <f>B25*C25</f>
        <v>25923.818250000004</v>
      </c>
      <c r="E25" s="1043"/>
      <c r="F25" s="181"/>
      <c r="G25" s="187"/>
      <c r="H25" s="188"/>
      <c r="I25" s="1123"/>
      <c r="L25" s="1123"/>
    </row>
    <row r="26" spans="1:19" ht="18" customHeight="1" x14ac:dyDescent="0.35">
      <c r="A26" s="772" t="s">
        <v>281</v>
      </c>
      <c r="B26" s="267"/>
      <c r="C26" s="211">
        <f>+C21*2</f>
        <v>5620.34</v>
      </c>
      <c r="D26" s="211">
        <f>+B26*C26</f>
        <v>0</v>
      </c>
      <c r="E26" s="1043"/>
      <c r="F26" s="181"/>
      <c r="G26" s="187"/>
      <c r="H26" s="188"/>
      <c r="I26" s="1123"/>
      <c r="L26" s="1123"/>
    </row>
    <row r="27" spans="1:19" ht="18" customHeight="1" x14ac:dyDescent="0.35">
      <c r="A27" s="772"/>
      <c r="B27" s="267"/>
      <c r="C27" s="211"/>
      <c r="D27" s="211"/>
      <c r="E27" s="1043"/>
      <c r="F27" s="181"/>
      <c r="G27" s="187"/>
      <c r="H27" s="188"/>
      <c r="I27" s="1123"/>
      <c r="L27" s="1123"/>
    </row>
    <row r="28" spans="1:19" s="1123" customFormat="1" ht="18" customHeight="1" x14ac:dyDescent="0.35">
      <c r="A28" s="1463" t="s">
        <v>389</v>
      </c>
      <c r="B28" s="1464"/>
      <c r="C28" s="1465"/>
      <c r="D28" s="599">
        <f>+D21+D22+D23+D24+D25+D26</f>
        <v>620184.92825</v>
      </c>
      <c r="E28" s="553"/>
      <c r="F28" s="181"/>
      <c r="G28" s="181"/>
      <c r="H28" s="184"/>
      <c r="I28" s="771"/>
      <c r="K28" s="771"/>
      <c r="L28" s="771"/>
    </row>
    <row r="29" spans="1:19" s="1124" customFormat="1" ht="18" customHeight="1" x14ac:dyDescent="0.35">
      <c r="A29" s="129" t="s">
        <v>818</v>
      </c>
      <c r="B29" s="749"/>
      <c r="C29" s="1072" t="s">
        <v>63</v>
      </c>
      <c r="D29" s="749">
        <v>180000</v>
      </c>
      <c r="E29" s="553"/>
      <c r="F29" s="184"/>
      <c r="G29" s="184"/>
      <c r="H29" s="184"/>
      <c r="I29" s="90"/>
      <c r="K29" s="90"/>
      <c r="L29" s="90"/>
    </row>
    <row r="30" spans="1:19" s="1123" customFormat="1" ht="18" customHeight="1" x14ac:dyDescent="0.35">
      <c r="A30" s="825" t="s">
        <v>374</v>
      </c>
      <c r="B30" s="824" t="s">
        <v>63</v>
      </c>
      <c r="C30" s="823"/>
      <c r="D30" s="930">
        <v>-250000</v>
      </c>
      <c r="E30" s="1042"/>
      <c r="F30" s="181"/>
      <c r="G30" s="181"/>
      <c r="H30" s="184"/>
      <c r="I30" s="771"/>
      <c r="K30" s="771"/>
      <c r="L30" s="771"/>
    </row>
    <row r="31" spans="1:19" s="1123" customFormat="1" ht="18" customHeight="1" x14ac:dyDescent="0.35">
      <c r="A31" s="825"/>
      <c r="B31" s="824"/>
      <c r="C31" s="823"/>
      <c r="D31" s="930"/>
      <c r="E31" s="1042"/>
      <c r="F31" s="181"/>
      <c r="G31" s="181"/>
      <c r="H31" s="184"/>
      <c r="I31" s="771"/>
      <c r="K31" s="771"/>
      <c r="L31" s="771"/>
    </row>
    <row r="32" spans="1:19" ht="18" customHeight="1" x14ac:dyDescent="0.35">
      <c r="A32" s="786" t="s">
        <v>11</v>
      </c>
      <c r="B32" s="783"/>
      <c r="C32" s="783"/>
      <c r="D32" s="784">
        <f>+D28+D29+D30+D31</f>
        <v>550184.92825</v>
      </c>
      <c r="E32" s="553"/>
      <c r="F32" s="181"/>
      <c r="G32" s="181"/>
      <c r="H32" s="184"/>
    </row>
    <row r="33" spans="1:19" ht="18" customHeight="1" x14ac:dyDescent="0.35">
      <c r="A33" s="1047"/>
      <c r="B33" s="594"/>
      <c r="C33" s="594"/>
      <c r="D33" s="595"/>
      <c r="F33" s="181"/>
      <c r="G33" s="181"/>
      <c r="H33" s="184"/>
    </row>
    <row r="34" spans="1:19" ht="18" customHeight="1" x14ac:dyDescent="0.35">
      <c r="A34" s="594"/>
      <c r="B34" s="594"/>
      <c r="C34" s="594"/>
      <c r="D34" s="595"/>
      <c r="F34" s="181"/>
      <c r="G34" s="181"/>
      <c r="H34" s="184"/>
    </row>
    <row r="35" spans="1:19" ht="18" customHeight="1" x14ac:dyDescent="0.35">
      <c r="A35" s="1442" t="s">
        <v>912</v>
      </c>
      <c r="B35" s="1443"/>
      <c r="C35" s="1443"/>
      <c r="D35" s="1444"/>
      <c r="F35" s="181"/>
      <c r="G35" s="181"/>
      <c r="H35" s="184"/>
    </row>
    <row r="36" spans="1:19" ht="18" customHeight="1" x14ac:dyDescent="0.35">
      <c r="A36" s="2"/>
      <c r="B36" s="270" t="s">
        <v>8</v>
      </c>
      <c r="C36" s="217" t="s">
        <v>4</v>
      </c>
      <c r="D36" s="597" t="s">
        <v>9</v>
      </c>
      <c r="F36" s="181"/>
      <c r="G36" s="181"/>
      <c r="H36" s="184"/>
    </row>
    <row r="37" spans="1:19" ht="18" customHeight="1" x14ac:dyDescent="0.35">
      <c r="A37" s="772" t="s">
        <v>253</v>
      </c>
      <c r="B37" s="258">
        <v>175</v>
      </c>
      <c r="C37" s="194">
        <f>3288*1.2</f>
        <v>3945.6</v>
      </c>
      <c r="D37" s="598">
        <f>+B37*C37</f>
        <v>690480</v>
      </c>
      <c r="E37" s="564"/>
      <c r="F37" s="181"/>
      <c r="G37" s="181"/>
      <c r="H37" s="184"/>
    </row>
    <row r="38" spans="1:19" ht="18" customHeight="1" x14ac:dyDescent="0.35">
      <c r="A38" s="772" t="s">
        <v>403</v>
      </c>
      <c r="B38" s="258">
        <v>8</v>
      </c>
      <c r="C38" s="194">
        <f>+C37</f>
        <v>3945.6</v>
      </c>
      <c r="D38" s="598">
        <f>+B38*C38</f>
        <v>31564.799999999999</v>
      </c>
      <c r="E38" s="564"/>
      <c r="F38" s="181"/>
      <c r="G38" s="181"/>
      <c r="H38" s="184"/>
    </row>
    <row r="39" spans="1:19" ht="15" customHeight="1" x14ac:dyDescent="0.35">
      <c r="A39" s="772" t="s">
        <v>196</v>
      </c>
      <c r="B39" s="258"/>
      <c r="C39" s="194">
        <v>30000</v>
      </c>
      <c r="D39" s="598">
        <f>+C39</f>
        <v>30000</v>
      </c>
      <c r="E39" s="564"/>
      <c r="F39" s="181"/>
      <c r="G39" s="181"/>
      <c r="H39" s="184"/>
      <c r="I39" s="1123"/>
    </row>
    <row r="40" spans="1:19" ht="15" customHeight="1" x14ac:dyDescent="0.35">
      <c r="A40" s="772" t="s">
        <v>6</v>
      </c>
      <c r="B40" s="258"/>
      <c r="C40" s="194">
        <v>70000</v>
      </c>
      <c r="D40" s="598">
        <f>+C40</f>
        <v>70000</v>
      </c>
      <c r="E40" s="564"/>
      <c r="F40" s="181"/>
      <c r="G40" s="181"/>
      <c r="H40" s="184"/>
      <c r="I40" s="1123"/>
    </row>
    <row r="41" spans="1:19" ht="15" customHeight="1" x14ac:dyDescent="0.35">
      <c r="A41" s="772" t="s">
        <v>195</v>
      </c>
      <c r="B41" s="315">
        <v>14.5</v>
      </c>
      <c r="C41" s="194">
        <f>+C37*1.5</f>
        <v>5918.4</v>
      </c>
      <c r="D41" s="598">
        <f>+B41*C41</f>
        <v>85816.799999999988</v>
      </c>
      <c r="F41" s="181"/>
      <c r="G41" s="181"/>
      <c r="H41" s="184"/>
      <c r="I41" s="1123"/>
    </row>
    <row r="42" spans="1:19" ht="15" customHeight="1" x14ac:dyDescent="0.35">
      <c r="A42" s="772" t="s">
        <v>449</v>
      </c>
      <c r="B42" s="315">
        <v>1</v>
      </c>
      <c r="C42" s="194">
        <f>+C37*2</f>
        <v>7891.2</v>
      </c>
      <c r="D42" s="598">
        <f>+B42*C42</f>
        <v>7891.2</v>
      </c>
      <c r="E42" s="553"/>
      <c r="F42" s="181"/>
      <c r="G42" s="181"/>
      <c r="H42" s="184"/>
      <c r="I42" s="1123"/>
    </row>
    <row r="43" spans="1:19" ht="15" customHeight="1" x14ac:dyDescent="0.35">
      <c r="A43" s="772"/>
      <c r="B43" s="315"/>
      <c r="C43" s="194"/>
      <c r="D43" s="598"/>
      <c r="E43" s="553"/>
      <c r="F43" s="181"/>
      <c r="G43" s="181"/>
      <c r="H43" s="184"/>
      <c r="I43" s="1123"/>
    </row>
    <row r="44" spans="1:19" ht="15" customHeight="1" x14ac:dyDescent="0.35">
      <c r="A44" s="1463" t="s">
        <v>389</v>
      </c>
      <c r="B44" s="1464"/>
      <c r="C44" s="1465"/>
      <c r="D44" s="599">
        <f>+D37+D38+D39+D40+D41+D42+D43</f>
        <v>915752.8</v>
      </c>
      <c r="E44" s="553"/>
      <c r="J44" s="176"/>
      <c r="K44" s="176"/>
      <c r="L44" s="176"/>
      <c r="M44" s="181"/>
      <c r="N44" s="181"/>
      <c r="O44" s="184"/>
      <c r="Q44" s="1123"/>
    </row>
    <row r="45" spans="1:19" ht="15" customHeight="1" x14ac:dyDescent="0.35">
      <c r="A45" s="1129" t="s">
        <v>840</v>
      </c>
      <c r="B45" s="1126"/>
      <c r="C45" s="1127"/>
      <c r="D45" s="599">
        <v>160000</v>
      </c>
      <c r="E45" s="553"/>
      <c r="J45" s="176"/>
      <c r="K45" s="176"/>
      <c r="L45" s="176"/>
      <c r="M45" s="181"/>
      <c r="N45" s="181"/>
      <c r="O45" s="184"/>
      <c r="Q45" s="1123"/>
    </row>
    <row r="46" spans="1:19" s="1123" customFormat="1" ht="15" customHeight="1" x14ac:dyDescent="0.35">
      <c r="A46" s="723" t="s">
        <v>630</v>
      </c>
      <c r="B46" s="727" t="s">
        <v>63</v>
      </c>
      <c r="C46" s="727" t="s">
        <v>63</v>
      </c>
      <c r="D46" s="722">
        <v>-315784.94</v>
      </c>
      <c r="E46" s="1043"/>
      <c r="F46" s="771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123" customFormat="1" ht="15" customHeight="1" x14ac:dyDescent="0.35">
      <c r="A47" s="1103" t="s">
        <v>11</v>
      </c>
      <c r="B47" s="1104"/>
      <c r="C47" s="197"/>
      <c r="D47" s="675">
        <f>+D44+D45+D46</f>
        <v>759967.8600000001</v>
      </c>
      <c r="E47" s="1025"/>
      <c r="F47" s="771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ht="15" customHeight="1" x14ac:dyDescent="0.35">
      <c r="A48" s="90"/>
      <c r="B48" s="771"/>
      <c r="C48" s="771"/>
      <c r="D48" s="771"/>
      <c r="K48" s="183"/>
      <c r="L48" s="183"/>
      <c r="M48" s="176"/>
      <c r="N48" s="176"/>
      <c r="O48" s="176"/>
      <c r="Q48" s="1123"/>
    </row>
    <row r="49" spans="1:19" ht="15" customHeight="1" x14ac:dyDescent="0.35">
      <c r="B49" s="771"/>
      <c r="C49" s="771"/>
      <c r="D49" s="774" t="s">
        <v>63</v>
      </c>
    </row>
    <row r="50" spans="1:19" ht="15" customHeight="1" x14ac:dyDescent="0.35">
      <c r="A50" s="1442" t="s">
        <v>911</v>
      </c>
      <c r="B50" s="1443"/>
      <c r="C50" s="1443"/>
      <c r="D50" s="1444"/>
      <c r="S50" s="1123"/>
    </row>
    <row r="51" spans="1:19" x14ac:dyDescent="0.35">
      <c r="A51" s="2" t="s">
        <v>7</v>
      </c>
      <c r="B51" s="270" t="s">
        <v>8</v>
      </c>
      <c r="C51" s="217" t="s">
        <v>4</v>
      </c>
      <c r="D51" s="597" t="s">
        <v>9</v>
      </c>
    </row>
    <row r="52" spans="1:19" x14ac:dyDescent="0.35">
      <c r="A52" s="772" t="s">
        <v>501</v>
      </c>
      <c r="B52" s="258">
        <v>175</v>
      </c>
      <c r="C52" s="227">
        <f>2295*1.2</f>
        <v>2754</v>
      </c>
      <c r="D52" s="598">
        <f>+B52*C52</f>
        <v>481950</v>
      </c>
      <c r="E52" s="564"/>
    </row>
    <row r="53" spans="1:19" x14ac:dyDescent="0.35">
      <c r="A53" s="772" t="s">
        <v>861</v>
      </c>
      <c r="B53" s="258">
        <v>8</v>
      </c>
      <c r="C53" s="227">
        <f>+C52</f>
        <v>2754</v>
      </c>
      <c r="D53" s="598">
        <f>+B53*C53</f>
        <v>22032</v>
      </c>
      <c r="E53" s="564"/>
    </row>
    <row r="54" spans="1:19" x14ac:dyDescent="0.35">
      <c r="A54" s="772" t="s">
        <v>490</v>
      </c>
      <c r="B54" s="258"/>
      <c r="C54" s="227">
        <v>30000</v>
      </c>
      <c r="D54" s="598">
        <f>+C54</f>
        <v>30000</v>
      </c>
      <c r="E54" s="564"/>
    </row>
    <row r="55" spans="1:19" x14ac:dyDescent="0.35">
      <c r="A55" s="772" t="s">
        <v>489</v>
      </c>
      <c r="B55" s="258"/>
      <c r="C55" s="227">
        <v>70000</v>
      </c>
      <c r="D55" s="598">
        <f>+C55</f>
        <v>70000</v>
      </c>
      <c r="E55" s="564"/>
    </row>
    <row r="56" spans="1:19" x14ac:dyDescent="0.35">
      <c r="A56" s="772" t="s">
        <v>195</v>
      </c>
      <c r="B56" s="258">
        <v>1.1499999999999999</v>
      </c>
      <c r="C56" s="194">
        <f>+C52*1.5</f>
        <v>4131</v>
      </c>
      <c r="D56" s="598">
        <f>+B56*C56</f>
        <v>4750.6499999999996</v>
      </c>
      <c r="E56" s="564"/>
    </row>
    <row r="57" spans="1:19" x14ac:dyDescent="0.35">
      <c r="A57" s="772" t="s">
        <v>449</v>
      </c>
      <c r="B57" s="258"/>
      <c r="C57" s="194">
        <f>+C52*2</f>
        <v>5508</v>
      </c>
      <c r="D57" s="598">
        <f>+B57*C57</f>
        <v>0</v>
      </c>
    </row>
    <row r="58" spans="1:19" x14ac:dyDescent="0.35">
      <c r="A58" s="889"/>
      <c r="B58" s="890"/>
      <c r="C58" s="977"/>
      <c r="D58" s="598"/>
    </row>
    <row r="59" spans="1:19" x14ac:dyDescent="0.35">
      <c r="A59" s="1439" t="s">
        <v>99</v>
      </c>
      <c r="B59" s="1440"/>
      <c r="C59" s="1441"/>
      <c r="D59" s="599">
        <f>+D52+D53+D54+D55+D56+D57+D58</f>
        <v>608732.65</v>
      </c>
      <c r="E59" s="553"/>
    </row>
    <row r="60" spans="1:19" x14ac:dyDescent="0.35">
      <c r="A60" s="891" t="s">
        <v>182</v>
      </c>
      <c r="B60" s="720"/>
      <c r="C60" s="720"/>
      <c r="D60" s="887">
        <v>130000</v>
      </c>
      <c r="E60" s="553"/>
    </row>
    <row r="61" spans="1:19" x14ac:dyDescent="0.35">
      <c r="A61" s="921"/>
      <c r="B61" s="922"/>
      <c r="C61" s="720"/>
      <c r="D61" s="722"/>
      <c r="E61" s="553"/>
    </row>
    <row r="62" spans="1:19" x14ac:dyDescent="0.35">
      <c r="A62" s="672"/>
      <c r="B62" s="673" t="s">
        <v>11</v>
      </c>
      <c r="C62" s="674"/>
      <c r="D62" s="675">
        <f>+D59+D60+D61</f>
        <v>738732.65</v>
      </c>
      <c r="E62" s="553"/>
    </row>
    <row r="63" spans="1:19" x14ac:dyDescent="0.35">
      <c r="B63" s="771"/>
      <c r="C63" s="771"/>
      <c r="D63" s="771"/>
    </row>
    <row r="65" spans="1:6" ht="14.5" customHeight="1" x14ac:dyDescent="0.35">
      <c r="A65" s="1442" t="s">
        <v>910</v>
      </c>
      <c r="B65" s="1443"/>
      <c r="C65" s="1443"/>
      <c r="D65" s="1444"/>
    </row>
    <row r="66" spans="1:6" ht="14.5" customHeight="1" x14ac:dyDescent="0.35">
      <c r="A66" s="2" t="s">
        <v>7</v>
      </c>
      <c r="B66" s="270" t="s">
        <v>8</v>
      </c>
      <c r="C66" s="217" t="s">
        <v>4</v>
      </c>
      <c r="D66" s="597" t="s">
        <v>63</v>
      </c>
    </row>
    <row r="67" spans="1:6" ht="14.5" customHeight="1" x14ac:dyDescent="0.35">
      <c r="A67" s="772" t="s">
        <v>3</v>
      </c>
      <c r="B67" s="258">
        <v>163</v>
      </c>
      <c r="C67" s="227">
        <f>1907*1.25*1.1</f>
        <v>2622.125</v>
      </c>
      <c r="D67" s="598">
        <f>+B67*C67</f>
        <v>427406.375</v>
      </c>
      <c r="E67" s="564" t="s">
        <v>362</v>
      </c>
    </row>
    <row r="68" spans="1:6" ht="14.5" customHeight="1" x14ac:dyDescent="0.35">
      <c r="A68" s="772" t="s">
        <v>394</v>
      </c>
      <c r="B68" s="258">
        <v>8</v>
      </c>
      <c r="C68" s="227">
        <f>+C67</f>
        <v>2622.125</v>
      </c>
      <c r="D68" s="598">
        <f>+B68*C68</f>
        <v>20977</v>
      </c>
      <c r="E68" s="564"/>
    </row>
    <row r="69" spans="1:6" ht="14.5" customHeight="1" x14ac:dyDescent="0.35">
      <c r="A69" s="772" t="s">
        <v>926</v>
      </c>
      <c r="B69" s="258">
        <v>12</v>
      </c>
      <c r="C69" s="227">
        <f>+C67</f>
        <v>2622.125</v>
      </c>
      <c r="D69" s="598">
        <f>+B69*C69</f>
        <v>31465.5</v>
      </c>
      <c r="E69" s="564"/>
    </row>
    <row r="70" spans="1:6" x14ac:dyDescent="0.35">
      <c r="A70" s="772" t="s">
        <v>266</v>
      </c>
      <c r="B70" s="258"/>
      <c r="C70" s="227">
        <v>30000</v>
      </c>
      <c r="D70" s="598">
        <v>15000</v>
      </c>
      <c r="E70" s="564"/>
    </row>
    <row r="71" spans="1:6" x14ac:dyDescent="0.35">
      <c r="A71" s="772" t="s">
        <v>6</v>
      </c>
      <c r="B71" s="258"/>
      <c r="C71" s="227">
        <v>35000</v>
      </c>
      <c r="D71" s="598">
        <v>50000</v>
      </c>
      <c r="E71" s="564" t="s">
        <v>366</v>
      </c>
    </row>
    <row r="72" spans="1:6" s="1069" customFormat="1" x14ac:dyDescent="0.35">
      <c r="A72" s="614" t="s">
        <v>270</v>
      </c>
      <c r="B72" s="617">
        <v>9.5</v>
      </c>
      <c r="C72" s="227">
        <f>+C67*1.5</f>
        <v>3933.1875</v>
      </c>
      <c r="D72" s="598">
        <f>+B72*C72</f>
        <v>37365.28125</v>
      </c>
      <c r="E72" s="564"/>
    </row>
    <row r="73" spans="1:6" x14ac:dyDescent="0.35">
      <c r="A73" s="772" t="s">
        <v>281</v>
      </c>
      <c r="B73" s="258"/>
      <c r="C73" s="227">
        <f>+C67*2</f>
        <v>5244.25</v>
      </c>
      <c r="D73" s="598">
        <f>+B73*C73</f>
        <v>0</v>
      </c>
    </row>
    <row r="74" spans="1:6" x14ac:dyDescent="0.35">
      <c r="A74" s="889"/>
      <c r="B74" s="890"/>
      <c r="C74" s="814"/>
      <c r="D74" s="598"/>
    </row>
    <row r="75" spans="1:6" x14ac:dyDescent="0.35">
      <c r="A75" s="1463" t="s">
        <v>389</v>
      </c>
      <c r="B75" s="1464"/>
      <c r="C75" s="1465"/>
      <c r="D75" s="599">
        <f>+D67+D68+D69+D70+D71+D72+D73+D74</f>
        <v>582214.15625</v>
      </c>
      <c r="E75" s="553"/>
      <c r="F75" s="774"/>
    </row>
    <row r="76" spans="1:6" x14ac:dyDescent="0.35">
      <c r="A76" s="1129" t="s">
        <v>864</v>
      </c>
      <c r="B76" s="1126"/>
      <c r="C76" s="1127"/>
      <c r="D76" s="599">
        <v>110000</v>
      </c>
      <c r="E76" s="553"/>
      <c r="F76" s="774"/>
    </row>
    <row r="77" spans="1:6" x14ac:dyDescent="0.35">
      <c r="A77" s="723" t="s">
        <v>50</v>
      </c>
      <c r="B77" s="721"/>
      <c r="C77" s="721"/>
      <c r="D77" s="722">
        <v>-150000</v>
      </c>
      <c r="E77" s="553"/>
    </row>
    <row r="78" spans="1:6" x14ac:dyDescent="0.35">
      <c r="A78" s="723"/>
      <c r="B78" s="721"/>
      <c r="C78" s="721"/>
      <c r="D78" s="722"/>
    </row>
    <row r="79" spans="1:6" ht="15.5" x14ac:dyDescent="0.35">
      <c r="A79" s="1460" t="s">
        <v>11</v>
      </c>
      <c r="B79" s="1461"/>
      <c r="C79" s="1462"/>
      <c r="D79" s="603">
        <f>+D75+D76+D77+D78</f>
        <v>542214.15625</v>
      </c>
      <c r="E79" s="553"/>
    </row>
    <row r="80" spans="1:6" s="90" customFormat="1" x14ac:dyDescent="0.35">
      <c r="A80" s="1035"/>
      <c r="B80" s="1042"/>
      <c r="C80" s="553"/>
      <c r="D80" s="1051"/>
      <c r="E80" s="1042"/>
    </row>
    <row r="82" spans="1:5" ht="23.5" x14ac:dyDescent="0.35">
      <c r="A82" s="1442" t="s">
        <v>913</v>
      </c>
      <c r="B82" s="1443"/>
      <c r="C82" s="1443"/>
      <c r="D82" s="1444"/>
    </row>
    <row r="83" spans="1:5" x14ac:dyDescent="0.35">
      <c r="A83" s="2" t="s">
        <v>7</v>
      </c>
      <c r="B83" s="270" t="s">
        <v>388</v>
      </c>
      <c r="C83" s="217" t="s">
        <v>272</v>
      </c>
      <c r="D83" s="597" t="s">
        <v>9</v>
      </c>
    </row>
    <row r="84" spans="1:5" x14ac:dyDescent="0.35">
      <c r="A84" s="772" t="s">
        <v>3</v>
      </c>
      <c r="B84" s="258">
        <v>166</v>
      </c>
      <c r="C84" s="227">
        <f>2175*1.25</f>
        <v>2718.75</v>
      </c>
      <c r="D84" s="598">
        <f>+B84*C84</f>
        <v>451312.5</v>
      </c>
      <c r="E84" s="1048"/>
    </row>
    <row r="85" spans="1:5" x14ac:dyDescent="0.35">
      <c r="A85" s="772" t="s">
        <v>403</v>
      </c>
      <c r="B85" s="258">
        <v>8</v>
      </c>
      <c r="C85" s="227">
        <f>+C84</f>
        <v>2718.75</v>
      </c>
      <c r="D85" s="598">
        <f>+B85*C85</f>
        <v>21750</v>
      </c>
      <c r="E85" s="564"/>
    </row>
    <row r="86" spans="1:5" x14ac:dyDescent="0.35">
      <c r="A86" s="772" t="s">
        <v>927</v>
      </c>
      <c r="B86" s="258"/>
      <c r="C86" s="227"/>
      <c r="D86" s="598"/>
      <c r="E86" s="564"/>
    </row>
    <row r="87" spans="1:5" x14ac:dyDescent="0.35">
      <c r="A87" s="772" t="s">
        <v>6</v>
      </c>
      <c r="B87" s="258"/>
      <c r="C87" s="227">
        <v>80000</v>
      </c>
      <c r="D87" s="598">
        <f>+C87</f>
        <v>80000</v>
      </c>
      <c r="E87" s="564" t="s">
        <v>710</v>
      </c>
    </row>
    <row r="88" spans="1:5" x14ac:dyDescent="0.35">
      <c r="A88" s="772" t="s">
        <v>200</v>
      </c>
      <c r="B88" s="258"/>
      <c r="C88" s="227">
        <v>30000</v>
      </c>
      <c r="D88" s="598">
        <v>30000</v>
      </c>
      <c r="E88" s="564"/>
    </row>
    <row r="89" spans="1:5" x14ac:dyDescent="0.35">
      <c r="A89" s="772" t="s">
        <v>475</v>
      </c>
      <c r="B89" s="258">
        <v>8</v>
      </c>
      <c r="C89" s="227">
        <f>+C84*1.5</f>
        <v>4078.125</v>
      </c>
      <c r="D89" s="811">
        <f>+B89*C89</f>
        <v>32625</v>
      </c>
      <c r="E89" s="564"/>
    </row>
    <row r="90" spans="1:5" x14ac:dyDescent="0.35">
      <c r="A90" s="772" t="s">
        <v>757</v>
      </c>
      <c r="B90" s="258">
        <v>1</v>
      </c>
      <c r="C90" s="227">
        <f>+C84*2</f>
        <v>5437.5</v>
      </c>
      <c r="D90" s="598">
        <f>+B90*C90</f>
        <v>5437.5</v>
      </c>
    </row>
    <row r="91" spans="1:5" x14ac:dyDescent="0.35">
      <c r="A91" s="772" t="s">
        <v>929</v>
      </c>
      <c r="B91" s="258"/>
      <c r="C91" s="227"/>
      <c r="D91" s="598"/>
    </row>
    <row r="92" spans="1:5" x14ac:dyDescent="0.35">
      <c r="A92" s="1036" t="s">
        <v>389</v>
      </c>
      <c r="B92" s="681"/>
      <c r="C92" s="1037"/>
      <c r="D92" s="1038">
        <f>+D84+D85+D86+D87+D88+D89+D90+D91</f>
        <v>621125</v>
      </c>
      <c r="E92" s="553"/>
    </row>
    <row r="93" spans="1:5" x14ac:dyDescent="0.35">
      <c r="A93" s="1036" t="s">
        <v>818</v>
      </c>
      <c r="B93" s="681"/>
      <c r="C93" s="1037"/>
      <c r="D93" s="1038">
        <v>60000</v>
      </c>
    </row>
    <row r="94" spans="1:5" x14ac:dyDescent="0.35">
      <c r="A94" s="772" t="s">
        <v>19</v>
      </c>
      <c r="B94" s="258"/>
      <c r="C94" s="227"/>
      <c r="D94" s="731">
        <v>-60000</v>
      </c>
    </row>
    <row r="95" spans="1:5" x14ac:dyDescent="0.35">
      <c r="A95" s="889" t="s">
        <v>928</v>
      </c>
      <c r="B95" s="890"/>
      <c r="C95" s="814"/>
      <c r="D95" s="731">
        <v>-160000</v>
      </c>
    </row>
    <row r="96" spans="1:5" ht="15.5" x14ac:dyDescent="0.35">
      <c r="A96" s="1460" t="s">
        <v>11</v>
      </c>
      <c r="B96" s="1461"/>
      <c r="C96" s="1462"/>
      <c r="D96" s="603">
        <f>+D92+D93+D94+D95</f>
        <v>461125</v>
      </c>
      <c r="E96" s="553"/>
    </row>
    <row r="97" spans="1:5" s="90" customFormat="1" x14ac:dyDescent="0.35">
      <c r="B97" s="1042"/>
      <c r="C97" s="553"/>
      <c r="D97" s="1051" t="s">
        <v>63</v>
      </c>
      <c r="E97" s="1042"/>
    </row>
    <row r="99" spans="1:5" ht="23.5" x14ac:dyDescent="0.35">
      <c r="A99" s="1431" t="s">
        <v>914</v>
      </c>
      <c r="B99" s="1431"/>
      <c r="C99" s="1431"/>
      <c r="D99" s="1431"/>
    </row>
    <row r="100" spans="1:5" x14ac:dyDescent="0.35">
      <c r="A100" s="2" t="s">
        <v>7</v>
      </c>
      <c r="B100" s="270" t="s">
        <v>8</v>
      </c>
      <c r="C100" s="217" t="s">
        <v>4</v>
      </c>
      <c r="D100" s="597" t="s">
        <v>9</v>
      </c>
    </row>
    <row r="101" spans="1:5" x14ac:dyDescent="0.35">
      <c r="A101" s="772" t="s">
        <v>3</v>
      </c>
      <c r="B101" s="258">
        <v>175</v>
      </c>
      <c r="C101" s="227">
        <f>1907*1.25*1.1</f>
        <v>2622.125</v>
      </c>
      <c r="D101" s="598">
        <f>+B101*C101</f>
        <v>458871.875</v>
      </c>
      <c r="E101" s="564" t="s">
        <v>362</v>
      </c>
    </row>
    <row r="102" spans="1:5" x14ac:dyDescent="0.35">
      <c r="A102" s="772" t="s">
        <v>403</v>
      </c>
      <c r="B102" s="258">
        <v>8</v>
      </c>
      <c r="C102" s="227">
        <f>+C101</f>
        <v>2622.125</v>
      </c>
      <c r="D102" s="598">
        <f>+B102*C102</f>
        <v>20977</v>
      </c>
      <c r="E102" s="564"/>
    </row>
    <row r="103" spans="1:5" x14ac:dyDescent="0.35">
      <c r="A103" s="772" t="s">
        <v>200</v>
      </c>
      <c r="B103" s="258"/>
      <c r="C103" s="227">
        <v>30000</v>
      </c>
      <c r="D103" s="598">
        <f>+C103</f>
        <v>30000</v>
      </c>
      <c r="E103" s="564"/>
    </row>
    <row r="104" spans="1:5" x14ac:dyDescent="0.35">
      <c r="A104" s="772" t="s">
        <v>6</v>
      </c>
      <c r="B104" s="258"/>
      <c r="C104" s="194">
        <v>50000</v>
      </c>
      <c r="D104" s="598">
        <f>+C104</f>
        <v>50000</v>
      </c>
      <c r="E104" s="564" t="s">
        <v>933</v>
      </c>
    </row>
    <row r="105" spans="1:5" x14ac:dyDescent="0.35">
      <c r="A105" s="772" t="s">
        <v>270</v>
      </c>
      <c r="B105" s="258">
        <v>11.5</v>
      </c>
      <c r="C105" s="194">
        <f>+C101*1.5</f>
        <v>3933.1875</v>
      </c>
      <c r="D105" s="598">
        <f>+B105*C105</f>
        <v>45231.65625</v>
      </c>
      <c r="E105" s="564"/>
    </row>
    <row r="106" spans="1:5" x14ac:dyDescent="0.35">
      <c r="A106" s="772" t="s">
        <v>281</v>
      </c>
      <c r="B106" s="258">
        <v>1</v>
      </c>
      <c r="C106" s="194">
        <f>+C101*2</f>
        <v>5244.25</v>
      </c>
      <c r="D106" s="598">
        <f>+B106*C106</f>
        <v>5244.25</v>
      </c>
    </row>
    <row r="107" spans="1:5" x14ac:dyDescent="0.35">
      <c r="A107" s="772"/>
      <c r="B107" s="258"/>
      <c r="C107" s="194"/>
      <c r="D107" s="598"/>
    </row>
    <row r="108" spans="1:5" x14ac:dyDescent="0.35">
      <c r="A108" s="1463" t="s">
        <v>389</v>
      </c>
      <c r="B108" s="1464"/>
      <c r="C108" s="1465"/>
      <c r="D108" s="599">
        <f>+D101+D102+D103+D104+D105+D106+D107</f>
        <v>610324.78125</v>
      </c>
      <c r="E108" s="553"/>
    </row>
    <row r="109" spans="1:5" x14ac:dyDescent="0.35">
      <c r="A109" s="1129" t="s">
        <v>818</v>
      </c>
      <c r="B109" s="1126"/>
      <c r="C109" s="1127"/>
      <c r="D109" s="599">
        <v>110000</v>
      </c>
      <c r="E109" s="553"/>
    </row>
    <row r="110" spans="1:5" x14ac:dyDescent="0.35">
      <c r="A110" s="724" t="s">
        <v>19</v>
      </c>
      <c r="B110" s="729" t="s">
        <v>63</v>
      </c>
      <c r="C110" s="730" t="s">
        <v>63</v>
      </c>
      <c r="D110" s="731">
        <v>-100000</v>
      </c>
      <c r="E110" s="553"/>
    </row>
    <row r="111" spans="1:5" x14ac:dyDescent="0.35">
      <c r="A111" s="724"/>
      <c r="B111" s="729"/>
      <c r="C111" s="730"/>
      <c r="D111" s="731"/>
      <c r="E111" s="553"/>
    </row>
    <row r="112" spans="1:5" s="997" customFormat="1" ht="15.5" x14ac:dyDescent="0.35">
      <c r="A112" s="992"/>
      <c r="B112" s="1105" t="s">
        <v>11</v>
      </c>
      <c r="C112" s="994"/>
      <c r="D112" s="995">
        <f>+D108+D109+D110+D111</f>
        <v>620324.78125</v>
      </c>
      <c r="E112" s="1046"/>
    </row>
    <row r="113" spans="1:5" s="90" customFormat="1" x14ac:dyDescent="0.35">
      <c r="B113" s="1042"/>
      <c r="C113" s="553"/>
      <c r="D113" s="1051"/>
      <c r="E113" s="1042"/>
    </row>
    <row r="115" spans="1:5" ht="23.5" x14ac:dyDescent="0.35">
      <c r="A115" s="1442" t="s">
        <v>915</v>
      </c>
      <c r="B115" s="1443"/>
      <c r="C115" s="1443"/>
      <c r="D115" s="1444"/>
    </row>
    <row r="116" spans="1:5" x14ac:dyDescent="0.35">
      <c r="A116" s="2" t="s">
        <v>7</v>
      </c>
      <c r="B116" s="270" t="s">
        <v>8</v>
      </c>
      <c r="C116" s="217" t="s">
        <v>4</v>
      </c>
      <c r="D116" s="597" t="s">
        <v>9</v>
      </c>
    </row>
    <row r="117" spans="1:5" x14ac:dyDescent="0.35">
      <c r="A117" s="772" t="s">
        <v>3</v>
      </c>
      <c r="B117" s="258">
        <v>152</v>
      </c>
      <c r="C117" s="194">
        <f>2913*1.1</f>
        <v>3204.3</v>
      </c>
      <c r="D117" s="598">
        <f>+B117*C117</f>
        <v>487053.60000000003</v>
      </c>
      <c r="E117" s="564"/>
    </row>
    <row r="118" spans="1:5" x14ac:dyDescent="0.35">
      <c r="A118" s="772" t="s">
        <v>403</v>
      </c>
      <c r="B118" s="258">
        <v>8</v>
      </c>
      <c r="C118" s="194">
        <f>+C117</f>
        <v>3204.3</v>
      </c>
      <c r="D118" s="609">
        <f>+B118*C118</f>
        <v>25634.400000000001</v>
      </c>
      <c r="E118" s="564"/>
    </row>
    <row r="119" spans="1:5" x14ac:dyDescent="0.35">
      <c r="A119" s="772" t="s">
        <v>6</v>
      </c>
      <c r="B119" s="258"/>
      <c r="C119" s="194">
        <v>35000</v>
      </c>
      <c r="D119" s="609">
        <f>+C119</f>
        <v>35000</v>
      </c>
      <c r="E119" s="564"/>
    </row>
    <row r="120" spans="1:5" x14ac:dyDescent="0.35">
      <c r="A120" s="614" t="s">
        <v>556</v>
      </c>
      <c r="B120" s="617"/>
      <c r="C120" s="227">
        <v>30000</v>
      </c>
      <c r="D120" s="609">
        <f>+C120</f>
        <v>30000</v>
      </c>
      <c r="E120" s="564"/>
    </row>
    <row r="121" spans="1:5" x14ac:dyDescent="0.35">
      <c r="A121" s="614"/>
      <c r="B121" s="617"/>
      <c r="C121" s="227">
        <v>0</v>
      </c>
      <c r="D121" s="609">
        <f>+B121*C121</f>
        <v>0</v>
      </c>
      <c r="E121" s="553"/>
    </row>
    <row r="122" spans="1:5" s="764" customFormat="1" x14ac:dyDescent="0.35">
      <c r="A122" s="882" t="s">
        <v>389</v>
      </c>
      <c r="B122" s="883"/>
      <c r="C122" s="884"/>
      <c r="D122" s="1058">
        <f>+D117+D118+D119+D120+D121</f>
        <v>577688</v>
      </c>
      <c r="E122" s="768"/>
    </row>
    <row r="123" spans="1:5" s="764" customFormat="1" x14ac:dyDescent="0.35">
      <c r="A123" s="882" t="s">
        <v>823</v>
      </c>
      <c r="B123" s="883"/>
      <c r="C123" s="884"/>
      <c r="D123" s="1058">
        <v>100000</v>
      </c>
      <c r="E123" s="768"/>
    </row>
    <row r="124" spans="1:5" s="1070" customFormat="1" x14ac:dyDescent="0.35">
      <c r="A124" s="724" t="s">
        <v>930</v>
      </c>
      <c r="B124" s="729"/>
      <c r="C124" s="729"/>
      <c r="D124" s="731">
        <v>-190000</v>
      </c>
      <c r="E124" s="1073"/>
    </row>
    <row r="125" spans="1:5" s="90" customFormat="1" x14ac:dyDescent="0.35">
      <c r="A125" s="1071" t="s">
        <v>11</v>
      </c>
      <c r="B125" s="1074"/>
      <c r="C125" s="1074"/>
      <c r="D125" s="1075">
        <f>+D122+D123+D124</f>
        <v>487688</v>
      </c>
      <c r="E125" s="1042"/>
    </row>
    <row r="126" spans="1:5" s="90" customFormat="1" x14ac:dyDescent="0.35">
      <c r="A126" s="691"/>
      <c r="B126" s="1089"/>
      <c r="C126" s="1089"/>
      <c r="D126" s="1090"/>
      <c r="E126" s="1042"/>
    </row>
    <row r="127" spans="1:5" s="90" customFormat="1" x14ac:dyDescent="0.35">
      <c r="A127" s="691"/>
      <c r="B127" s="1089"/>
      <c r="C127" s="1089"/>
      <c r="D127" s="1090"/>
      <c r="E127" s="1042"/>
    </row>
    <row r="128" spans="1:5" ht="23.5" x14ac:dyDescent="0.35">
      <c r="A128" s="1442" t="s">
        <v>916</v>
      </c>
      <c r="B128" s="1443"/>
      <c r="C128" s="1443"/>
      <c r="D128" s="1444"/>
    </row>
    <row r="129" spans="1:19" x14ac:dyDescent="0.35">
      <c r="A129" s="2" t="s">
        <v>7</v>
      </c>
      <c r="B129" s="270" t="s">
        <v>388</v>
      </c>
      <c r="C129" s="217" t="s">
        <v>629</v>
      </c>
      <c r="D129" s="597" t="s">
        <v>9</v>
      </c>
    </row>
    <row r="130" spans="1:19" x14ac:dyDescent="0.35">
      <c r="A130" s="772" t="s">
        <v>3</v>
      </c>
      <c r="B130" s="258">
        <v>157</v>
      </c>
      <c r="C130" s="194">
        <f>2913*1.1</f>
        <v>3204.3</v>
      </c>
      <c r="D130" s="598">
        <f>+B130*C130</f>
        <v>503075.10000000003</v>
      </c>
      <c r="E130" s="564"/>
    </row>
    <row r="131" spans="1:19" x14ac:dyDescent="0.35">
      <c r="A131" s="772" t="s">
        <v>403</v>
      </c>
      <c r="B131" s="258">
        <v>8</v>
      </c>
      <c r="C131" s="194">
        <f>+C130</f>
        <v>3204.3</v>
      </c>
      <c r="D131" s="609">
        <f>+B131*C131</f>
        <v>25634.400000000001</v>
      </c>
      <c r="E131" s="564"/>
    </row>
    <row r="132" spans="1:19" x14ac:dyDescent="0.35">
      <c r="A132" s="772" t="s">
        <v>934</v>
      </c>
      <c r="B132" s="258">
        <v>16</v>
      </c>
      <c r="C132" s="194">
        <f>+C130</f>
        <v>3204.3</v>
      </c>
      <c r="D132" s="609">
        <f>+B132*C132</f>
        <v>51268.800000000003</v>
      </c>
      <c r="E132" s="564" t="s">
        <v>63</v>
      </c>
    </row>
    <row r="133" spans="1:19" x14ac:dyDescent="0.35">
      <c r="A133" s="772" t="s">
        <v>556</v>
      </c>
      <c r="B133" s="258"/>
      <c r="C133" s="194">
        <v>30000</v>
      </c>
      <c r="D133" s="609">
        <f>+C133</f>
        <v>30000</v>
      </c>
      <c r="E133" s="564"/>
    </row>
    <row r="134" spans="1:19" x14ac:dyDescent="0.35">
      <c r="A134" s="772" t="s">
        <v>6</v>
      </c>
      <c r="B134" s="258"/>
      <c r="C134" s="194">
        <v>35000</v>
      </c>
      <c r="D134" s="609">
        <f>+C134</f>
        <v>35000</v>
      </c>
      <c r="E134" s="564"/>
    </row>
    <row r="135" spans="1:19" x14ac:dyDescent="0.35">
      <c r="A135" s="614" t="s">
        <v>628</v>
      </c>
      <c r="B135" s="617">
        <v>13</v>
      </c>
      <c r="C135" s="227">
        <f>+C130*1.5</f>
        <v>4806.4500000000007</v>
      </c>
      <c r="D135" s="609">
        <f>+B135*C135</f>
        <v>62483.850000000006</v>
      </c>
      <c r="E135" s="564"/>
    </row>
    <row r="136" spans="1:19" x14ac:dyDescent="0.35">
      <c r="A136" s="614" t="s">
        <v>931</v>
      </c>
      <c r="B136" s="617"/>
      <c r="C136" s="227"/>
      <c r="D136" s="609">
        <v>26600</v>
      </c>
    </row>
    <row r="137" spans="1:19" x14ac:dyDescent="0.35">
      <c r="A137" s="614" t="s">
        <v>932</v>
      </c>
      <c r="B137" s="617"/>
      <c r="C137" s="227"/>
      <c r="D137" s="609">
        <v>37900</v>
      </c>
    </row>
    <row r="138" spans="1:19" x14ac:dyDescent="0.35">
      <c r="A138" s="614"/>
      <c r="B138" s="617"/>
      <c r="C138" s="227"/>
      <c r="D138" s="609"/>
    </row>
    <row r="139" spans="1:19" s="1042" customFormat="1" x14ac:dyDescent="0.35">
      <c r="A139" s="882" t="s">
        <v>99</v>
      </c>
      <c r="B139" s="883"/>
      <c r="C139" s="883"/>
      <c r="D139" s="884">
        <f>+D130+D131+D132+D133+D134+D135+D136+D137</f>
        <v>771962.15</v>
      </c>
      <c r="E139" s="553"/>
      <c r="F139" s="771"/>
      <c r="G139" s="771"/>
      <c r="H139" s="771"/>
      <c r="I139" s="771"/>
      <c r="J139" s="771"/>
      <c r="K139" s="771"/>
      <c r="L139" s="771"/>
      <c r="M139" s="771"/>
      <c r="N139" s="771"/>
      <c r="O139" s="771"/>
      <c r="P139" s="771"/>
      <c r="Q139" s="771"/>
      <c r="R139" s="771"/>
      <c r="S139" s="771"/>
    </row>
    <row r="140" spans="1:19" s="1076" customFormat="1" x14ac:dyDescent="0.35">
      <c r="A140" s="1077" t="s">
        <v>823</v>
      </c>
      <c r="B140" s="1077"/>
      <c r="C140" s="1077"/>
      <c r="D140" s="1077">
        <v>60000</v>
      </c>
      <c r="E140" s="1078"/>
    </row>
    <row r="141" spans="1:19" s="1042" customFormat="1" x14ac:dyDescent="0.35">
      <c r="A141" s="962"/>
      <c r="B141" s="619"/>
      <c r="C141" s="619"/>
      <c r="D141" s="730"/>
      <c r="F141" s="771"/>
      <c r="G141" s="771"/>
      <c r="H141" s="771"/>
      <c r="I141" s="771"/>
      <c r="J141" s="771"/>
      <c r="K141" s="771"/>
      <c r="L141" s="771"/>
      <c r="M141" s="771"/>
      <c r="N141" s="771"/>
      <c r="O141" s="771"/>
      <c r="P141" s="771"/>
      <c r="Q141" s="771"/>
      <c r="R141" s="771"/>
      <c r="S141" s="771"/>
    </row>
    <row r="142" spans="1:19" s="1042" customFormat="1" ht="15.5" x14ac:dyDescent="0.35">
      <c r="A142" s="611" t="s">
        <v>11</v>
      </c>
      <c r="B142" s="612"/>
      <c r="C142" s="613"/>
      <c r="D142" s="603">
        <f>+D139+D140</f>
        <v>831962.15</v>
      </c>
      <c r="E142" s="1091"/>
      <c r="F142" s="771"/>
      <c r="G142" s="771"/>
      <c r="H142" s="771"/>
      <c r="I142" s="771"/>
      <c r="J142" s="771"/>
      <c r="K142" s="771"/>
      <c r="L142" s="771"/>
      <c r="M142" s="771"/>
      <c r="N142" s="771"/>
      <c r="O142" s="771"/>
      <c r="P142" s="771"/>
      <c r="Q142" s="771"/>
      <c r="R142" s="771"/>
      <c r="S142" s="771"/>
    </row>
    <row r="145" spans="1:19" s="90" customFormat="1" ht="23.5" x14ac:dyDescent="0.35">
      <c r="A145" s="1467" t="s">
        <v>917</v>
      </c>
      <c r="B145" s="1468"/>
      <c r="C145" s="1468"/>
      <c r="D145" s="1469"/>
      <c r="E145" s="1042"/>
    </row>
    <row r="146" spans="1:19" x14ac:dyDescent="0.35">
      <c r="A146" s="2" t="s">
        <v>7</v>
      </c>
      <c r="B146" s="270"/>
      <c r="C146" s="217"/>
      <c r="D146" s="597" t="s">
        <v>9</v>
      </c>
    </row>
    <row r="147" spans="1:19" x14ac:dyDescent="0.35">
      <c r="A147" s="1106" t="s">
        <v>865</v>
      </c>
      <c r="B147" s="194">
        <v>1500000</v>
      </c>
      <c r="C147" s="194"/>
      <c r="D147" s="598">
        <f>+B147</f>
        <v>1500000</v>
      </c>
      <c r="E147" s="564"/>
    </row>
    <row r="148" spans="1:19" x14ac:dyDescent="0.35">
      <c r="A148" s="772" t="s">
        <v>866</v>
      </c>
      <c r="B148" s="258"/>
      <c r="C148" s="194"/>
      <c r="D148" s="609">
        <f>-D147/2</f>
        <v>-750000</v>
      </c>
      <c r="E148" s="564"/>
    </row>
    <row r="149" spans="1:19" x14ac:dyDescent="0.35">
      <c r="A149" s="772" t="s">
        <v>234</v>
      </c>
      <c r="B149" s="258"/>
      <c r="C149" s="194"/>
      <c r="D149" s="609">
        <v>37870</v>
      </c>
      <c r="E149" s="564"/>
    </row>
    <row r="150" spans="1:19" x14ac:dyDescent="0.35">
      <c r="A150" s="772"/>
      <c r="B150" s="258"/>
      <c r="C150" s="194"/>
      <c r="D150" s="609"/>
      <c r="E150" s="564"/>
    </row>
    <row r="151" spans="1:19" x14ac:dyDescent="0.35">
      <c r="A151" s="614"/>
      <c r="B151" s="617"/>
      <c r="C151" s="227"/>
      <c r="D151" s="609"/>
      <c r="E151" s="564"/>
    </row>
    <row r="152" spans="1:19" x14ac:dyDescent="0.35">
      <c r="A152" s="614"/>
      <c r="B152" s="617"/>
      <c r="C152" s="227"/>
      <c r="D152" s="609"/>
    </row>
    <row r="153" spans="1:19" x14ac:dyDescent="0.35">
      <c r="A153" s="614"/>
      <c r="B153" s="617"/>
      <c r="C153" s="227"/>
      <c r="D153" s="609"/>
    </row>
    <row r="154" spans="1:19" s="1042" customFormat="1" x14ac:dyDescent="0.35">
      <c r="A154" s="962"/>
      <c r="B154" s="619"/>
      <c r="C154" s="619"/>
      <c r="D154" s="730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ht="15.5" x14ac:dyDescent="0.35">
      <c r="A155" s="611" t="s">
        <v>867</v>
      </c>
      <c r="B155" s="612"/>
      <c r="C155" s="613"/>
      <c r="D155" s="603">
        <f>+D147+D148+D149</f>
        <v>787870</v>
      </c>
      <c r="E155" s="1091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60" spans="1:19" s="1042" customFormat="1" ht="23.5" x14ac:dyDescent="0.35">
      <c r="A160" s="1442" t="s">
        <v>918</v>
      </c>
      <c r="B160" s="1443"/>
      <c r="C160" s="1443"/>
      <c r="D160" s="1444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2"/>
      <c r="B161" s="270"/>
      <c r="C161" s="217"/>
      <c r="D161" s="597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772" t="s">
        <v>3</v>
      </c>
      <c r="B162" s="258">
        <v>175</v>
      </c>
      <c r="C162" s="194">
        <v>2175</v>
      </c>
      <c r="D162" s="598">
        <f>+B162*C162</f>
        <v>380625</v>
      </c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3" spans="1:19" s="1042" customFormat="1" x14ac:dyDescent="0.35">
      <c r="A163" s="772" t="s">
        <v>394</v>
      </c>
      <c r="B163" s="258">
        <v>8</v>
      </c>
      <c r="C163" s="194">
        <f>+C162</f>
        <v>2175</v>
      </c>
      <c r="D163" s="609">
        <f>+B163*C163</f>
        <v>17400</v>
      </c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</row>
    <row r="164" spans="1:19" s="1042" customFormat="1" x14ac:dyDescent="0.35">
      <c r="A164" s="1107" t="s">
        <v>200</v>
      </c>
      <c r="B164" s="258"/>
      <c r="C164" s="194">
        <v>30000</v>
      </c>
      <c r="D164" s="609">
        <f>+C164</f>
        <v>30000</v>
      </c>
      <c r="F164" s="771"/>
      <c r="G164" s="771"/>
      <c r="H164" s="771"/>
      <c r="I164" s="771"/>
      <c r="J164" s="771"/>
      <c r="K164" s="771"/>
      <c r="L164" s="771"/>
      <c r="M164" s="771"/>
      <c r="N164" s="771"/>
      <c r="O164" s="771"/>
      <c r="P164" s="771"/>
      <c r="Q164" s="771"/>
      <c r="R164" s="771"/>
      <c r="S164" s="771"/>
    </row>
    <row r="165" spans="1:19" s="1042" customFormat="1" x14ac:dyDescent="0.35">
      <c r="A165" s="772" t="s">
        <v>6</v>
      </c>
      <c r="B165" s="258"/>
      <c r="C165" s="194">
        <v>20000</v>
      </c>
      <c r="D165" s="609">
        <f>+C165</f>
        <v>20000</v>
      </c>
      <c r="F165" s="771"/>
      <c r="G165" s="771"/>
      <c r="H165" s="771"/>
      <c r="I165" s="771"/>
      <c r="J165" s="771"/>
      <c r="K165" s="771"/>
      <c r="L165" s="771"/>
      <c r="M165" s="771"/>
      <c r="N165" s="771"/>
      <c r="O165" s="771"/>
      <c r="P165" s="771"/>
      <c r="Q165" s="771"/>
      <c r="R165" s="771"/>
      <c r="S165" s="771"/>
    </row>
    <row r="166" spans="1:19" s="1042" customFormat="1" x14ac:dyDescent="0.35">
      <c r="A166" s="614" t="s">
        <v>270</v>
      </c>
      <c r="B166" s="617">
        <v>1.1499999999999999</v>
      </c>
      <c r="C166" s="227">
        <f>+C162*1.5</f>
        <v>3262.5</v>
      </c>
      <c r="D166" s="609">
        <f>+B166*C166</f>
        <v>3751.8749999999995</v>
      </c>
      <c r="F166" s="771"/>
      <c r="G166" s="771"/>
      <c r="H166" s="771"/>
      <c r="I166" s="771"/>
      <c r="J166" s="771"/>
      <c r="K166" s="771"/>
      <c r="L166" s="771"/>
      <c r="M166" s="771"/>
      <c r="N166" s="771"/>
      <c r="O166" s="771"/>
      <c r="P166" s="771"/>
      <c r="Q166" s="771"/>
      <c r="R166" s="771"/>
      <c r="S166" s="771"/>
    </row>
    <row r="167" spans="1:19" s="1042" customFormat="1" x14ac:dyDescent="0.35">
      <c r="A167" s="614" t="s">
        <v>281</v>
      </c>
      <c r="B167" s="617"/>
      <c r="C167" s="227">
        <f>+C162*2</f>
        <v>4350</v>
      </c>
      <c r="D167" s="609"/>
      <c r="F167" s="771"/>
      <c r="G167" s="771"/>
      <c r="H167" s="771"/>
      <c r="I167" s="771"/>
      <c r="J167" s="771"/>
      <c r="K167" s="771"/>
      <c r="L167" s="771"/>
      <c r="M167" s="771"/>
      <c r="N167" s="771"/>
      <c r="O167" s="771"/>
      <c r="P167" s="771"/>
      <c r="Q167" s="771"/>
      <c r="R167" s="771"/>
      <c r="S167" s="771"/>
    </row>
    <row r="168" spans="1:19" s="1042" customFormat="1" x14ac:dyDescent="0.35">
      <c r="A168" s="614"/>
      <c r="B168" s="617"/>
      <c r="C168" s="227"/>
      <c r="D168" s="609"/>
      <c r="F168" s="771"/>
      <c r="G168" s="771"/>
      <c r="H168" s="771"/>
      <c r="I168" s="771"/>
      <c r="J168" s="771"/>
      <c r="K168" s="771"/>
      <c r="L168" s="771"/>
      <c r="M168" s="771"/>
      <c r="N168" s="771"/>
      <c r="O168" s="771"/>
      <c r="P168" s="771"/>
      <c r="Q168" s="771"/>
      <c r="R168" s="771"/>
      <c r="S168" s="771"/>
    </row>
    <row r="169" spans="1:19" s="1042" customFormat="1" x14ac:dyDescent="0.35">
      <c r="A169" s="962"/>
      <c r="B169" s="619"/>
      <c r="C169" s="619"/>
      <c r="D169" s="730"/>
      <c r="F169" s="771"/>
      <c r="G169" s="771"/>
      <c r="H169" s="771"/>
      <c r="I169" s="771"/>
      <c r="J169" s="771"/>
      <c r="K169" s="771"/>
      <c r="L169" s="771"/>
      <c r="M169" s="771"/>
      <c r="N169" s="771"/>
      <c r="O169" s="771"/>
      <c r="P169" s="771"/>
      <c r="Q169" s="771"/>
      <c r="R169" s="771"/>
      <c r="S169" s="771"/>
    </row>
    <row r="170" spans="1:19" s="1042" customFormat="1" ht="15.5" x14ac:dyDescent="0.35">
      <c r="A170" s="611" t="s">
        <v>11</v>
      </c>
      <c r="B170" s="612"/>
      <c r="C170" s="613"/>
      <c r="D170" s="603">
        <f>+D162+D163+D164+D165+D166+D167+D168+D169</f>
        <v>451776.875</v>
      </c>
      <c r="F170" s="771"/>
      <c r="G170" s="771"/>
      <c r="H170" s="771"/>
      <c r="I170" s="771"/>
      <c r="J170" s="771"/>
      <c r="K170" s="771"/>
      <c r="L170" s="771"/>
      <c r="M170" s="771"/>
      <c r="N170" s="771"/>
      <c r="O170" s="771"/>
      <c r="P170" s="771"/>
      <c r="Q170" s="771"/>
      <c r="R170" s="771"/>
      <c r="S170" s="771"/>
    </row>
    <row r="174" spans="1:19" ht="23.5" x14ac:dyDescent="0.35">
      <c r="A174" s="1442" t="s">
        <v>919</v>
      </c>
      <c r="B174" s="1443"/>
      <c r="C174" s="1443"/>
      <c r="D174" s="1444"/>
    </row>
    <row r="175" spans="1:19" x14ac:dyDescent="0.35">
      <c r="A175" s="2"/>
      <c r="B175" s="270"/>
      <c r="C175" s="217"/>
      <c r="D175" s="597"/>
    </row>
    <row r="176" spans="1:19" x14ac:dyDescent="0.35">
      <c r="A176" s="772" t="s">
        <v>920</v>
      </c>
      <c r="B176" s="258">
        <f>7*8</f>
        <v>56</v>
      </c>
      <c r="C176" s="194">
        <v>2852.06</v>
      </c>
      <c r="D176" s="598">
        <f>+B176*C176</f>
        <v>159715.35999999999</v>
      </c>
    </row>
    <row r="177" spans="1:4" x14ac:dyDescent="0.35">
      <c r="A177" s="772"/>
      <c r="B177" s="258"/>
      <c r="C177" s="194"/>
      <c r="D177" s="609"/>
    </row>
    <row r="178" spans="1:4" x14ac:dyDescent="0.35">
      <c r="A178" s="1107"/>
      <c r="B178" s="258"/>
      <c r="C178" s="194"/>
      <c r="D178" s="609"/>
    </row>
    <row r="179" spans="1:4" x14ac:dyDescent="0.35">
      <c r="A179" s="772"/>
      <c r="B179" s="258"/>
      <c r="C179" s="194"/>
      <c r="D179" s="609"/>
    </row>
    <row r="180" spans="1:4" x14ac:dyDescent="0.35">
      <c r="A180" s="614"/>
      <c r="B180" s="617"/>
      <c r="C180" s="227"/>
      <c r="D180" s="609"/>
    </row>
    <row r="181" spans="1:4" x14ac:dyDescent="0.35">
      <c r="A181" s="614"/>
      <c r="B181" s="617"/>
      <c r="C181" s="227"/>
      <c r="D181" s="609"/>
    </row>
    <row r="182" spans="1:4" x14ac:dyDescent="0.35">
      <c r="A182" s="614"/>
      <c r="B182" s="617"/>
      <c r="C182" s="227"/>
      <c r="D182" s="609"/>
    </row>
    <row r="183" spans="1:4" x14ac:dyDescent="0.35">
      <c r="A183" s="962"/>
      <c r="B183" s="619"/>
      <c r="C183" s="619"/>
      <c r="D183" s="730"/>
    </row>
    <row r="184" spans="1:4" ht="15.5" x14ac:dyDescent="0.35">
      <c r="A184" s="611" t="s">
        <v>803</v>
      </c>
      <c r="B184" s="612"/>
      <c r="C184" s="613"/>
      <c r="D184" s="603">
        <f>+D176</f>
        <v>159715.35999999999</v>
      </c>
    </row>
    <row r="188" spans="1:4" ht="23.5" x14ac:dyDescent="0.35">
      <c r="A188" s="1442" t="s">
        <v>921</v>
      </c>
      <c r="B188" s="1443"/>
      <c r="C188" s="1443"/>
      <c r="D188" s="1444"/>
    </row>
    <row r="189" spans="1:4" x14ac:dyDescent="0.35">
      <c r="A189" s="2"/>
      <c r="B189" s="270"/>
      <c r="C189" s="217"/>
      <c r="D189" s="597"/>
    </row>
    <row r="190" spans="1:4" x14ac:dyDescent="0.35">
      <c r="A190" s="772" t="s">
        <v>922</v>
      </c>
      <c r="B190" s="258">
        <f>7*8</f>
        <v>56</v>
      </c>
      <c r="C190" s="194">
        <v>3945.6</v>
      </c>
      <c r="D190" s="598">
        <f>+B190*C190</f>
        <v>220953.60000000001</v>
      </c>
    </row>
    <row r="191" spans="1:4" x14ac:dyDescent="0.35">
      <c r="A191" s="772"/>
      <c r="B191" s="258"/>
      <c r="C191" s="194"/>
      <c r="D191" s="609"/>
    </row>
    <row r="192" spans="1:4" x14ac:dyDescent="0.35">
      <c r="A192" s="1107"/>
      <c r="B192" s="258"/>
      <c r="C192" s="194"/>
      <c r="D192" s="609"/>
    </row>
    <row r="193" spans="1:4" x14ac:dyDescent="0.35">
      <c r="A193" s="772"/>
      <c r="B193" s="258"/>
      <c r="C193" s="194"/>
      <c r="D193" s="609"/>
    </row>
    <row r="194" spans="1:4" x14ac:dyDescent="0.35">
      <c r="A194" s="614"/>
      <c r="B194" s="617"/>
      <c r="C194" s="227"/>
      <c r="D194" s="609"/>
    </row>
    <row r="195" spans="1:4" x14ac:dyDescent="0.35">
      <c r="A195" s="614"/>
      <c r="B195" s="617"/>
      <c r="C195" s="227"/>
      <c r="D195" s="609"/>
    </row>
    <row r="196" spans="1:4" x14ac:dyDescent="0.35">
      <c r="A196" s="614"/>
      <c r="B196" s="617"/>
      <c r="C196" s="227"/>
      <c r="D196" s="609"/>
    </row>
    <row r="197" spans="1:4" x14ac:dyDescent="0.35">
      <c r="A197" s="962"/>
      <c r="B197" s="619"/>
      <c r="C197" s="619"/>
      <c r="D197" s="730"/>
    </row>
    <row r="198" spans="1:4" ht="15.5" x14ac:dyDescent="0.35">
      <c r="A198" s="611" t="s">
        <v>803</v>
      </c>
      <c r="B198" s="612"/>
      <c r="C198" s="613"/>
      <c r="D198" s="603">
        <f>+D190</f>
        <v>220953.60000000001</v>
      </c>
    </row>
  </sheetData>
  <mergeCells count="22">
    <mergeCell ref="A128:D128"/>
    <mergeCell ref="A82:D82"/>
    <mergeCell ref="A96:C96"/>
    <mergeCell ref="A99:D99"/>
    <mergeCell ref="A108:C108"/>
    <mergeCell ref="A115:D115"/>
    <mergeCell ref="A188:D188"/>
    <mergeCell ref="A79:C79"/>
    <mergeCell ref="A3:D3"/>
    <mergeCell ref="A12:C12"/>
    <mergeCell ref="A16:C16"/>
    <mergeCell ref="A19:D19"/>
    <mergeCell ref="A28:C28"/>
    <mergeCell ref="A35:D35"/>
    <mergeCell ref="A44:C44"/>
    <mergeCell ref="A50:D50"/>
    <mergeCell ref="A59:C59"/>
    <mergeCell ref="A65:D65"/>
    <mergeCell ref="A75:C75"/>
    <mergeCell ref="A174:D174"/>
    <mergeCell ref="A145:D145"/>
    <mergeCell ref="A160:D160"/>
  </mergeCells>
  <pageMargins left="0.31496062992125984" right="0.11811023622047245" top="0" bottom="0" header="0.31496062992125984" footer="0.31496062992125984"/>
  <pageSetup paperSize="9" scale="26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BA7B-C0A7-4E4A-BB4D-3927F5099334}">
  <sheetPr>
    <pageSetUpPr fitToPage="1"/>
  </sheetPr>
  <dimension ref="A1:D41"/>
  <sheetViews>
    <sheetView topLeftCell="A49" workbookViewId="0">
      <selection activeCell="D8" sqref="D8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4" s="658" customFormat="1" ht="28.5" x14ac:dyDescent="0.65">
      <c r="A1" s="946"/>
      <c r="B1" s="1122" t="s">
        <v>923</v>
      </c>
      <c r="C1" s="983"/>
      <c r="D1" s="983"/>
    </row>
    <row r="3" spans="1:4" x14ac:dyDescent="0.35">
      <c r="A3" s="1014"/>
      <c r="B3" s="964" t="s">
        <v>7</v>
      </c>
      <c r="C3" s="1052" t="s">
        <v>870</v>
      </c>
    </row>
    <row r="4" spans="1:4" x14ac:dyDescent="0.35">
      <c r="B4" s="258" t="s">
        <v>10</v>
      </c>
      <c r="C4" s="194">
        <v>552400</v>
      </c>
    </row>
    <row r="5" spans="1:4" x14ac:dyDescent="0.35">
      <c r="B5" s="258" t="s">
        <v>16</v>
      </c>
      <c r="C5" s="194">
        <v>550200</v>
      </c>
    </row>
    <row r="6" spans="1:4" x14ac:dyDescent="0.35">
      <c r="B6" s="258" t="s">
        <v>0</v>
      </c>
      <c r="C6" s="194">
        <v>760000</v>
      </c>
    </row>
    <row r="7" spans="1:4" x14ac:dyDescent="0.35">
      <c r="B7" s="258" t="s">
        <v>245</v>
      </c>
      <c r="C7" s="194">
        <v>542250</v>
      </c>
    </row>
    <row r="8" spans="1:4" x14ac:dyDescent="0.35">
      <c r="B8" s="258" t="s">
        <v>463</v>
      </c>
      <c r="C8" s="194">
        <v>621150</v>
      </c>
    </row>
    <row r="9" spans="1:4" x14ac:dyDescent="0.35">
      <c r="B9" s="258" t="s">
        <v>553</v>
      </c>
      <c r="C9" s="194">
        <v>620350</v>
      </c>
    </row>
    <row r="10" spans="1:4" x14ac:dyDescent="0.35">
      <c r="B10" s="258" t="s">
        <v>260</v>
      </c>
      <c r="C10" s="194">
        <v>487700</v>
      </c>
    </row>
    <row r="11" spans="1:4" x14ac:dyDescent="0.35">
      <c r="B11" s="617" t="s">
        <v>613</v>
      </c>
      <c r="C11" s="227">
        <v>832000</v>
      </c>
    </row>
    <row r="12" spans="1:4" x14ac:dyDescent="0.35">
      <c r="B12" s="315" t="s">
        <v>901</v>
      </c>
      <c r="C12" s="194">
        <v>787900</v>
      </c>
    </row>
    <row r="13" spans="1:4" x14ac:dyDescent="0.35">
      <c r="B13" s="315" t="s">
        <v>905</v>
      </c>
      <c r="C13" s="194">
        <v>451800</v>
      </c>
    </row>
    <row r="14" spans="1:4" x14ac:dyDescent="0.35">
      <c r="B14" s="1016" t="s">
        <v>872</v>
      </c>
      <c r="C14" s="195">
        <f>SUM(C4:C13)</f>
        <v>6205750</v>
      </c>
    </row>
    <row r="15" spans="1:4" x14ac:dyDescent="0.35">
      <c r="B15" s="261"/>
    </row>
    <row r="16" spans="1:4" x14ac:dyDescent="0.35">
      <c r="B16" s="261"/>
    </row>
    <row r="17" spans="1:4" x14ac:dyDescent="0.35">
      <c r="B17" s="261"/>
    </row>
    <row r="18" spans="1:4" x14ac:dyDescent="0.35">
      <c r="B18" s="258" t="s">
        <v>267</v>
      </c>
      <c r="C18" s="194">
        <v>738750</v>
      </c>
    </row>
    <row r="19" spans="1:4" x14ac:dyDescent="0.35">
      <c r="B19" s="261"/>
    </row>
    <row r="22" spans="1:4" x14ac:dyDescent="0.35">
      <c r="B22" s="274" t="s">
        <v>7</v>
      </c>
      <c r="C22" s="1052" t="s">
        <v>272</v>
      </c>
      <c r="D22" s="1109" t="s">
        <v>200</v>
      </c>
    </row>
    <row r="23" spans="1:4" x14ac:dyDescent="0.35">
      <c r="A23" s="771">
        <v>1</v>
      </c>
      <c r="B23" s="258" t="s">
        <v>10</v>
      </c>
      <c r="C23" s="194">
        <f>2852.06*1.15</f>
        <v>3279.8689999999997</v>
      </c>
      <c r="D23" s="598">
        <v>30000</v>
      </c>
    </row>
    <row r="24" spans="1:4" x14ac:dyDescent="0.35">
      <c r="A24" s="771">
        <v>2</v>
      </c>
      <c r="B24" s="258" t="s">
        <v>16</v>
      </c>
      <c r="C24" s="194">
        <f>2554.7*1.1</f>
        <v>2810.17</v>
      </c>
      <c r="D24" s="598">
        <v>30000</v>
      </c>
    </row>
    <row r="25" spans="1:4" x14ac:dyDescent="0.35">
      <c r="A25" s="771">
        <v>3</v>
      </c>
      <c r="B25" s="258" t="s">
        <v>0</v>
      </c>
      <c r="C25" s="194">
        <v>3945.6</v>
      </c>
      <c r="D25" s="598">
        <v>30000</v>
      </c>
    </row>
    <row r="26" spans="1:4" x14ac:dyDescent="0.35">
      <c r="A26" s="176">
        <v>4</v>
      </c>
      <c r="B26" s="258" t="s">
        <v>267</v>
      </c>
      <c r="C26" s="194">
        <v>2754</v>
      </c>
      <c r="D26" s="598">
        <v>30000</v>
      </c>
    </row>
    <row r="27" spans="1:4" x14ac:dyDescent="0.35">
      <c r="A27" s="176">
        <v>5</v>
      </c>
      <c r="B27" s="258" t="s">
        <v>245</v>
      </c>
      <c r="C27" s="194">
        <f>2383.75*1.1</f>
        <v>2622.125</v>
      </c>
      <c r="D27" s="598">
        <v>30000</v>
      </c>
    </row>
    <row r="28" spans="1:4" x14ac:dyDescent="0.35">
      <c r="A28" s="176">
        <v>6</v>
      </c>
      <c r="B28" s="258" t="s">
        <v>463</v>
      </c>
      <c r="C28" s="194">
        <v>2718.75</v>
      </c>
      <c r="D28" s="598">
        <v>30000</v>
      </c>
    </row>
    <row r="29" spans="1:4" x14ac:dyDescent="0.35">
      <c r="A29" s="176">
        <v>7</v>
      </c>
      <c r="B29" s="258" t="s">
        <v>553</v>
      </c>
      <c r="C29" s="194">
        <f>2383.75*1.1</f>
        <v>2622.125</v>
      </c>
      <c r="D29" s="598">
        <v>30000</v>
      </c>
    </row>
    <row r="30" spans="1:4" x14ac:dyDescent="0.35">
      <c r="A30" s="176">
        <v>8</v>
      </c>
      <c r="B30" s="258" t="s">
        <v>260</v>
      </c>
      <c r="C30" s="194">
        <v>3204.3</v>
      </c>
      <c r="D30" s="598">
        <v>30000</v>
      </c>
    </row>
    <row r="31" spans="1:4" x14ac:dyDescent="0.35">
      <c r="A31" s="176">
        <v>9</v>
      </c>
      <c r="B31" s="258" t="s">
        <v>613</v>
      </c>
      <c r="C31" s="194">
        <v>3204.3</v>
      </c>
      <c r="D31" s="598">
        <v>30000</v>
      </c>
    </row>
    <row r="32" spans="1:4" x14ac:dyDescent="0.35">
      <c r="A32" s="176">
        <v>10</v>
      </c>
      <c r="B32" s="258" t="s">
        <v>871</v>
      </c>
      <c r="C32" s="194"/>
      <c r="D32" s="598"/>
    </row>
    <row r="33" spans="1:4" x14ac:dyDescent="0.35">
      <c r="A33" s="176">
        <v>11</v>
      </c>
      <c r="B33" s="315" t="s">
        <v>905</v>
      </c>
      <c r="C33" s="194">
        <v>2175</v>
      </c>
      <c r="D33" s="598">
        <v>30000</v>
      </c>
    </row>
    <row r="34" spans="1:4" x14ac:dyDescent="0.35">
      <c r="A34" s="176">
        <v>12</v>
      </c>
      <c r="B34" s="1108" t="s">
        <v>15</v>
      </c>
      <c r="C34" s="204"/>
      <c r="D34" s="205"/>
    </row>
    <row r="35" spans="1:4" x14ac:dyDescent="0.35">
      <c r="B35" s="1121"/>
      <c r="C35" s="204"/>
      <c r="D35" s="205"/>
    </row>
    <row r="37" spans="1:4" x14ac:dyDescent="0.35">
      <c r="A37" s="701" t="s">
        <v>106</v>
      </c>
      <c r="B37" s="702" t="s">
        <v>873</v>
      </c>
      <c r="C37" s="1013" t="s">
        <v>803</v>
      </c>
      <c r="D37" s="1092" t="s">
        <v>7</v>
      </c>
    </row>
    <row r="38" spans="1:4" x14ac:dyDescent="0.35">
      <c r="A38" s="703">
        <v>15</v>
      </c>
      <c r="B38" s="703">
        <v>9</v>
      </c>
      <c r="C38" s="964">
        <f>+A38*B38</f>
        <v>135</v>
      </c>
      <c r="D38" s="593" t="s">
        <v>874</v>
      </c>
    </row>
    <row r="39" spans="1:4" x14ac:dyDescent="0.35">
      <c r="A39" s="703">
        <v>5</v>
      </c>
      <c r="B39" s="703">
        <v>8</v>
      </c>
      <c r="C39" s="964">
        <f>+A39*B39</f>
        <v>40</v>
      </c>
      <c r="D39" s="593" t="s">
        <v>117</v>
      </c>
    </row>
    <row r="40" spans="1:4" x14ac:dyDescent="0.35">
      <c r="A40" s="703">
        <v>1</v>
      </c>
      <c r="B40" s="703">
        <v>8</v>
      </c>
      <c r="C40" s="964">
        <f>+A40*B40</f>
        <v>8</v>
      </c>
      <c r="D40" s="593" t="s">
        <v>111</v>
      </c>
    </row>
    <row r="41" spans="1:4" x14ac:dyDescent="0.35">
      <c r="A41" s="568"/>
      <c r="B41" s="773"/>
      <c r="C41" s="964">
        <f>+C38+C39+C40</f>
        <v>183</v>
      </c>
      <c r="D41" s="593" t="s">
        <v>924</v>
      </c>
    </row>
  </sheetData>
  <pageMargins left="0.7" right="0.7" top="0.75" bottom="0.75" header="0.3" footer="0.3"/>
  <pageSetup paperSize="9" scale="94" fitToHeight="0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A483-6F9A-4559-B011-B8E92748FD9D}">
  <sheetPr>
    <pageSetUpPr fitToPage="1"/>
  </sheetPr>
  <dimension ref="A1:E43"/>
  <sheetViews>
    <sheetView workbookViewId="0">
      <selection activeCell="D17" sqref="D17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971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+C15+C21</f>
        <v>14382520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>
        <v>1180560</v>
      </c>
      <c r="E5" s="774"/>
    </row>
    <row r="6" spans="1:5" x14ac:dyDescent="0.35">
      <c r="B6" s="258" t="s">
        <v>16</v>
      </c>
      <c r="C6" s="194">
        <v>1763650</v>
      </c>
    </row>
    <row r="7" spans="1:5" x14ac:dyDescent="0.35">
      <c r="B7" s="258" t="s">
        <v>0</v>
      </c>
      <c r="C7" s="194">
        <v>1459950</v>
      </c>
    </row>
    <row r="8" spans="1:5" x14ac:dyDescent="0.35">
      <c r="B8" s="258" t="s">
        <v>245</v>
      </c>
      <c r="C8" s="194">
        <v>1485750</v>
      </c>
    </row>
    <row r="9" spans="1:5" x14ac:dyDescent="0.35">
      <c r="B9" s="258" t="s">
        <v>463</v>
      </c>
      <c r="C9" s="194">
        <v>1256600</v>
      </c>
    </row>
    <row r="10" spans="1:5" x14ac:dyDescent="0.35">
      <c r="B10" s="258" t="s">
        <v>553</v>
      </c>
      <c r="C10" s="194">
        <v>1335300</v>
      </c>
    </row>
    <row r="11" spans="1:5" x14ac:dyDescent="0.35">
      <c r="B11" s="258" t="s">
        <v>260</v>
      </c>
      <c r="C11" s="194">
        <v>1071450</v>
      </c>
    </row>
    <row r="12" spans="1:5" x14ac:dyDescent="0.35">
      <c r="B12" s="617" t="s">
        <v>613</v>
      </c>
      <c r="C12" s="227">
        <v>979500</v>
      </c>
    </row>
    <row r="13" spans="1:5" x14ac:dyDescent="0.35">
      <c r="B13" s="315" t="s">
        <v>901</v>
      </c>
      <c r="C13" s="194">
        <v>1752160</v>
      </c>
      <c r="E13" s="774"/>
    </row>
    <row r="14" spans="1:5" x14ac:dyDescent="0.35">
      <c r="B14" s="315"/>
      <c r="C14" s="194"/>
    </row>
    <row r="15" spans="1:5" x14ac:dyDescent="0.35">
      <c r="B15" s="1016" t="s">
        <v>872</v>
      </c>
      <c r="C15" s="195">
        <f>SUM(C5:C14)</f>
        <v>12284920</v>
      </c>
    </row>
    <row r="16" spans="1:5" x14ac:dyDescent="0.35">
      <c r="B16" s="261"/>
    </row>
    <row r="17" spans="1:4" x14ac:dyDescent="0.35">
      <c r="B17" s="261"/>
    </row>
    <row r="18" spans="1:4" x14ac:dyDescent="0.35">
      <c r="B18" s="261"/>
    </row>
    <row r="19" spans="1:4" x14ac:dyDescent="0.35">
      <c r="B19" s="258" t="s">
        <v>267</v>
      </c>
      <c r="C19" s="194">
        <v>1435250</v>
      </c>
    </row>
    <row r="20" spans="1:4" x14ac:dyDescent="0.35">
      <c r="B20" s="258" t="s">
        <v>905</v>
      </c>
      <c r="C20" s="194">
        <v>662350</v>
      </c>
    </row>
    <row r="21" spans="1:4" s="90" customFormat="1" x14ac:dyDescent="0.35">
      <c r="B21" s="274" t="s">
        <v>972</v>
      </c>
      <c r="C21" s="195">
        <f>+C19+C20</f>
        <v>2097600</v>
      </c>
      <c r="D21" s="553"/>
    </row>
    <row r="24" spans="1:4" x14ac:dyDescent="0.35">
      <c r="B24" s="274" t="s">
        <v>7</v>
      </c>
      <c r="C24" s="1052" t="s">
        <v>272</v>
      </c>
      <c r="D24" s="1109" t="s">
        <v>200</v>
      </c>
    </row>
    <row r="25" spans="1:4" x14ac:dyDescent="0.35">
      <c r="A25" s="771">
        <v>1</v>
      </c>
      <c r="B25" s="258" t="s">
        <v>10</v>
      </c>
      <c r="C25" s="194">
        <f>2852.06*1.15</f>
        <v>3279.8689999999997</v>
      </c>
      <c r="D25" s="598">
        <v>30000</v>
      </c>
    </row>
    <row r="26" spans="1:4" x14ac:dyDescent="0.35">
      <c r="A26" s="771">
        <v>2</v>
      </c>
      <c r="B26" s="258" t="s">
        <v>16</v>
      </c>
      <c r="C26" s="194">
        <f>2554.7*1.1</f>
        <v>2810.17</v>
      </c>
      <c r="D26" s="598">
        <v>30000</v>
      </c>
    </row>
    <row r="27" spans="1:4" x14ac:dyDescent="0.35">
      <c r="A27" s="771">
        <v>3</v>
      </c>
      <c r="B27" s="258" t="s">
        <v>0</v>
      </c>
      <c r="C27" s="194">
        <v>3945.6</v>
      </c>
      <c r="D27" s="598">
        <v>30000</v>
      </c>
    </row>
    <row r="28" spans="1:4" x14ac:dyDescent="0.35">
      <c r="A28" s="176">
        <v>4</v>
      </c>
      <c r="B28" s="258" t="s">
        <v>267</v>
      </c>
      <c r="C28" s="194">
        <v>2754</v>
      </c>
      <c r="D28" s="598">
        <v>30000</v>
      </c>
    </row>
    <row r="29" spans="1:4" x14ac:dyDescent="0.35">
      <c r="A29" s="176">
        <v>5</v>
      </c>
      <c r="B29" s="258" t="s">
        <v>245</v>
      </c>
      <c r="C29" s="194">
        <f>2383.75*1.1</f>
        <v>2622.125</v>
      </c>
      <c r="D29" s="598">
        <v>30000</v>
      </c>
    </row>
    <row r="30" spans="1:4" x14ac:dyDescent="0.35">
      <c r="A30" s="176">
        <v>6</v>
      </c>
      <c r="B30" s="258" t="s">
        <v>463</v>
      </c>
      <c r="C30" s="194">
        <v>2718.75</v>
      </c>
      <c r="D30" s="598">
        <v>30000</v>
      </c>
    </row>
    <row r="31" spans="1:4" x14ac:dyDescent="0.35">
      <c r="A31" s="176">
        <v>7</v>
      </c>
      <c r="B31" s="258" t="s">
        <v>553</v>
      </c>
      <c r="C31" s="194">
        <f>2383.75*1.1</f>
        <v>2622.125</v>
      </c>
      <c r="D31" s="598">
        <v>30000</v>
      </c>
    </row>
    <row r="32" spans="1:4" x14ac:dyDescent="0.35">
      <c r="A32" s="176">
        <v>8</v>
      </c>
      <c r="B32" s="258" t="s">
        <v>260</v>
      </c>
      <c r="C32" s="194">
        <v>3204.3</v>
      </c>
      <c r="D32" s="598">
        <v>30000</v>
      </c>
    </row>
    <row r="33" spans="1:4" x14ac:dyDescent="0.35">
      <c r="A33" s="176">
        <v>9</v>
      </c>
      <c r="B33" s="258" t="s">
        <v>613</v>
      </c>
      <c r="C33" s="194">
        <v>3204.3</v>
      </c>
      <c r="D33" s="598">
        <v>30000</v>
      </c>
    </row>
    <row r="34" spans="1:4" x14ac:dyDescent="0.35">
      <c r="A34" s="176">
        <v>10</v>
      </c>
      <c r="B34" s="258" t="s">
        <v>871</v>
      </c>
      <c r="C34" s="194"/>
      <c r="D34" s="598"/>
    </row>
    <row r="35" spans="1:4" x14ac:dyDescent="0.35">
      <c r="A35" s="176">
        <v>11</v>
      </c>
      <c r="B35" s="315" t="s">
        <v>905</v>
      </c>
      <c r="C35" s="194">
        <v>2175</v>
      </c>
      <c r="D35" s="598">
        <v>30000</v>
      </c>
    </row>
    <row r="36" spans="1:4" x14ac:dyDescent="0.35">
      <c r="A36" s="176">
        <v>12</v>
      </c>
      <c r="B36" s="1108" t="s">
        <v>15</v>
      </c>
      <c r="C36" s="204"/>
      <c r="D36" s="205"/>
    </row>
    <row r="37" spans="1:4" x14ac:dyDescent="0.35">
      <c r="B37" s="1121"/>
      <c r="C37" s="204"/>
      <c r="D37" s="205"/>
    </row>
    <row r="39" spans="1:4" x14ac:dyDescent="0.35">
      <c r="A39" s="701" t="s">
        <v>106</v>
      </c>
      <c r="B39" s="702" t="s">
        <v>873</v>
      </c>
      <c r="C39" s="1013" t="s">
        <v>803</v>
      </c>
      <c r="D39" s="1092" t="s">
        <v>7</v>
      </c>
    </row>
    <row r="40" spans="1:4" x14ac:dyDescent="0.35">
      <c r="A40" s="703">
        <v>15</v>
      </c>
      <c r="B40" s="703">
        <v>9</v>
      </c>
      <c r="C40" s="964">
        <f>+A40*B40</f>
        <v>135</v>
      </c>
      <c r="D40" s="593" t="s">
        <v>874</v>
      </c>
    </row>
    <row r="41" spans="1:4" x14ac:dyDescent="0.35">
      <c r="A41" s="703">
        <v>5</v>
      </c>
      <c r="B41" s="703">
        <v>8</v>
      </c>
      <c r="C41" s="964">
        <f>+A41*B41</f>
        <v>40</v>
      </c>
      <c r="D41" s="593" t="s">
        <v>117</v>
      </c>
    </row>
    <row r="42" spans="1:4" x14ac:dyDescent="0.35">
      <c r="A42" s="703">
        <v>1</v>
      </c>
      <c r="B42" s="703">
        <v>8</v>
      </c>
      <c r="C42" s="964">
        <f>+A42*B42</f>
        <v>8</v>
      </c>
      <c r="D42" s="593" t="s">
        <v>111</v>
      </c>
    </row>
    <row r="43" spans="1:4" x14ac:dyDescent="0.35">
      <c r="A43" s="568"/>
      <c r="B43" s="773"/>
      <c r="C43" s="964">
        <f>+C40+C41+C42</f>
        <v>183</v>
      </c>
      <c r="D43" s="593" t="s">
        <v>924</v>
      </c>
    </row>
  </sheetData>
  <pageMargins left="0.7" right="0.7" top="0.75" bottom="0.75" header="0.3" footer="0.3"/>
  <pageSetup paperSize="9" scale="94" fitToHeight="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B589-6F16-4124-8E3E-4BB126FF4896}">
  <sheetPr>
    <pageSetUpPr fitToPage="1"/>
  </sheetPr>
  <dimension ref="A1:S177"/>
  <sheetViews>
    <sheetView topLeftCell="A96" zoomScaleNormal="100" workbookViewId="0">
      <selection activeCell="E158" sqref="E158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45627</v>
      </c>
    </row>
    <row r="3" spans="1:18" ht="25.5" customHeight="1" x14ac:dyDescent="0.35">
      <c r="A3" s="1466" t="s">
        <v>936</v>
      </c>
      <c r="B3" s="1431"/>
      <c r="C3" s="1431"/>
      <c r="D3" s="1431"/>
    </row>
    <row r="4" spans="1:18" s="1130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167</v>
      </c>
      <c r="C5" s="227">
        <f>2417*1.18*1.15</f>
        <v>3279.8689999999997</v>
      </c>
      <c r="D5" s="598">
        <f>+B5*C5</f>
        <v>547738.12299999991</v>
      </c>
      <c r="E5" s="564"/>
      <c r="Q5" s="1130"/>
    </row>
    <row r="6" spans="1:18" ht="18" customHeight="1" x14ac:dyDescent="0.35">
      <c r="A6" s="772" t="s">
        <v>860</v>
      </c>
      <c r="B6" s="258">
        <v>8</v>
      </c>
      <c r="C6" s="227">
        <f>+C5</f>
        <v>3279.8689999999997</v>
      </c>
      <c r="D6" s="598">
        <f>+B6*C6</f>
        <v>26238.951999999997</v>
      </c>
      <c r="E6" s="564"/>
      <c r="F6" s="176"/>
      <c r="Q6" s="774"/>
    </row>
    <row r="7" spans="1:18" s="90" customFormat="1" ht="18" customHeight="1" x14ac:dyDescent="0.35">
      <c r="A7" s="141" t="s">
        <v>935</v>
      </c>
      <c r="B7" s="274">
        <v>56</v>
      </c>
      <c r="C7" s="195">
        <f>+C5</f>
        <v>3279.8689999999997</v>
      </c>
      <c r="D7" s="1017">
        <f>+B7*C7</f>
        <v>183672.66399999999</v>
      </c>
      <c r="E7" s="564"/>
      <c r="F7" s="728"/>
      <c r="Q7" s="553"/>
    </row>
    <row r="8" spans="1:18" ht="18" customHeight="1" x14ac:dyDescent="0.35">
      <c r="A8" s="772" t="s">
        <v>196</v>
      </c>
      <c r="B8" s="258"/>
      <c r="C8" s="227">
        <v>30000</v>
      </c>
      <c r="D8" s="598">
        <f>+C8</f>
        <v>30000</v>
      </c>
      <c r="E8" s="564"/>
      <c r="F8" s="176"/>
    </row>
    <row r="9" spans="1:18" ht="18" customHeight="1" x14ac:dyDescent="0.35">
      <c r="A9" s="772" t="s">
        <v>6</v>
      </c>
      <c r="B9" s="258"/>
      <c r="C9" s="227">
        <v>70000</v>
      </c>
      <c r="D9" s="598">
        <v>70000</v>
      </c>
      <c r="E9" s="564"/>
      <c r="F9" s="176"/>
    </row>
    <row r="10" spans="1:18" ht="18" customHeight="1" x14ac:dyDescent="0.35">
      <c r="A10" s="772" t="s">
        <v>467</v>
      </c>
      <c r="B10" s="258">
        <v>8</v>
      </c>
      <c r="C10" s="194">
        <f>+C5*1.5</f>
        <v>4919.8035</v>
      </c>
      <c r="D10" s="598">
        <f>+B10*C10</f>
        <v>39358.428</v>
      </c>
      <c r="E10" s="564"/>
      <c r="F10" s="176"/>
    </row>
    <row r="11" spans="1:18" ht="18" customHeight="1" x14ac:dyDescent="0.35">
      <c r="A11" s="772" t="s">
        <v>281</v>
      </c>
      <c r="B11" s="258"/>
      <c r="C11" s="194">
        <f>+C5*2</f>
        <v>6559.7379999999994</v>
      </c>
      <c r="D11" s="598">
        <f>+B11*C11</f>
        <v>0</v>
      </c>
      <c r="E11" s="564"/>
      <c r="F11" s="176"/>
    </row>
    <row r="12" spans="1:18" s="90" customFormat="1" ht="18" customHeight="1" x14ac:dyDescent="0.35">
      <c r="A12" s="141" t="s">
        <v>953</v>
      </c>
      <c r="B12" s="274"/>
      <c r="C12" s="195">
        <v>448500</v>
      </c>
      <c r="D12" s="1017">
        <f>+C12</f>
        <v>448500</v>
      </c>
      <c r="E12" s="1042"/>
      <c r="F12" s="728"/>
      <c r="R12" s="1140"/>
    </row>
    <row r="13" spans="1:18" ht="18" customHeight="1" x14ac:dyDescent="0.35">
      <c r="A13" s="1432" t="s">
        <v>389</v>
      </c>
      <c r="B13" s="1432"/>
      <c r="C13" s="1432"/>
      <c r="D13" s="599">
        <f>+D5+D6+D7+D8+D9+D10+D11+D12</f>
        <v>1345508.1669999999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130"/>
    </row>
    <row r="14" spans="1:18" ht="18" customHeight="1" x14ac:dyDescent="0.35">
      <c r="A14" s="1135" t="s">
        <v>964</v>
      </c>
      <c r="B14" s="1132"/>
      <c r="C14" s="1132"/>
      <c r="D14" s="599">
        <v>300000</v>
      </c>
      <c r="E14" s="553"/>
      <c r="F14" s="248"/>
      <c r="G14" s="248"/>
      <c r="H14" s="248"/>
      <c r="I14" s="248"/>
      <c r="J14" s="248"/>
      <c r="K14" s="248"/>
      <c r="L14" s="248"/>
      <c r="M14" s="248"/>
      <c r="O14" s="1130"/>
    </row>
    <row r="15" spans="1:18" ht="18" customHeight="1" x14ac:dyDescent="0.35">
      <c r="A15" s="800" t="s">
        <v>965</v>
      </c>
      <c r="B15" s="720"/>
      <c r="C15" s="720"/>
      <c r="D15" s="722">
        <v>-310000</v>
      </c>
      <c r="E15" s="553"/>
      <c r="F15" s="248"/>
      <c r="G15" s="248"/>
      <c r="H15" s="248"/>
      <c r="I15" s="248"/>
      <c r="J15" s="248"/>
      <c r="K15" s="248"/>
      <c r="L15" s="248"/>
      <c r="M15" s="248"/>
      <c r="O15" s="1130"/>
    </row>
    <row r="16" spans="1:18" ht="18" customHeight="1" x14ac:dyDescent="0.35">
      <c r="A16" s="1141" t="s">
        <v>954</v>
      </c>
      <c r="B16" s="721"/>
      <c r="C16" s="905"/>
      <c r="D16" s="722">
        <v>-154950</v>
      </c>
      <c r="E16" s="553"/>
      <c r="F16" s="248"/>
      <c r="G16" s="248"/>
      <c r="H16" s="248"/>
      <c r="I16" s="248"/>
      <c r="J16" s="248"/>
      <c r="K16" s="248"/>
      <c r="L16" s="248"/>
      <c r="M16" s="248"/>
      <c r="O16" s="1130"/>
    </row>
    <row r="17" spans="1:19" ht="18" customHeight="1" x14ac:dyDescent="0.35">
      <c r="A17" s="1433" t="s">
        <v>11</v>
      </c>
      <c r="B17" s="1433"/>
      <c r="C17" s="1433"/>
      <c r="D17" s="603">
        <f>+D13+D14+D15+D16</f>
        <v>1180558.1669999999</v>
      </c>
      <c r="E17" s="553"/>
      <c r="F17" s="321"/>
      <c r="G17" s="321"/>
      <c r="H17" s="473"/>
      <c r="I17" s="321"/>
      <c r="J17" s="321"/>
      <c r="Q17" s="1130"/>
    </row>
    <row r="18" spans="1:19" ht="18" customHeight="1" x14ac:dyDescent="0.35">
      <c r="A18" s="1053"/>
      <c r="B18" s="1054"/>
      <c r="C18" s="1054"/>
      <c r="D18" s="1055"/>
      <c r="F18" s="321"/>
      <c r="G18" s="321"/>
      <c r="H18" s="473"/>
      <c r="I18" s="321"/>
      <c r="J18" s="321"/>
      <c r="Q18" s="1130"/>
    </row>
    <row r="19" spans="1:19" s="908" customFormat="1" ht="18" customHeight="1" x14ac:dyDescent="0.35">
      <c r="A19" s="689"/>
      <c r="B19" s="689"/>
      <c r="C19" s="689"/>
      <c r="D19" s="688"/>
      <c r="E19" s="1044"/>
      <c r="I19" s="910"/>
      <c r="J19" s="911"/>
      <c r="K19" s="912"/>
      <c r="L19" s="912"/>
      <c r="M19" s="910"/>
      <c r="N19" s="910"/>
      <c r="O19" s="910"/>
      <c r="P19" s="764"/>
      <c r="S19" s="764"/>
    </row>
    <row r="20" spans="1:19" ht="18" customHeight="1" x14ac:dyDescent="0.45">
      <c r="A20" s="1450" t="s">
        <v>937</v>
      </c>
      <c r="B20" s="1451"/>
      <c r="C20" s="1451"/>
      <c r="D20" s="1452"/>
      <c r="E20" s="1045"/>
      <c r="J20" s="185"/>
      <c r="K20" s="181"/>
      <c r="L20" s="181"/>
      <c r="M20" s="181"/>
      <c r="N20" s="181"/>
    </row>
    <row r="21" spans="1:19" ht="18" customHeight="1" x14ac:dyDescent="0.35">
      <c r="A21" s="604" t="s">
        <v>7</v>
      </c>
      <c r="B21" s="605" t="s">
        <v>8</v>
      </c>
      <c r="C21" s="606" t="s">
        <v>4</v>
      </c>
      <c r="D21" s="606" t="s">
        <v>9</v>
      </c>
      <c r="E21" s="564"/>
      <c r="J21" s="185"/>
      <c r="K21" s="181"/>
      <c r="L21" s="181"/>
      <c r="M21" s="184"/>
    </row>
    <row r="22" spans="1:19" ht="18" customHeight="1" x14ac:dyDescent="0.35">
      <c r="A22" s="607" t="s">
        <v>3</v>
      </c>
      <c r="B22" s="267">
        <v>132</v>
      </c>
      <c r="C22" s="211">
        <f>2165*1.18*1.1</f>
        <v>2810.17</v>
      </c>
      <c r="D22" s="211">
        <f>+B22*C22</f>
        <v>370942.44</v>
      </c>
      <c r="E22" s="564"/>
      <c r="J22" s="182"/>
    </row>
    <row r="23" spans="1:19" ht="18" customHeight="1" x14ac:dyDescent="0.35">
      <c r="A23" s="607" t="s">
        <v>111</v>
      </c>
      <c r="B23" s="267">
        <v>0</v>
      </c>
      <c r="C23" s="211">
        <f>+C22</f>
        <v>2810.17</v>
      </c>
      <c r="D23" s="211">
        <f>+B23*C23</f>
        <v>0</v>
      </c>
      <c r="E23" s="564"/>
      <c r="J23" s="182"/>
    </row>
    <row r="24" spans="1:19" s="90" customFormat="1" ht="18" customHeight="1" x14ac:dyDescent="0.35">
      <c r="A24" s="1142" t="s">
        <v>946</v>
      </c>
      <c r="B24" s="1143">
        <f>21*8</f>
        <v>168</v>
      </c>
      <c r="C24" s="782">
        <f>+C22</f>
        <v>2810.17</v>
      </c>
      <c r="D24" s="782">
        <f>+B24*C24</f>
        <v>472108.56</v>
      </c>
      <c r="E24" s="564"/>
      <c r="J24" s="1144"/>
    </row>
    <row r="25" spans="1:19" ht="18" customHeight="1" x14ac:dyDescent="0.35">
      <c r="A25" s="772" t="s">
        <v>196</v>
      </c>
      <c r="B25" s="267"/>
      <c r="C25" s="211">
        <v>30000</v>
      </c>
      <c r="D25" s="211">
        <f>+C25</f>
        <v>30000</v>
      </c>
      <c r="E25" s="564"/>
      <c r="I25" s="1130"/>
    </row>
    <row r="26" spans="1:19" ht="18" customHeight="1" x14ac:dyDescent="0.35">
      <c r="A26" s="772" t="s">
        <v>6</v>
      </c>
      <c r="B26" s="267"/>
      <c r="C26" s="211">
        <v>50000</v>
      </c>
      <c r="D26" s="211">
        <f>+C26</f>
        <v>50000</v>
      </c>
      <c r="E26" s="564"/>
      <c r="I26" s="1130"/>
    </row>
    <row r="27" spans="1:19" ht="18" customHeight="1" x14ac:dyDescent="0.35">
      <c r="A27" s="772" t="s">
        <v>468</v>
      </c>
      <c r="B27" s="267">
        <v>12.5</v>
      </c>
      <c r="C27" s="211">
        <f>+C22*1.5</f>
        <v>4215.2550000000001</v>
      </c>
      <c r="D27" s="211">
        <f>B27*C27</f>
        <v>52690.6875</v>
      </c>
      <c r="E27" s="1043"/>
      <c r="F27" s="181"/>
      <c r="G27" s="187"/>
      <c r="H27" s="188"/>
      <c r="I27" s="1130"/>
      <c r="L27" s="1130"/>
    </row>
    <row r="28" spans="1:19" ht="18" customHeight="1" x14ac:dyDescent="0.35">
      <c r="A28" s="772" t="s">
        <v>281</v>
      </c>
      <c r="B28" s="267">
        <v>0</v>
      </c>
      <c r="C28" s="211">
        <f>+C22*2</f>
        <v>5620.34</v>
      </c>
      <c r="D28" s="211">
        <f>+B28*C28</f>
        <v>0</v>
      </c>
      <c r="E28" s="1043"/>
      <c r="F28" s="181"/>
      <c r="G28" s="187"/>
      <c r="H28" s="188"/>
      <c r="I28" s="1130"/>
      <c r="L28" s="1130"/>
    </row>
    <row r="29" spans="1:19" s="90" customFormat="1" ht="18" customHeight="1" x14ac:dyDescent="0.35">
      <c r="A29" s="141" t="s">
        <v>955</v>
      </c>
      <c r="B29" s="1143"/>
      <c r="C29" s="782">
        <v>487900</v>
      </c>
      <c r="D29" s="782">
        <f>+C29</f>
        <v>487900</v>
      </c>
      <c r="E29" s="1043"/>
      <c r="F29" s="1153"/>
      <c r="G29" s="188"/>
      <c r="H29" s="188"/>
      <c r="I29" s="1140"/>
      <c r="L29" s="1140"/>
    </row>
    <row r="30" spans="1:19" s="1130" customFormat="1" ht="18" customHeight="1" x14ac:dyDescent="0.35">
      <c r="A30" s="1463" t="s">
        <v>389</v>
      </c>
      <c r="B30" s="1464"/>
      <c r="C30" s="1465"/>
      <c r="D30" s="599">
        <f>+D22+D23+D24+D25+D26+D27+D28+D29</f>
        <v>1463641.6875</v>
      </c>
      <c r="E30" s="553"/>
      <c r="F30" s="181"/>
      <c r="G30" s="181"/>
      <c r="H30" s="184"/>
      <c r="I30" s="771"/>
      <c r="K30" s="771"/>
      <c r="L30" s="771"/>
    </row>
    <row r="31" spans="1:19" s="1131" customFormat="1" ht="18" customHeight="1" x14ac:dyDescent="0.35">
      <c r="A31" s="129" t="s">
        <v>964</v>
      </c>
      <c r="B31" s="749"/>
      <c r="C31" s="1072" t="s">
        <v>63</v>
      </c>
      <c r="D31" s="749">
        <v>300000</v>
      </c>
      <c r="E31" s="553"/>
      <c r="F31" s="184"/>
      <c r="G31" s="184"/>
      <c r="H31" s="184"/>
      <c r="I31" s="90"/>
      <c r="K31" s="90"/>
      <c r="L31" s="90"/>
    </row>
    <row r="32" spans="1:19" s="1130" customFormat="1" ht="18" customHeight="1" x14ac:dyDescent="0.35">
      <c r="A32" s="825" t="s">
        <v>374</v>
      </c>
      <c r="B32" s="824" t="s">
        <v>63</v>
      </c>
      <c r="C32" s="823"/>
      <c r="D32" s="930">
        <v>0</v>
      </c>
      <c r="E32" s="1042"/>
      <c r="F32" s="181"/>
      <c r="G32" s="181"/>
      <c r="H32" s="184"/>
      <c r="I32" s="771"/>
      <c r="K32" s="771"/>
      <c r="L32" s="771"/>
    </row>
    <row r="33" spans="1:17" s="1130" customFormat="1" ht="18" customHeight="1" x14ac:dyDescent="0.35">
      <c r="A33" s="825"/>
      <c r="B33" s="824"/>
      <c r="C33" s="823"/>
      <c r="D33" s="930"/>
      <c r="E33" s="1042"/>
      <c r="F33" s="181"/>
      <c r="G33" s="181"/>
      <c r="H33" s="184"/>
      <c r="I33" s="771"/>
      <c r="K33" s="771"/>
      <c r="L33" s="771"/>
    </row>
    <row r="34" spans="1:17" ht="18" customHeight="1" x14ac:dyDescent="0.35">
      <c r="A34" s="786" t="s">
        <v>11</v>
      </c>
      <c r="B34" s="783"/>
      <c r="C34" s="783"/>
      <c r="D34" s="784">
        <f>+D30+D31+D32+D33</f>
        <v>1763641.6875</v>
      </c>
      <c r="E34" s="553"/>
      <c r="F34" s="181"/>
      <c r="G34" s="181"/>
      <c r="H34" s="184"/>
    </row>
    <row r="35" spans="1:17" ht="18" customHeight="1" x14ac:dyDescent="0.35">
      <c r="A35" s="1047"/>
      <c r="B35" s="594"/>
      <c r="C35" s="594"/>
      <c r="D35" s="595"/>
      <c r="F35" s="181"/>
      <c r="G35" s="181"/>
      <c r="H35" s="184"/>
    </row>
    <row r="36" spans="1:17" ht="18" customHeight="1" x14ac:dyDescent="0.35">
      <c r="A36" s="594"/>
      <c r="B36" s="594"/>
      <c r="C36" s="594"/>
      <c r="D36" s="595"/>
      <c r="F36" s="181"/>
      <c r="G36" s="181"/>
      <c r="H36" s="184"/>
    </row>
    <row r="37" spans="1:17" ht="18" customHeight="1" x14ac:dyDescent="0.35">
      <c r="A37" s="1442" t="s">
        <v>938</v>
      </c>
      <c r="B37" s="1443"/>
      <c r="C37" s="1443"/>
      <c r="D37" s="1444"/>
      <c r="F37" s="181"/>
      <c r="G37" s="181"/>
      <c r="H37" s="184"/>
    </row>
    <row r="38" spans="1:17" ht="18" customHeight="1" x14ac:dyDescent="0.35">
      <c r="A38" s="2"/>
      <c r="B38" s="270" t="s">
        <v>8</v>
      </c>
      <c r="C38" s="217" t="s">
        <v>4</v>
      </c>
      <c r="D38" s="597" t="s">
        <v>9</v>
      </c>
      <c r="F38" s="181"/>
      <c r="G38" s="181"/>
      <c r="H38" s="184"/>
    </row>
    <row r="39" spans="1:17" ht="18" customHeight="1" x14ac:dyDescent="0.35">
      <c r="A39" s="772" t="s">
        <v>253</v>
      </c>
      <c r="B39" s="258">
        <v>167</v>
      </c>
      <c r="C39" s="194">
        <f>3288*1.2</f>
        <v>3945.6</v>
      </c>
      <c r="D39" s="598">
        <f>+B39*C39</f>
        <v>658915.19999999995</v>
      </c>
      <c r="E39" s="564"/>
      <c r="F39" s="181"/>
      <c r="G39" s="181"/>
      <c r="H39" s="184"/>
    </row>
    <row r="40" spans="1:17" ht="18" customHeight="1" x14ac:dyDescent="0.35">
      <c r="A40" s="772" t="s">
        <v>403</v>
      </c>
      <c r="B40" s="258">
        <v>8</v>
      </c>
      <c r="C40" s="194">
        <f>+C39</f>
        <v>3945.6</v>
      </c>
      <c r="D40" s="598">
        <f>+B40*C40</f>
        <v>31564.799999999999</v>
      </c>
      <c r="E40" s="564"/>
      <c r="F40" s="181"/>
      <c r="G40" s="181"/>
      <c r="H40" s="184"/>
    </row>
    <row r="41" spans="1:17" s="90" customFormat="1" ht="18" customHeight="1" x14ac:dyDescent="0.35">
      <c r="A41" s="141" t="s">
        <v>935</v>
      </c>
      <c r="B41" s="274">
        <v>56</v>
      </c>
      <c r="C41" s="195">
        <f>+C39</f>
        <v>3945.6</v>
      </c>
      <c r="D41" s="1017">
        <f>+B41*C41</f>
        <v>220953.60000000001</v>
      </c>
      <c r="E41" s="564"/>
      <c r="F41" s="184"/>
      <c r="G41" s="184"/>
      <c r="H41" s="184"/>
    </row>
    <row r="42" spans="1:17" ht="15" customHeight="1" x14ac:dyDescent="0.35">
      <c r="A42" s="772" t="s">
        <v>196</v>
      </c>
      <c r="B42" s="258"/>
      <c r="C42" s="194">
        <v>30000</v>
      </c>
      <c r="D42" s="598">
        <f>+C42</f>
        <v>30000</v>
      </c>
      <c r="E42" s="564"/>
      <c r="F42" s="181"/>
      <c r="G42" s="181"/>
      <c r="H42" s="184"/>
      <c r="I42" s="1130"/>
    </row>
    <row r="43" spans="1:17" ht="15" customHeight="1" x14ac:dyDescent="0.35">
      <c r="A43" s="772" t="s">
        <v>6</v>
      </c>
      <c r="B43" s="258"/>
      <c r="C43" s="194">
        <v>70000</v>
      </c>
      <c r="D43" s="598">
        <f>+C43</f>
        <v>70000</v>
      </c>
      <c r="E43" s="564"/>
      <c r="F43" s="181"/>
      <c r="G43" s="181"/>
      <c r="H43" s="184"/>
      <c r="I43" s="1130"/>
    </row>
    <row r="44" spans="1:17" ht="15" customHeight="1" x14ac:dyDescent="0.35">
      <c r="A44" s="772" t="s">
        <v>195</v>
      </c>
      <c r="B44" s="315">
        <v>13</v>
      </c>
      <c r="C44" s="194">
        <f>+C39*1.5</f>
        <v>5918.4</v>
      </c>
      <c r="D44" s="598">
        <f>+B44*C44</f>
        <v>76939.199999999997</v>
      </c>
      <c r="F44" s="181"/>
      <c r="G44" s="181"/>
      <c r="H44" s="184"/>
      <c r="I44" s="1130"/>
    </row>
    <row r="45" spans="1:17" ht="15" customHeight="1" x14ac:dyDescent="0.35">
      <c r="A45" s="772" t="s">
        <v>449</v>
      </c>
      <c r="B45" s="315">
        <v>0</v>
      </c>
      <c r="C45" s="194">
        <f>+C39*2</f>
        <v>7891.2</v>
      </c>
      <c r="D45" s="598">
        <f>+B45*C45</f>
        <v>0</v>
      </c>
      <c r="E45" s="553"/>
      <c r="F45" s="181"/>
      <c r="G45" s="416"/>
      <c r="H45" s="184"/>
      <c r="I45" s="1130"/>
    </row>
    <row r="46" spans="1:17" s="90" customFormat="1" ht="15" customHeight="1" x14ac:dyDescent="0.35">
      <c r="A46" s="141" t="s">
        <v>956</v>
      </c>
      <c r="B46" s="1016"/>
      <c r="C46" s="195">
        <v>544200</v>
      </c>
      <c r="D46" s="1017">
        <f>+C46</f>
        <v>544200</v>
      </c>
      <c r="E46" s="553"/>
      <c r="F46" s="184"/>
      <c r="G46" s="184"/>
      <c r="H46" s="184"/>
      <c r="I46" s="1140"/>
    </row>
    <row r="47" spans="1:17" ht="15" customHeight="1" x14ac:dyDescent="0.35">
      <c r="A47" s="1463" t="s">
        <v>389</v>
      </c>
      <c r="B47" s="1464"/>
      <c r="C47" s="1465"/>
      <c r="D47" s="599">
        <f>+D39+D40+D41+D42+D43+D44+D45+D46</f>
        <v>1632572.8</v>
      </c>
      <c r="E47" s="553"/>
      <c r="J47" s="176"/>
      <c r="K47" s="176"/>
      <c r="L47" s="176"/>
      <c r="M47" s="181"/>
      <c r="N47" s="181"/>
      <c r="O47" s="184"/>
      <c r="Q47" s="1130"/>
    </row>
    <row r="48" spans="1:17" ht="15" customHeight="1" x14ac:dyDescent="0.35">
      <c r="A48" s="1136" t="s">
        <v>966</v>
      </c>
      <c r="B48" s="1133"/>
      <c r="C48" s="1134"/>
      <c r="D48" s="599">
        <v>300000</v>
      </c>
      <c r="E48" s="553"/>
      <c r="J48" s="176"/>
      <c r="K48" s="176"/>
      <c r="L48" s="176"/>
      <c r="M48" s="181"/>
      <c r="N48" s="181"/>
      <c r="O48" s="184"/>
      <c r="Q48" s="1130"/>
    </row>
    <row r="49" spans="1:19" s="1130" customFormat="1" ht="15" customHeight="1" x14ac:dyDescent="0.35">
      <c r="A49" s="921" t="s">
        <v>630</v>
      </c>
      <c r="B49" s="727" t="s">
        <v>63</v>
      </c>
      <c r="C49" s="727" t="s">
        <v>63</v>
      </c>
      <c r="D49" s="722">
        <v>-315800</v>
      </c>
      <c r="E49" s="1043"/>
      <c r="F49" s="774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139" customFormat="1" ht="15" customHeight="1" x14ac:dyDescent="0.35">
      <c r="A50" s="921" t="s">
        <v>957</v>
      </c>
      <c r="B50" s="727"/>
      <c r="C50" s="727"/>
      <c r="D50" s="722">
        <v>-157850</v>
      </c>
      <c r="E50" s="1043"/>
      <c r="F50" s="771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s="1130" customFormat="1" ht="15" customHeight="1" x14ac:dyDescent="0.35">
      <c r="A51" s="1103" t="s">
        <v>11</v>
      </c>
      <c r="B51" s="1104"/>
      <c r="C51" s="197"/>
      <c r="D51" s="675">
        <f>+D47+D48+D49+D50</f>
        <v>1458922.8</v>
      </c>
      <c r="E51" s="1025"/>
      <c r="F51" s="771"/>
      <c r="G51" s="771"/>
      <c r="H51" s="771"/>
      <c r="I51" s="771"/>
      <c r="J51" s="176"/>
      <c r="K51" s="176"/>
      <c r="L51" s="176"/>
      <c r="M51" s="176"/>
      <c r="N51" s="176"/>
      <c r="O51" s="176"/>
      <c r="P51" s="771"/>
      <c r="Q51" s="771"/>
      <c r="R51" s="771"/>
      <c r="S51" s="771"/>
    </row>
    <row r="52" spans="1:19" ht="15" customHeight="1" x14ac:dyDescent="0.35">
      <c r="A52" s="90"/>
      <c r="B52" s="771"/>
      <c r="C52" s="771"/>
      <c r="D52" s="771"/>
      <c r="K52" s="183"/>
      <c r="L52" s="183"/>
      <c r="M52" s="176"/>
      <c r="N52" s="176"/>
      <c r="O52" s="176"/>
      <c r="Q52" s="1130"/>
    </row>
    <row r="53" spans="1:19" ht="15" customHeight="1" x14ac:dyDescent="0.35">
      <c r="B53" s="771"/>
      <c r="C53" s="771"/>
      <c r="D53" s="774" t="s">
        <v>63</v>
      </c>
    </row>
    <row r="54" spans="1:19" ht="15" customHeight="1" x14ac:dyDescent="0.35">
      <c r="A54" s="1442" t="s">
        <v>939</v>
      </c>
      <c r="B54" s="1443"/>
      <c r="C54" s="1443"/>
      <c r="D54" s="1444"/>
      <c r="S54" s="1130"/>
    </row>
    <row r="55" spans="1:19" x14ac:dyDescent="0.35">
      <c r="A55" s="2" t="s">
        <v>7</v>
      </c>
      <c r="B55" s="270" t="s">
        <v>8</v>
      </c>
      <c r="C55" s="217" t="s">
        <v>4</v>
      </c>
      <c r="D55" s="597" t="s">
        <v>9</v>
      </c>
    </row>
    <row r="56" spans="1:19" x14ac:dyDescent="0.35">
      <c r="A56" s="772" t="s">
        <v>501</v>
      </c>
      <c r="B56" s="258">
        <v>167</v>
      </c>
      <c r="C56" s="227">
        <f>2295*1.2</f>
        <v>2754</v>
      </c>
      <c r="D56" s="598">
        <f>+B56*C56</f>
        <v>459918</v>
      </c>
      <c r="E56" s="564"/>
    </row>
    <row r="57" spans="1:19" x14ac:dyDescent="0.35">
      <c r="A57" s="772" t="s">
        <v>861</v>
      </c>
      <c r="B57" s="258">
        <v>8</v>
      </c>
      <c r="C57" s="227">
        <f>+C56</f>
        <v>2754</v>
      </c>
      <c r="D57" s="598">
        <f>+B57*C57</f>
        <v>22032</v>
      </c>
      <c r="E57" s="564"/>
    </row>
    <row r="58" spans="1:19" s="90" customFormat="1" x14ac:dyDescent="0.35">
      <c r="A58" s="141" t="str">
        <f>$A$41</f>
        <v>VACACIONES 2024 (7D)</v>
      </c>
      <c r="B58" s="274">
        <v>56</v>
      </c>
      <c r="C58" s="195">
        <f>+C56</f>
        <v>2754</v>
      </c>
      <c r="D58" s="1017">
        <f>+B58*C58</f>
        <v>154224</v>
      </c>
      <c r="E58" s="564"/>
    </row>
    <row r="59" spans="1:19" x14ac:dyDescent="0.35">
      <c r="A59" s="772" t="s">
        <v>490</v>
      </c>
      <c r="B59" s="258"/>
      <c r="C59" s="227">
        <v>30000</v>
      </c>
      <c r="D59" s="598">
        <f>+C59</f>
        <v>30000</v>
      </c>
      <c r="E59" s="564"/>
    </row>
    <row r="60" spans="1:19" x14ac:dyDescent="0.35">
      <c r="A60" s="772" t="s">
        <v>489</v>
      </c>
      <c r="B60" s="258"/>
      <c r="C60" s="227">
        <v>70000</v>
      </c>
      <c r="D60" s="598">
        <f>+C60</f>
        <v>70000</v>
      </c>
      <c r="E60" s="564"/>
    </row>
    <row r="61" spans="1:19" x14ac:dyDescent="0.35">
      <c r="A61" s="772" t="s">
        <v>195</v>
      </c>
      <c r="B61" s="258">
        <v>5</v>
      </c>
      <c r="C61" s="194">
        <f>+C56*1.5</f>
        <v>4131</v>
      </c>
      <c r="D61" s="598">
        <f>+B61*C61</f>
        <v>20655</v>
      </c>
      <c r="E61" s="564"/>
    </row>
    <row r="62" spans="1:19" x14ac:dyDescent="0.35">
      <c r="A62" s="772" t="s">
        <v>449</v>
      </c>
      <c r="B62" s="258">
        <v>0</v>
      </c>
      <c r="C62" s="194">
        <f>+C56*2</f>
        <v>5508</v>
      </c>
      <c r="D62" s="598">
        <f>+B62*C62</f>
        <v>0</v>
      </c>
    </row>
    <row r="63" spans="1:19" s="90" customFormat="1" x14ac:dyDescent="0.35">
      <c r="A63" s="1145" t="s">
        <v>955</v>
      </c>
      <c r="B63" s="1146"/>
      <c r="C63" s="1147">
        <v>378415</v>
      </c>
      <c r="D63" s="1017">
        <f>+C63</f>
        <v>378415</v>
      </c>
      <c r="E63" s="1042"/>
      <c r="F63" s="553"/>
    </row>
    <row r="64" spans="1:19" x14ac:dyDescent="0.35">
      <c r="A64" s="1439" t="s">
        <v>99</v>
      </c>
      <c r="B64" s="1440"/>
      <c r="C64" s="1441"/>
      <c r="D64" s="599">
        <f>+D56+D57+D58+D59+D60+D61+D62+D63</f>
        <v>1135244</v>
      </c>
      <c r="E64" s="553"/>
      <c r="F64" s="774"/>
    </row>
    <row r="65" spans="1:6" x14ac:dyDescent="0.35">
      <c r="A65" s="1135" t="s">
        <v>967</v>
      </c>
      <c r="B65" s="1132"/>
      <c r="C65" s="1132"/>
      <c r="D65" s="599">
        <v>300000</v>
      </c>
      <c r="E65" s="553"/>
    </row>
    <row r="66" spans="1:6" x14ac:dyDescent="0.35">
      <c r="A66" s="921"/>
      <c r="B66" s="922"/>
      <c r="C66" s="720"/>
      <c r="D66" s="722"/>
      <c r="E66" s="553"/>
    </row>
    <row r="67" spans="1:6" x14ac:dyDescent="0.35">
      <c r="A67" s="672"/>
      <c r="B67" s="673" t="s">
        <v>11</v>
      </c>
      <c r="C67" s="674"/>
      <c r="D67" s="675">
        <f>+D64+D65+D66</f>
        <v>1435244</v>
      </c>
      <c r="E67" s="553"/>
    </row>
    <row r="68" spans="1:6" x14ac:dyDescent="0.35">
      <c r="B68" s="771"/>
      <c r="C68" s="771"/>
      <c r="D68" s="771"/>
    </row>
    <row r="70" spans="1:6" ht="14.5" customHeight="1" x14ac:dyDescent="0.35">
      <c r="A70" s="1442" t="s">
        <v>940</v>
      </c>
      <c r="B70" s="1443"/>
      <c r="C70" s="1443"/>
      <c r="D70" s="1444"/>
    </row>
    <row r="71" spans="1:6" ht="14.5" customHeight="1" x14ac:dyDescent="0.35">
      <c r="A71" s="2" t="s">
        <v>7</v>
      </c>
      <c r="B71" s="270" t="s">
        <v>8</v>
      </c>
      <c r="C71" s="217" t="s">
        <v>4</v>
      </c>
      <c r="D71" s="597" t="s">
        <v>63</v>
      </c>
    </row>
    <row r="72" spans="1:6" ht="14.5" customHeight="1" x14ac:dyDescent="0.35">
      <c r="A72" s="772" t="s">
        <v>3</v>
      </c>
      <c r="B72" s="258">
        <v>167</v>
      </c>
      <c r="C72" s="227">
        <f>1907*1.25*1.1</f>
        <v>2622.125</v>
      </c>
      <c r="D72" s="598">
        <f>+B72*C72</f>
        <v>437894.875</v>
      </c>
      <c r="E72" s="564"/>
    </row>
    <row r="73" spans="1:6" ht="14.5" customHeight="1" x14ac:dyDescent="0.35">
      <c r="A73" s="772" t="s">
        <v>282</v>
      </c>
      <c r="B73" s="258">
        <v>0</v>
      </c>
      <c r="C73" s="227">
        <f>+C72</f>
        <v>2622.125</v>
      </c>
      <c r="D73" s="598">
        <f>+B73*C73</f>
        <v>0</v>
      </c>
      <c r="E73" s="564"/>
    </row>
    <row r="74" spans="1:6" ht="14.5" customHeight="1" x14ac:dyDescent="0.35">
      <c r="A74" s="772" t="s">
        <v>952</v>
      </c>
      <c r="B74" s="258">
        <f>14*8</f>
        <v>112</v>
      </c>
      <c r="C74" s="227">
        <f>+C72</f>
        <v>2622.125</v>
      </c>
      <c r="D74" s="598">
        <f>+B74*C74</f>
        <v>293678</v>
      </c>
      <c r="E74" s="564"/>
      <c r="F74" s="774"/>
    </row>
    <row r="75" spans="1:6" x14ac:dyDescent="0.35">
      <c r="A75" s="772" t="s">
        <v>266</v>
      </c>
      <c r="B75" s="258"/>
      <c r="C75" s="227">
        <v>30000</v>
      </c>
      <c r="D75" s="598">
        <f>+C75</f>
        <v>30000</v>
      </c>
      <c r="E75" s="564"/>
    </row>
    <row r="76" spans="1:6" x14ac:dyDescent="0.35">
      <c r="A76" s="772" t="s">
        <v>6</v>
      </c>
      <c r="B76" s="258"/>
      <c r="C76" s="227">
        <v>50000</v>
      </c>
      <c r="D76" s="598">
        <f>+C76</f>
        <v>50000</v>
      </c>
      <c r="E76" s="564"/>
    </row>
    <row r="77" spans="1:6" s="1069" customFormat="1" x14ac:dyDescent="0.35">
      <c r="A77" s="614" t="s">
        <v>270</v>
      </c>
      <c r="B77" s="617">
        <v>6.5</v>
      </c>
      <c r="C77" s="227">
        <f>+C72*1.5</f>
        <v>3933.1875</v>
      </c>
      <c r="D77" s="598">
        <f>+B77*C77</f>
        <v>25565.71875</v>
      </c>
      <c r="E77" s="564"/>
    </row>
    <row r="78" spans="1:6" x14ac:dyDescent="0.35">
      <c r="A78" s="772" t="s">
        <v>281</v>
      </c>
      <c r="B78" s="258"/>
      <c r="C78" s="227">
        <f>+C72*2</f>
        <v>5244.25</v>
      </c>
      <c r="D78" s="598">
        <f>+B78*C78</f>
        <v>0</v>
      </c>
    </row>
    <row r="79" spans="1:6" x14ac:dyDescent="0.35">
      <c r="A79" s="889" t="s">
        <v>955</v>
      </c>
      <c r="B79" s="890"/>
      <c r="C79" s="814">
        <v>418600</v>
      </c>
      <c r="D79" s="598">
        <f>+C79</f>
        <v>418600</v>
      </c>
    </row>
    <row r="80" spans="1:6" x14ac:dyDescent="0.35">
      <c r="A80" s="1463" t="s">
        <v>389</v>
      </c>
      <c r="B80" s="1464"/>
      <c r="C80" s="1465"/>
      <c r="D80" s="599">
        <f>+D72+D73+D74+D75+D76+D77+D78+D79</f>
        <v>1255738.59375</v>
      </c>
      <c r="E80" s="553"/>
      <c r="F80" s="774"/>
    </row>
    <row r="81" spans="1:6" x14ac:dyDescent="0.35">
      <c r="A81" s="1136" t="s">
        <v>966</v>
      </c>
      <c r="B81" s="1133"/>
      <c r="C81" s="1134"/>
      <c r="D81" s="599">
        <v>230000</v>
      </c>
      <c r="E81" s="553"/>
      <c r="F81" s="774"/>
    </row>
    <row r="82" spans="1:6" x14ac:dyDescent="0.35">
      <c r="A82" s="723" t="s">
        <v>50</v>
      </c>
      <c r="B82" s="721"/>
      <c r="C82" s="721"/>
      <c r="D82" s="722">
        <v>0</v>
      </c>
      <c r="E82" s="553"/>
    </row>
    <row r="83" spans="1:6" x14ac:dyDescent="0.35">
      <c r="A83" s="723"/>
      <c r="B83" s="721"/>
      <c r="C83" s="721"/>
      <c r="D83" s="722"/>
    </row>
    <row r="84" spans="1:6" ht="15.5" x14ac:dyDescent="0.35">
      <c r="A84" s="1460" t="s">
        <v>11</v>
      </c>
      <c r="B84" s="1461"/>
      <c r="C84" s="1462"/>
      <c r="D84" s="603">
        <f>+D80+D81+D82+D83</f>
        <v>1485738.59375</v>
      </c>
      <c r="E84" s="553"/>
    </row>
    <row r="85" spans="1:6" s="90" customFormat="1" x14ac:dyDescent="0.35">
      <c r="A85" s="1035"/>
      <c r="B85" s="1042"/>
      <c r="C85" s="553"/>
      <c r="D85" s="1051"/>
      <c r="E85" s="1042"/>
    </row>
    <row r="87" spans="1:6" ht="23.5" x14ac:dyDescent="0.35">
      <c r="A87" s="1442" t="s">
        <v>941</v>
      </c>
      <c r="B87" s="1443"/>
      <c r="C87" s="1443"/>
      <c r="D87" s="1444"/>
    </row>
    <row r="88" spans="1:6" x14ac:dyDescent="0.35">
      <c r="A88" s="2" t="s">
        <v>7</v>
      </c>
      <c r="B88" s="270" t="s">
        <v>388</v>
      </c>
      <c r="C88" s="217" t="s">
        <v>272</v>
      </c>
      <c r="D88" s="597" t="s">
        <v>9</v>
      </c>
    </row>
    <row r="89" spans="1:6" x14ac:dyDescent="0.35">
      <c r="A89" s="772" t="s">
        <v>3</v>
      </c>
      <c r="B89" s="258">
        <v>167</v>
      </c>
      <c r="C89" s="227">
        <f>2175*1.25</f>
        <v>2718.75</v>
      </c>
      <c r="D89" s="598">
        <f>+B89*C89</f>
        <v>454031.25</v>
      </c>
      <c r="E89" s="1048"/>
    </row>
    <row r="90" spans="1:6" x14ac:dyDescent="0.35">
      <c r="A90" s="772" t="s">
        <v>403</v>
      </c>
      <c r="B90" s="258">
        <v>8</v>
      </c>
      <c r="C90" s="227">
        <f>+C89</f>
        <v>2718.75</v>
      </c>
      <c r="D90" s="598">
        <f>+B90*C90</f>
        <v>21750</v>
      </c>
      <c r="E90" s="564"/>
    </row>
    <row r="91" spans="1:6" s="90" customFormat="1" x14ac:dyDescent="0.35">
      <c r="A91" s="141" t="s">
        <v>935</v>
      </c>
      <c r="B91" s="274">
        <v>56</v>
      </c>
      <c r="C91" s="195">
        <f>+C89</f>
        <v>2718.75</v>
      </c>
      <c r="D91" s="1017">
        <f>+B91*C91</f>
        <v>152250</v>
      </c>
      <c r="E91" s="564"/>
    </row>
    <row r="92" spans="1:6" x14ac:dyDescent="0.35">
      <c r="A92" s="772" t="s">
        <v>6</v>
      </c>
      <c r="B92" s="258"/>
      <c r="C92" s="227">
        <v>80000</v>
      </c>
      <c r="D92" s="598">
        <f>+C92</f>
        <v>80000</v>
      </c>
      <c r="E92" s="564"/>
    </row>
    <row r="93" spans="1:6" x14ac:dyDescent="0.35">
      <c r="A93" s="772" t="s">
        <v>200</v>
      </c>
      <c r="B93" s="258"/>
      <c r="C93" s="227">
        <v>30000</v>
      </c>
      <c r="D93" s="598">
        <v>30000</v>
      </c>
      <c r="E93" s="564"/>
    </row>
    <row r="94" spans="1:6" x14ac:dyDescent="0.35">
      <c r="A94" s="772" t="s">
        <v>475</v>
      </c>
      <c r="B94" s="258">
        <v>13</v>
      </c>
      <c r="C94" s="227">
        <f>+C89*1.5</f>
        <v>4078.125</v>
      </c>
      <c r="D94" s="811">
        <f>+B94*C94</f>
        <v>53015.625</v>
      </c>
      <c r="E94" s="564"/>
    </row>
    <row r="95" spans="1:6" x14ac:dyDescent="0.35">
      <c r="A95" s="772" t="s">
        <v>757</v>
      </c>
      <c r="B95" s="258">
        <v>0</v>
      </c>
      <c r="C95" s="227">
        <f>+C89*2</f>
        <v>5437.5</v>
      </c>
      <c r="D95" s="598">
        <f>+B95*C95</f>
        <v>0</v>
      </c>
    </row>
    <row r="96" spans="1:6" s="90" customFormat="1" x14ac:dyDescent="0.35">
      <c r="A96" s="141" t="s">
        <v>955</v>
      </c>
      <c r="B96" s="274"/>
      <c r="C96" s="195">
        <v>395550</v>
      </c>
      <c r="D96" s="1017">
        <f>+C96</f>
        <v>395550</v>
      </c>
      <c r="E96" s="1042"/>
    </row>
    <row r="97" spans="1:6" x14ac:dyDescent="0.35">
      <c r="A97" s="1036" t="s">
        <v>389</v>
      </c>
      <c r="B97" s="681"/>
      <c r="C97" s="1037"/>
      <c r="D97" s="1038">
        <f>+D89+D90+D91+D92+D93+D94+D95+D96</f>
        <v>1186596.875</v>
      </c>
      <c r="E97" s="553"/>
    </row>
    <row r="98" spans="1:6" x14ac:dyDescent="0.35">
      <c r="A98" s="1036" t="s">
        <v>968</v>
      </c>
      <c r="B98" s="681"/>
      <c r="C98" s="1037"/>
      <c r="D98" s="1038">
        <v>230000</v>
      </c>
      <c r="F98" s="774"/>
    </row>
    <row r="99" spans="1:6" x14ac:dyDescent="0.35">
      <c r="A99" s="772" t="s">
        <v>19</v>
      </c>
      <c r="B99" s="258"/>
      <c r="C99" s="227"/>
      <c r="D99" s="731"/>
      <c r="F99" s="774"/>
    </row>
    <row r="100" spans="1:6" x14ac:dyDescent="0.35">
      <c r="A100" s="889" t="s">
        <v>928</v>
      </c>
      <c r="B100" s="890"/>
      <c r="C100" s="814"/>
      <c r="D100" s="731">
        <v>-160000</v>
      </c>
    </row>
    <row r="101" spans="1:6" ht="15.5" x14ac:dyDescent="0.35">
      <c r="A101" s="1460" t="s">
        <v>11</v>
      </c>
      <c r="B101" s="1461"/>
      <c r="C101" s="1462"/>
      <c r="D101" s="603">
        <f>+D97+D98+D99+D100</f>
        <v>1256596.875</v>
      </c>
      <c r="E101" s="553"/>
    </row>
    <row r="102" spans="1:6" s="90" customFormat="1" x14ac:dyDescent="0.35">
      <c r="B102" s="1042"/>
      <c r="C102" s="553"/>
      <c r="D102" s="1051" t="s">
        <v>63</v>
      </c>
      <c r="E102" s="1042"/>
    </row>
    <row r="104" spans="1:6" ht="23.5" x14ac:dyDescent="0.35">
      <c r="A104" s="1431" t="s">
        <v>942</v>
      </c>
      <c r="B104" s="1431"/>
      <c r="C104" s="1431"/>
      <c r="D104" s="1431"/>
    </row>
    <row r="105" spans="1:6" x14ac:dyDescent="0.35">
      <c r="A105" s="2" t="s">
        <v>7</v>
      </c>
      <c r="B105" s="270" t="s">
        <v>8</v>
      </c>
      <c r="C105" s="217" t="s">
        <v>4</v>
      </c>
      <c r="D105" s="597" t="s">
        <v>9</v>
      </c>
    </row>
    <row r="106" spans="1:6" x14ac:dyDescent="0.35">
      <c r="A106" s="772" t="s">
        <v>3</v>
      </c>
      <c r="B106" s="258">
        <v>167</v>
      </c>
      <c r="C106" s="227">
        <f>1907*1.25*1.1</f>
        <v>2622.125</v>
      </c>
      <c r="D106" s="598">
        <f>+B106*C106</f>
        <v>437894.875</v>
      </c>
      <c r="E106" s="564"/>
    </row>
    <row r="107" spans="1:6" x14ac:dyDescent="0.35">
      <c r="A107" s="772" t="s">
        <v>403</v>
      </c>
      <c r="B107" s="258">
        <v>8</v>
      </c>
      <c r="C107" s="227">
        <f>+C106</f>
        <v>2622.125</v>
      </c>
      <c r="D107" s="598">
        <f>+B107*C107</f>
        <v>20977</v>
      </c>
      <c r="E107" s="564"/>
    </row>
    <row r="108" spans="1:6" s="90" customFormat="1" x14ac:dyDescent="0.35">
      <c r="A108" s="141" t="s">
        <v>943</v>
      </c>
      <c r="B108" s="274">
        <v>56</v>
      </c>
      <c r="C108" s="195">
        <f>+C106</f>
        <v>2622.125</v>
      </c>
      <c r="D108" s="1017">
        <f>+B108*C108</f>
        <v>146839</v>
      </c>
      <c r="E108" s="564"/>
    </row>
    <row r="109" spans="1:6" x14ac:dyDescent="0.35">
      <c r="A109" s="772" t="s">
        <v>200</v>
      </c>
      <c r="B109" s="258"/>
      <c r="C109" s="227">
        <v>30000</v>
      </c>
      <c r="D109" s="598">
        <f>+C109</f>
        <v>30000</v>
      </c>
      <c r="E109" s="564"/>
    </row>
    <row r="110" spans="1:6" x14ac:dyDescent="0.35">
      <c r="A110" s="772" t="s">
        <v>6</v>
      </c>
      <c r="B110" s="258"/>
      <c r="C110" s="194">
        <v>50000</v>
      </c>
      <c r="D110" s="598">
        <f>+C110</f>
        <v>50000</v>
      </c>
      <c r="E110" s="564"/>
    </row>
    <row r="111" spans="1:6" x14ac:dyDescent="0.35">
      <c r="A111" s="772" t="s">
        <v>270</v>
      </c>
      <c r="B111" s="258">
        <v>13</v>
      </c>
      <c r="C111" s="194">
        <f>+C106*1.5</f>
        <v>3933.1875</v>
      </c>
      <c r="D111" s="598">
        <f>+B111*C111</f>
        <v>51131.4375</v>
      </c>
      <c r="E111" s="564"/>
    </row>
    <row r="112" spans="1:6" x14ac:dyDescent="0.35">
      <c r="A112" s="772" t="s">
        <v>281</v>
      </c>
      <c r="B112" s="258">
        <v>0</v>
      </c>
      <c r="C112" s="194">
        <f>+C106*2</f>
        <v>5244.25</v>
      </c>
      <c r="D112" s="598">
        <f>+B112*C112</f>
        <v>0</v>
      </c>
    </row>
    <row r="113" spans="1:6" s="90" customFormat="1" x14ac:dyDescent="0.35">
      <c r="A113" s="141" t="s">
        <v>955</v>
      </c>
      <c r="B113" s="274"/>
      <c r="C113" s="195">
        <v>368450</v>
      </c>
      <c r="D113" s="1017">
        <f>+C113</f>
        <v>368450</v>
      </c>
      <c r="E113" s="1042"/>
    </row>
    <row r="114" spans="1:6" x14ac:dyDescent="0.35">
      <c r="A114" s="1463" t="s">
        <v>389</v>
      </c>
      <c r="B114" s="1464"/>
      <c r="C114" s="1465"/>
      <c r="D114" s="599">
        <f>+D106+D107+D108+D109+D110+D111+D112+D113</f>
        <v>1105292.3125</v>
      </c>
      <c r="E114" s="553"/>
    </row>
    <row r="115" spans="1:6" x14ac:dyDescent="0.35">
      <c r="A115" s="1136" t="s">
        <v>968</v>
      </c>
      <c r="B115" s="1133"/>
      <c r="C115" s="1134"/>
      <c r="D115" s="599">
        <v>230000</v>
      </c>
      <c r="E115" s="553"/>
    </row>
    <row r="116" spans="1:6" x14ac:dyDescent="0.35">
      <c r="A116" s="724" t="s">
        <v>19</v>
      </c>
      <c r="B116" s="729" t="s">
        <v>63</v>
      </c>
      <c r="C116" s="730" t="s">
        <v>63</v>
      </c>
      <c r="D116" s="731"/>
      <c r="E116" s="553"/>
    </row>
    <row r="117" spans="1:6" x14ac:dyDescent="0.35">
      <c r="A117" s="724"/>
      <c r="B117" s="729"/>
      <c r="C117" s="730"/>
      <c r="D117" s="731"/>
      <c r="E117" s="553"/>
    </row>
    <row r="118" spans="1:6" s="997" customFormat="1" ht="15.5" x14ac:dyDescent="0.35">
      <c r="A118" s="992"/>
      <c r="B118" s="1105" t="s">
        <v>11</v>
      </c>
      <c r="C118" s="994"/>
      <c r="D118" s="995">
        <f>+D114+D115+D116+D117</f>
        <v>1335292.3125</v>
      </c>
      <c r="E118" s="1046"/>
    </row>
    <row r="119" spans="1:6" s="90" customFormat="1" x14ac:dyDescent="0.35">
      <c r="B119" s="1042"/>
      <c r="C119" s="553"/>
      <c r="D119" s="1051"/>
      <c r="E119" s="1042"/>
    </row>
    <row r="121" spans="1:6" ht="23.5" x14ac:dyDescent="0.35">
      <c r="A121" s="1442" t="s">
        <v>944</v>
      </c>
      <c r="B121" s="1443"/>
      <c r="C121" s="1443"/>
      <c r="D121" s="1444"/>
    </row>
    <row r="122" spans="1:6" x14ac:dyDescent="0.35">
      <c r="A122" s="2" t="s">
        <v>7</v>
      </c>
      <c r="B122" s="270" t="s">
        <v>8</v>
      </c>
      <c r="C122" s="217" t="s">
        <v>4</v>
      </c>
      <c r="D122" s="597" t="s">
        <v>9</v>
      </c>
    </row>
    <row r="123" spans="1:6" x14ac:dyDescent="0.35">
      <c r="A123" s="772" t="s">
        <v>3</v>
      </c>
      <c r="B123" s="258">
        <v>147.15</v>
      </c>
      <c r="C123" s="194">
        <f>2913*1.1</f>
        <v>3204.3</v>
      </c>
      <c r="D123" s="598">
        <f>+B123*C123</f>
        <v>471512.74500000005</v>
      </c>
      <c r="E123" s="564"/>
    </row>
    <row r="124" spans="1:6" x14ac:dyDescent="0.35">
      <c r="A124" s="772" t="s">
        <v>403</v>
      </c>
      <c r="B124" s="258">
        <v>8</v>
      </c>
      <c r="C124" s="194">
        <f>+C123</f>
        <v>3204.3</v>
      </c>
      <c r="D124" s="609">
        <f>+B124*C124</f>
        <v>25634.400000000001</v>
      </c>
      <c r="E124" s="564"/>
    </row>
    <row r="125" spans="1:6" x14ac:dyDescent="0.35">
      <c r="A125" s="772" t="s">
        <v>935</v>
      </c>
      <c r="B125" s="258">
        <f>7*7.5</f>
        <v>52.5</v>
      </c>
      <c r="C125" s="194">
        <f>+C123</f>
        <v>3204.3</v>
      </c>
      <c r="D125" s="609">
        <f>+B125*C125</f>
        <v>168225.75</v>
      </c>
      <c r="E125" s="564"/>
    </row>
    <row r="126" spans="1:6" x14ac:dyDescent="0.35">
      <c r="A126" s="772" t="s">
        <v>6</v>
      </c>
      <c r="B126" s="258"/>
      <c r="C126" s="194">
        <v>35000</v>
      </c>
      <c r="D126" s="609">
        <f>+C126</f>
        <v>35000</v>
      </c>
      <c r="E126" s="564"/>
    </row>
    <row r="127" spans="1:6" x14ac:dyDescent="0.35">
      <c r="A127" s="614" t="s">
        <v>556</v>
      </c>
      <c r="B127" s="617"/>
      <c r="C127" s="227">
        <v>30000</v>
      </c>
      <c r="D127" s="609">
        <f>+C127</f>
        <v>30000</v>
      </c>
      <c r="E127" s="564"/>
      <c r="F127" s="774"/>
    </row>
    <row r="128" spans="1:6" x14ac:dyDescent="0.35">
      <c r="A128" s="614" t="s">
        <v>953</v>
      </c>
      <c r="B128" s="617"/>
      <c r="C128" s="227">
        <f>662147/2</f>
        <v>331073.5</v>
      </c>
      <c r="D128" s="609">
        <f>+C128</f>
        <v>331073.5</v>
      </c>
      <c r="E128" s="553"/>
    </row>
    <row r="129" spans="1:6" s="764" customFormat="1" x14ac:dyDescent="0.35">
      <c r="A129" s="882" t="s">
        <v>389</v>
      </c>
      <c r="B129" s="883"/>
      <c r="C129" s="884"/>
      <c r="D129" s="1058">
        <f>+D123+D124+D125+D126+D127+D128</f>
        <v>1061446.395</v>
      </c>
      <c r="E129" s="768"/>
    </row>
    <row r="130" spans="1:6" s="764" customFormat="1" x14ac:dyDescent="0.35">
      <c r="A130" s="882" t="s">
        <v>969</v>
      </c>
      <c r="B130" s="883"/>
      <c r="C130" s="884"/>
      <c r="D130" s="1058">
        <v>200000</v>
      </c>
      <c r="E130" s="768"/>
    </row>
    <row r="131" spans="1:6" s="1070" customFormat="1" x14ac:dyDescent="0.35">
      <c r="A131" s="724" t="s">
        <v>958</v>
      </c>
      <c r="B131" s="729"/>
      <c r="C131" s="729"/>
      <c r="D131" s="731">
        <v>-190000</v>
      </c>
      <c r="E131" s="1073"/>
    </row>
    <row r="132" spans="1:6" s="90" customFormat="1" x14ac:dyDescent="0.35">
      <c r="A132" s="1071" t="s">
        <v>11</v>
      </c>
      <c r="B132" s="1074"/>
      <c r="C132" s="1074"/>
      <c r="D132" s="1075">
        <f>+D129+D130+D131</f>
        <v>1071446.395</v>
      </c>
      <c r="E132" s="1042"/>
    </row>
    <row r="133" spans="1:6" s="90" customFormat="1" x14ac:dyDescent="0.35">
      <c r="A133" s="691"/>
      <c r="B133" s="1089"/>
      <c r="C133" s="1089"/>
      <c r="D133" s="1090"/>
      <c r="E133" s="1042"/>
    </row>
    <row r="134" spans="1:6" s="90" customFormat="1" x14ac:dyDescent="0.35">
      <c r="A134" s="691"/>
      <c r="B134" s="1089"/>
      <c r="C134" s="1089"/>
      <c r="D134" s="1090"/>
      <c r="E134" s="1042"/>
    </row>
    <row r="135" spans="1:6" ht="23.5" x14ac:dyDescent="0.35">
      <c r="A135" s="1442" t="s">
        <v>970</v>
      </c>
      <c r="B135" s="1443"/>
      <c r="C135" s="1443"/>
      <c r="D135" s="1444"/>
    </row>
    <row r="136" spans="1:6" x14ac:dyDescent="0.35">
      <c r="A136" s="2" t="s">
        <v>7</v>
      </c>
      <c r="B136" s="270" t="s">
        <v>388</v>
      </c>
      <c r="C136" s="217" t="s">
        <v>629</v>
      </c>
      <c r="D136" s="597" t="s">
        <v>9</v>
      </c>
    </row>
    <row r="137" spans="1:6" x14ac:dyDescent="0.35">
      <c r="A137" s="772" t="s">
        <v>3</v>
      </c>
      <c r="B137" s="258">
        <v>167</v>
      </c>
      <c r="C137" s="194">
        <f>2913*1.1</f>
        <v>3204.3</v>
      </c>
      <c r="D137" s="598">
        <f>+B137*C137</f>
        <v>535118.1</v>
      </c>
      <c r="E137" s="564"/>
    </row>
    <row r="138" spans="1:6" x14ac:dyDescent="0.35">
      <c r="A138" s="772" t="s">
        <v>403</v>
      </c>
      <c r="B138" s="258">
        <v>8</v>
      </c>
      <c r="C138" s="194">
        <f>+C137</f>
        <v>3204.3</v>
      </c>
      <c r="D138" s="609">
        <f>+B138*C138</f>
        <v>25634.400000000001</v>
      </c>
      <c r="E138" s="564"/>
    </row>
    <row r="139" spans="1:6" x14ac:dyDescent="0.35">
      <c r="A139" s="772" t="s">
        <v>935</v>
      </c>
      <c r="B139" s="258">
        <v>56</v>
      </c>
      <c r="C139" s="194">
        <f>+C137</f>
        <v>3204.3</v>
      </c>
      <c r="D139" s="609">
        <f>+B139*C139</f>
        <v>179440.80000000002</v>
      </c>
      <c r="E139" s="564" t="s">
        <v>63</v>
      </c>
    </row>
    <row r="140" spans="1:6" x14ac:dyDescent="0.35">
      <c r="A140" s="772" t="s">
        <v>556</v>
      </c>
      <c r="B140" s="258"/>
      <c r="C140" s="194">
        <v>30000</v>
      </c>
      <c r="D140" s="609">
        <f>+C140</f>
        <v>30000</v>
      </c>
      <c r="E140" s="564"/>
    </row>
    <row r="141" spans="1:6" x14ac:dyDescent="0.35">
      <c r="A141" s="772" t="s">
        <v>6</v>
      </c>
      <c r="B141" s="258"/>
      <c r="C141" s="194">
        <v>35000</v>
      </c>
      <c r="D141" s="609">
        <f>+C141</f>
        <v>35000</v>
      </c>
      <c r="E141" s="564"/>
    </row>
    <row r="142" spans="1:6" x14ac:dyDescent="0.35">
      <c r="A142" s="614" t="s">
        <v>628</v>
      </c>
      <c r="B142" s="617">
        <v>1</v>
      </c>
      <c r="C142" s="227">
        <f>+C137*1.5</f>
        <v>4806.4500000000007</v>
      </c>
      <c r="D142" s="609">
        <f>+B142*C142</f>
        <v>4806.4500000000007</v>
      </c>
      <c r="E142" s="564"/>
      <c r="F142" s="774"/>
    </row>
    <row r="143" spans="1:6" x14ac:dyDescent="0.35">
      <c r="A143" s="1148" t="s">
        <v>953</v>
      </c>
      <c r="B143" s="771"/>
      <c r="C143" s="774">
        <v>405000</v>
      </c>
      <c r="D143" s="774">
        <v>405000</v>
      </c>
      <c r="E143" s="553"/>
    </row>
    <row r="144" spans="1:6" x14ac:dyDescent="0.35">
      <c r="A144" s="614" t="s">
        <v>959</v>
      </c>
      <c r="B144" s="617"/>
      <c r="C144" s="227"/>
      <c r="D144" s="609">
        <v>37900</v>
      </c>
    </row>
    <row r="145" spans="1:19" x14ac:dyDescent="0.35">
      <c r="A145" s="614" t="s">
        <v>960</v>
      </c>
      <c r="B145" s="617"/>
      <c r="C145" s="227"/>
      <c r="D145" s="609">
        <v>26600</v>
      </c>
    </row>
    <row r="146" spans="1:19" s="1042" customFormat="1" x14ac:dyDescent="0.35">
      <c r="A146" s="882" t="s">
        <v>99</v>
      </c>
      <c r="B146" s="883"/>
      <c r="C146" s="883"/>
      <c r="D146" s="884">
        <f>+D137+D138+D139+D140+D141+D142+D143+D144+D145</f>
        <v>1279499.75</v>
      </c>
      <c r="E146" s="553"/>
      <c r="F146" s="771"/>
      <c r="G146" s="771"/>
      <c r="H146" s="771"/>
      <c r="I146" s="771"/>
      <c r="J146" s="771"/>
      <c r="K146" s="771"/>
      <c r="L146" s="771"/>
      <c r="M146" s="771"/>
      <c r="N146" s="771"/>
      <c r="O146" s="771"/>
      <c r="P146" s="771"/>
      <c r="Q146" s="771"/>
      <c r="R146" s="771"/>
      <c r="S146" s="771"/>
    </row>
    <row r="147" spans="1:19" s="1076" customFormat="1" x14ac:dyDescent="0.35">
      <c r="A147" s="1077" t="s">
        <v>967</v>
      </c>
      <c r="B147" s="1077"/>
      <c r="C147" s="1077"/>
      <c r="D147" s="1077">
        <v>200000</v>
      </c>
      <c r="E147" s="1078"/>
    </row>
    <row r="148" spans="1:19" s="1042" customFormat="1" x14ac:dyDescent="0.35">
      <c r="A148" s="962"/>
      <c r="B148" s="619"/>
      <c r="C148" s="619"/>
      <c r="D148" s="730"/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</row>
    <row r="149" spans="1:19" s="1042" customFormat="1" ht="15.5" x14ac:dyDescent="0.35">
      <c r="A149" s="611" t="s">
        <v>11</v>
      </c>
      <c r="B149" s="612"/>
      <c r="C149" s="613"/>
      <c r="D149" s="603">
        <f>+D146+D147</f>
        <v>1479499.75</v>
      </c>
      <c r="E149" s="1091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2" spans="1:19" s="90" customFormat="1" ht="23.5" x14ac:dyDescent="0.35">
      <c r="A152" s="1467" t="s">
        <v>949</v>
      </c>
      <c r="B152" s="1468"/>
      <c r="C152" s="1468"/>
      <c r="D152" s="1469"/>
      <c r="E152" s="1042"/>
    </row>
    <row r="153" spans="1:19" x14ac:dyDescent="0.35">
      <c r="A153" s="2" t="s">
        <v>7</v>
      </c>
      <c r="B153" s="270"/>
      <c r="C153" s="217"/>
      <c r="D153" s="597" t="s">
        <v>9</v>
      </c>
    </row>
    <row r="154" spans="1:19" x14ac:dyDescent="0.35">
      <c r="A154" s="1106" t="s">
        <v>947</v>
      </c>
      <c r="B154" s="194">
        <f>1500000/31*27</f>
        <v>1306451.6129032257</v>
      </c>
      <c r="C154" s="194"/>
      <c r="D154" s="598">
        <f>+B154</f>
        <v>1306451.6129032257</v>
      </c>
      <c r="E154" s="564"/>
      <c r="F154" s="774"/>
    </row>
    <row r="155" spans="1:19" s="90" customFormat="1" x14ac:dyDescent="0.35">
      <c r="A155" s="1137" t="s">
        <v>974</v>
      </c>
      <c r="B155" s="195">
        <f>1500000/31*4</f>
        <v>193548.38709677418</v>
      </c>
      <c r="C155" s="195"/>
      <c r="D155" s="1138">
        <f>+B155</f>
        <v>193548.38709677418</v>
      </c>
      <c r="E155" s="564"/>
    </row>
    <row r="156" spans="1:19" s="90" customFormat="1" x14ac:dyDescent="0.35">
      <c r="A156" s="90" t="s">
        <v>948</v>
      </c>
      <c r="B156" s="1042">
        <f>1500000/12*4</f>
        <v>500000</v>
      </c>
      <c r="C156" s="553"/>
      <c r="D156" s="1051">
        <f>+B156</f>
        <v>500000</v>
      </c>
      <c r="E156" s="1042"/>
      <c r="F156" s="553"/>
    </row>
    <row r="157" spans="1:19" x14ac:dyDescent="0.35">
      <c r="A157" s="772" t="s">
        <v>234</v>
      </c>
      <c r="B157" s="258"/>
      <c r="C157" s="194"/>
      <c r="D157" s="609">
        <v>37870</v>
      </c>
    </row>
    <row r="158" spans="1:19" s="1042" customFormat="1" x14ac:dyDescent="0.35">
      <c r="A158" s="962"/>
      <c r="B158" s="619"/>
      <c r="C158" s="619"/>
      <c r="D158" s="730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59" spans="1:19" s="1042" customFormat="1" ht="15.5" x14ac:dyDescent="0.35">
      <c r="A159" s="611" t="s">
        <v>961</v>
      </c>
      <c r="B159" s="612"/>
      <c r="C159" s="613"/>
      <c r="D159" s="603">
        <f>+D154+D155+D156+D157</f>
        <v>2037870</v>
      </c>
      <c r="E159" s="1091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x14ac:dyDescent="0.35">
      <c r="A160" s="1149" t="s">
        <v>962</v>
      </c>
      <c r="B160" s="1150"/>
      <c r="C160" s="1151"/>
      <c r="D160" s="1152">
        <v>1037870</v>
      </c>
      <c r="F160" s="774"/>
    </row>
    <row r="161" spans="1:19" x14ac:dyDescent="0.35">
      <c r="A161" s="1149" t="s">
        <v>963</v>
      </c>
      <c r="B161" s="1150"/>
      <c r="C161" s="1151"/>
      <c r="D161" s="1152">
        <v>1000000</v>
      </c>
      <c r="E161" s="553"/>
    </row>
    <row r="164" spans="1:19" s="1042" customFormat="1" ht="23.5" x14ac:dyDescent="0.35">
      <c r="A164" s="1442" t="s">
        <v>945</v>
      </c>
      <c r="B164" s="1443"/>
      <c r="C164" s="1443"/>
      <c r="D164" s="1444"/>
      <c r="F164" s="771"/>
      <c r="G164" s="771"/>
      <c r="H164" s="771"/>
      <c r="I164" s="771"/>
      <c r="J164" s="771"/>
      <c r="K164" s="771"/>
      <c r="L164" s="771"/>
      <c r="M164" s="771"/>
      <c r="N164" s="771"/>
      <c r="O164" s="771"/>
      <c r="P164" s="771"/>
      <c r="Q164" s="771"/>
      <c r="R164" s="771"/>
      <c r="S164" s="771"/>
    </row>
    <row r="165" spans="1:19" s="1042" customFormat="1" x14ac:dyDescent="0.35">
      <c r="A165" s="2"/>
      <c r="B165" s="270"/>
      <c r="C165" s="217"/>
      <c r="D165" s="597"/>
      <c r="F165" s="771"/>
      <c r="G165" s="771"/>
      <c r="H165" s="771"/>
      <c r="I165" s="771"/>
      <c r="J165" s="771"/>
      <c r="K165" s="771"/>
      <c r="L165" s="771"/>
      <c r="M165" s="771"/>
      <c r="N165" s="771"/>
      <c r="O165" s="771"/>
      <c r="P165" s="771"/>
      <c r="Q165" s="771"/>
      <c r="R165" s="771"/>
      <c r="S165" s="771"/>
    </row>
    <row r="166" spans="1:19" s="1042" customFormat="1" x14ac:dyDescent="0.35">
      <c r="A166" s="772" t="s">
        <v>3</v>
      </c>
      <c r="B166" s="258">
        <v>167</v>
      </c>
      <c r="C166" s="194">
        <v>2175</v>
      </c>
      <c r="D166" s="598">
        <f>+B166*C166</f>
        <v>363225</v>
      </c>
      <c r="F166" s="771"/>
      <c r="G166" s="771"/>
      <c r="H166" s="771"/>
      <c r="I166" s="771"/>
      <c r="J166" s="771"/>
      <c r="K166" s="771"/>
      <c r="L166" s="771"/>
      <c r="M166" s="771"/>
      <c r="N166" s="771"/>
      <c r="O166" s="771"/>
      <c r="P166" s="771"/>
      <c r="Q166" s="771"/>
      <c r="R166" s="771"/>
      <c r="S166" s="771"/>
    </row>
    <row r="167" spans="1:19" s="1042" customFormat="1" x14ac:dyDescent="0.35">
      <c r="A167" s="772" t="s">
        <v>394</v>
      </c>
      <c r="B167" s="258">
        <v>8</v>
      </c>
      <c r="C167" s="194">
        <f>+C166</f>
        <v>2175</v>
      </c>
      <c r="D167" s="609">
        <f>+B167*C167</f>
        <v>17400</v>
      </c>
      <c r="F167" s="771"/>
      <c r="G167" s="771"/>
      <c r="H167" s="771"/>
      <c r="I167" s="771"/>
      <c r="J167" s="771"/>
      <c r="K167" s="771"/>
      <c r="L167" s="771"/>
      <c r="M167" s="771"/>
      <c r="N167" s="771"/>
      <c r="O167" s="771"/>
      <c r="P167" s="771"/>
      <c r="Q167" s="771"/>
      <c r="R167" s="771"/>
      <c r="S167" s="771"/>
    </row>
    <row r="168" spans="1:19" s="1042" customFormat="1" x14ac:dyDescent="0.35">
      <c r="A168" s="1137" t="s">
        <v>950</v>
      </c>
      <c r="B168" s="274">
        <v>24</v>
      </c>
      <c r="C168" s="195">
        <f>+C166</f>
        <v>2175</v>
      </c>
      <c r="D168" s="1138">
        <f>+B168*C168</f>
        <v>52200</v>
      </c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s="1042" customFormat="1" x14ac:dyDescent="0.35">
      <c r="A169" s="1107" t="s">
        <v>200</v>
      </c>
      <c r="B169" s="258"/>
      <c r="C169" s="194">
        <v>30000</v>
      </c>
      <c r="D169" s="609">
        <f>+C169</f>
        <v>30000</v>
      </c>
      <c r="F169" s="771"/>
      <c r="G169" s="771"/>
      <c r="H169" s="771"/>
      <c r="I169" s="771"/>
      <c r="J169" s="771"/>
      <c r="K169" s="771"/>
      <c r="L169" s="771"/>
      <c r="M169" s="771"/>
      <c r="N169" s="771"/>
      <c r="O169" s="771"/>
      <c r="P169" s="771"/>
      <c r="Q169" s="771"/>
      <c r="R169" s="771"/>
      <c r="S169" s="771"/>
    </row>
    <row r="170" spans="1:19" s="1042" customFormat="1" x14ac:dyDescent="0.35">
      <c r="A170" s="772" t="s">
        <v>6</v>
      </c>
      <c r="B170" s="258"/>
      <c r="C170" s="194">
        <v>20000</v>
      </c>
      <c r="D170" s="609">
        <f>+C170</f>
        <v>20000</v>
      </c>
      <c r="F170" s="771"/>
      <c r="G170" s="771"/>
      <c r="H170" s="771"/>
      <c r="I170" s="771"/>
      <c r="J170" s="771"/>
      <c r="K170" s="771"/>
      <c r="L170" s="771"/>
      <c r="M170" s="771"/>
      <c r="N170" s="771"/>
      <c r="O170" s="771"/>
      <c r="P170" s="771"/>
      <c r="Q170" s="771"/>
      <c r="R170" s="771"/>
      <c r="S170" s="771"/>
    </row>
    <row r="171" spans="1:19" s="1042" customFormat="1" x14ac:dyDescent="0.35">
      <c r="A171" s="614" t="s">
        <v>270</v>
      </c>
      <c r="B171" s="617">
        <v>5</v>
      </c>
      <c r="C171" s="227">
        <f>+C166*1.5</f>
        <v>3262.5</v>
      </c>
      <c r="D171" s="609">
        <f>+B171*C171</f>
        <v>16312.5</v>
      </c>
      <c r="F171" s="771"/>
      <c r="G171" s="771"/>
      <c r="H171" s="771"/>
      <c r="I171" s="771"/>
      <c r="J171" s="771"/>
      <c r="K171" s="771"/>
      <c r="L171" s="771"/>
      <c r="M171" s="771"/>
      <c r="N171" s="771"/>
      <c r="O171" s="771"/>
      <c r="P171" s="771"/>
      <c r="Q171" s="771"/>
      <c r="R171" s="771"/>
      <c r="S171" s="771"/>
    </row>
    <row r="172" spans="1:19" s="1042" customFormat="1" x14ac:dyDescent="0.35">
      <c r="A172" s="614" t="s">
        <v>281</v>
      </c>
      <c r="B172" s="617"/>
      <c r="C172" s="227">
        <f>+C166*2</f>
        <v>4350</v>
      </c>
      <c r="D172" s="609"/>
      <c r="F172" s="771"/>
      <c r="G172" s="771"/>
      <c r="H172" s="771"/>
      <c r="I172" s="771"/>
      <c r="J172" s="771"/>
      <c r="K172" s="771"/>
      <c r="L172" s="771"/>
      <c r="M172" s="771"/>
      <c r="N172" s="771"/>
      <c r="O172" s="771"/>
      <c r="P172" s="771"/>
      <c r="Q172" s="771"/>
      <c r="R172" s="771"/>
      <c r="S172" s="771"/>
    </row>
    <row r="173" spans="1:19" s="1042" customFormat="1" x14ac:dyDescent="0.35">
      <c r="A173" s="1137" t="s">
        <v>951</v>
      </c>
      <c r="B173" s="274"/>
      <c r="C173" s="195">
        <v>83200</v>
      </c>
      <c r="D173" s="1138">
        <f>+C173</f>
        <v>83200</v>
      </c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s="1042" customFormat="1" x14ac:dyDescent="0.35">
      <c r="A174" s="1137"/>
      <c r="B174" s="274"/>
      <c r="C174" s="195"/>
      <c r="D174" s="1138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s="1042" customFormat="1" ht="15.5" x14ac:dyDescent="0.35">
      <c r="A175" s="858" t="s">
        <v>389</v>
      </c>
      <c r="B175" s="681"/>
      <c r="C175" s="682"/>
      <c r="D175" s="995">
        <f>+D166+D167+D168+D169+D170+D171+D172+D173</f>
        <v>582337.5</v>
      </c>
      <c r="F175" s="771"/>
      <c r="G175" s="771"/>
      <c r="H175" s="771"/>
      <c r="I175" s="771"/>
      <c r="J175" s="771"/>
      <c r="K175" s="771"/>
      <c r="L175" s="771"/>
      <c r="M175" s="771"/>
      <c r="N175" s="771"/>
      <c r="O175" s="771"/>
      <c r="P175" s="771"/>
      <c r="Q175" s="771"/>
      <c r="R175" s="771"/>
      <c r="S175" s="771"/>
    </row>
    <row r="176" spans="1:19" x14ac:dyDescent="0.35">
      <c r="A176" s="772" t="s">
        <v>967</v>
      </c>
      <c r="B176" s="258"/>
      <c r="C176" s="194"/>
      <c r="D176" s="598">
        <v>80000</v>
      </c>
    </row>
    <row r="177" spans="1:5" s="90" customFormat="1" x14ac:dyDescent="0.35">
      <c r="A177" s="129" t="s">
        <v>11</v>
      </c>
      <c r="B177" s="259"/>
      <c r="C177" s="197"/>
      <c r="D177" s="675">
        <f>+D175+D176</f>
        <v>662337.5</v>
      </c>
      <c r="E177" s="1042"/>
    </row>
  </sheetData>
  <mergeCells count="20">
    <mergeCell ref="A152:D152"/>
    <mergeCell ref="A164:D164"/>
    <mergeCell ref="A87:D87"/>
    <mergeCell ref="A101:C101"/>
    <mergeCell ref="A104:D104"/>
    <mergeCell ref="A114:C114"/>
    <mergeCell ref="A121:D121"/>
    <mergeCell ref="A135:D135"/>
    <mergeCell ref="A84:C84"/>
    <mergeCell ref="A3:D3"/>
    <mergeCell ref="A13:C13"/>
    <mergeCell ref="A17:C17"/>
    <mergeCell ref="A20:D20"/>
    <mergeCell ref="A30:C30"/>
    <mergeCell ref="A37:D37"/>
    <mergeCell ref="A47:C47"/>
    <mergeCell ref="A54:D54"/>
    <mergeCell ref="A64:C64"/>
    <mergeCell ref="A70:D70"/>
    <mergeCell ref="A80:C80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44C7-C758-449B-8388-0F3ED80F2BDD}">
  <sheetPr>
    <pageSetUpPr fitToPage="1"/>
  </sheetPr>
  <dimension ref="A1:S207"/>
  <sheetViews>
    <sheetView topLeftCell="A124" zoomScaleNormal="100" workbookViewId="0">
      <selection activeCell="F144" sqref="F144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45658</v>
      </c>
    </row>
    <row r="3" spans="1:18" ht="25.5" customHeight="1" x14ac:dyDescent="0.35">
      <c r="A3" s="1466" t="s">
        <v>976</v>
      </c>
      <c r="B3" s="1431"/>
      <c r="C3" s="1431"/>
      <c r="D3" s="1431"/>
    </row>
    <row r="4" spans="1:18" s="1154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88</v>
      </c>
      <c r="C5" s="227">
        <f>2417*1.18*1.15</f>
        <v>3279.8689999999997</v>
      </c>
      <c r="D5" s="598">
        <f>+B5*C5</f>
        <v>288628.47199999995</v>
      </c>
      <c r="E5" s="564"/>
      <c r="Q5" s="1154"/>
    </row>
    <row r="6" spans="1:18" ht="18" customHeight="1" x14ac:dyDescent="0.35">
      <c r="A6" s="772" t="s">
        <v>975</v>
      </c>
      <c r="B6" s="258">
        <v>0</v>
      </c>
      <c r="C6" s="227">
        <f>+C5</f>
        <v>3279.8689999999997</v>
      </c>
      <c r="D6" s="598">
        <f>+B6*C6</f>
        <v>0</v>
      </c>
      <c r="E6" s="564"/>
      <c r="F6" s="176"/>
      <c r="Q6" s="774"/>
    </row>
    <row r="7" spans="1:18" s="90" customFormat="1" ht="18" customHeight="1" x14ac:dyDescent="0.35">
      <c r="A7" s="141" t="s">
        <v>952</v>
      </c>
      <c r="B7" s="274">
        <v>56</v>
      </c>
      <c r="C7" s="195">
        <f>+C5</f>
        <v>3279.8689999999997</v>
      </c>
      <c r="D7" s="1017">
        <f>+B7*C7</f>
        <v>183672.66399999999</v>
      </c>
      <c r="E7" s="564"/>
      <c r="F7" s="728"/>
      <c r="Q7" s="553"/>
    </row>
    <row r="8" spans="1:18" ht="18" customHeight="1" x14ac:dyDescent="0.35">
      <c r="A8" s="772" t="s">
        <v>196</v>
      </c>
      <c r="B8" s="258"/>
      <c r="C8" s="227">
        <v>30000</v>
      </c>
      <c r="D8" s="598">
        <f>+C8</f>
        <v>30000</v>
      </c>
      <c r="E8" s="564"/>
      <c r="F8" s="176"/>
    </row>
    <row r="9" spans="1:18" ht="18" customHeight="1" x14ac:dyDescent="0.35">
      <c r="A9" s="772" t="s">
        <v>6</v>
      </c>
      <c r="B9" s="258"/>
      <c r="C9" s="227">
        <v>70000</v>
      </c>
      <c r="D9" s="598">
        <v>70000</v>
      </c>
      <c r="E9" s="564"/>
      <c r="F9" s="176"/>
    </row>
    <row r="10" spans="1:18" ht="18" customHeight="1" x14ac:dyDescent="0.35">
      <c r="A10" s="772" t="s">
        <v>467</v>
      </c>
      <c r="B10" s="258">
        <v>12.15</v>
      </c>
      <c r="C10" s="194">
        <f>+C5*1.5</f>
        <v>4919.8035</v>
      </c>
      <c r="D10" s="598">
        <f>+B10*C10</f>
        <v>59775.612525000004</v>
      </c>
      <c r="E10" s="564"/>
      <c r="F10" s="176"/>
    </row>
    <row r="11" spans="1:18" ht="18" customHeight="1" x14ac:dyDescent="0.35">
      <c r="A11" s="772" t="s">
        <v>281</v>
      </c>
      <c r="B11" s="258"/>
      <c r="C11" s="194">
        <f>+C5*2</f>
        <v>6559.7379999999994</v>
      </c>
      <c r="D11" s="598">
        <f>+B11*C11</f>
        <v>0</v>
      </c>
      <c r="E11" s="564"/>
      <c r="F11" s="176"/>
    </row>
    <row r="12" spans="1:18" s="90" customFormat="1" ht="18" customHeight="1" x14ac:dyDescent="0.35">
      <c r="A12" s="141"/>
      <c r="B12" s="274"/>
      <c r="C12" s="195"/>
      <c r="D12" s="1017">
        <f>+C12</f>
        <v>0</v>
      </c>
      <c r="E12" s="1042"/>
      <c r="F12" s="728"/>
      <c r="R12" s="1155"/>
    </row>
    <row r="13" spans="1:18" ht="18" customHeight="1" x14ac:dyDescent="0.35">
      <c r="A13" s="1432" t="s">
        <v>389</v>
      </c>
      <c r="B13" s="1432"/>
      <c r="C13" s="1432"/>
      <c r="D13" s="599">
        <f>+D5+D6+D7+D8+D9+D10+D11+D12</f>
        <v>632076.74852499994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154"/>
    </row>
    <row r="14" spans="1:18" ht="18" customHeight="1" x14ac:dyDescent="0.35">
      <c r="A14" s="1159" t="s">
        <v>818</v>
      </c>
      <c r="B14" s="1156"/>
      <c r="C14" s="1156"/>
      <c r="D14" s="599">
        <v>200000</v>
      </c>
      <c r="E14" s="553"/>
      <c r="F14" s="248"/>
      <c r="G14" s="248"/>
      <c r="H14" s="248"/>
      <c r="I14" s="248"/>
      <c r="J14" s="248"/>
      <c r="K14" s="248"/>
      <c r="L14" s="248"/>
      <c r="M14" s="248"/>
      <c r="O14" s="1154"/>
    </row>
    <row r="15" spans="1:18" ht="18" customHeight="1" x14ac:dyDescent="0.35">
      <c r="A15" s="800" t="s">
        <v>977</v>
      </c>
      <c r="B15" s="720" t="s">
        <v>978</v>
      </c>
      <c r="C15" s="720"/>
      <c r="D15" s="722">
        <f>-173583.11-99928.67</f>
        <v>-273511.77999999997</v>
      </c>
      <c r="E15" s="553"/>
      <c r="F15" s="248"/>
      <c r="G15" s="248"/>
      <c r="H15" s="248"/>
      <c r="I15" s="248"/>
      <c r="J15" s="248"/>
      <c r="K15" s="248"/>
      <c r="L15" s="248"/>
      <c r="M15" s="248"/>
      <c r="O15" s="1154"/>
    </row>
    <row r="16" spans="1:18" ht="18" customHeight="1" x14ac:dyDescent="0.35">
      <c r="A16" s="1141"/>
      <c r="B16" s="721"/>
      <c r="C16" s="905"/>
      <c r="D16" s="722"/>
      <c r="E16" s="553"/>
      <c r="F16" s="248"/>
      <c r="G16" s="248"/>
      <c r="H16" s="248"/>
      <c r="I16" s="248"/>
      <c r="J16" s="248"/>
      <c r="K16" s="248"/>
      <c r="L16" s="248"/>
      <c r="M16" s="248"/>
      <c r="O16" s="1154"/>
    </row>
    <row r="17" spans="1:19" ht="18" customHeight="1" x14ac:dyDescent="0.35">
      <c r="A17" s="1433" t="s">
        <v>11</v>
      </c>
      <c r="B17" s="1433"/>
      <c r="C17" s="1433"/>
      <c r="D17" s="603">
        <f>+D13+D14+D15+D16</f>
        <v>558564.96852499992</v>
      </c>
      <c r="E17" s="553"/>
      <c r="F17" s="321"/>
      <c r="G17" s="321"/>
      <c r="H17" s="473"/>
      <c r="I17" s="321"/>
      <c r="J17" s="321"/>
      <c r="Q17" s="1154"/>
    </row>
    <row r="18" spans="1:19" ht="18" customHeight="1" x14ac:dyDescent="0.35">
      <c r="A18" s="1053"/>
      <c r="B18" s="1054"/>
      <c r="C18" s="1054"/>
      <c r="D18" s="1055"/>
      <c r="F18" s="321"/>
      <c r="G18" s="321"/>
      <c r="H18" s="473"/>
      <c r="I18" s="321"/>
      <c r="J18" s="321"/>
      <c r="Q18" s="1154"/>
    </row>
    <row r="19" spans="1:19" s="908" customFormat="1" ht="18" customHeight="1" x14ac:dyDescent="0.35">
      <c r="A19" s="689"/>
      <c r="B19" s="689"/>
      <c r="C19" s="689"/>
      <c r="D19" s="688"/>
      <c r="E19" s="1044"/>
      <c r="I19" s="910"/>
      <c r="J19" s="911"/>
      <c r="K19" s="912"/>
      <c r="L19" s="912"/>
      <c r="M19" s="910"/>
      <c r="N19" s="910"/>
      <c r="O19" s="910"/>
      <c r="P19" s="764"/>
      <c r="S19" s="764"/>
    </row>
    <row r="20" spans="1:19" ht="18" customHeight="1" x14ac:dyDescent="0.45">
      <c r="A20" s="1450" t="s">
        <v>995</v>
      </c>
      <c r="B20" s="1451"/>
      <c r="C20" s="1451"/>
      <c r="D20" s="1452"/>
      <c r="E20" s="1045"/>
      <c r="J20" s="185"/>
      <c r="K20" s="181"/>
      <c r="L20" s="181"/>
      <c r="M20" s="181"/>
      <c r="N20" s="181"/>
    </row>
    <row r="21" spans="1:19" ht="18" customHeight="1" x14ac:dyDescent="0.35">
      <c r="A21" s="604" t="s">
        <v>7</v>
      </c>
      <c r="B21" s="605" t="s">
        <v>8</v>
      </c>
      <c r="C21" s="606" t="s">
        <v>4</v>
      </c>
      <c r="D21" s="606" t="s">
        <v>9</v>
      </c>
      <c r="E21" s="564"/>
      <c r="J21" s="185"/>
      <c r="K21" s="181"/>
      <c r="L21" s="181"/>
      <c r="M21" s="184"/>
    </row>
    <row r="22" spans="1:19" ht="18" customHeight="1" x14ac:dyDescent="0.35">
      <c r="A22" s="607" t="s">
        <v>3</v>
      </c>
      <c r="B22" s="267">
        <v>132</v>
      </c>
      <c r="C22" s="211">
        <f>2165*1.18*1.1</f>
        <v>2810.17</v>
      </c>
      <c r="D22" s="211">
        <f>+B22*C22</f>
        <v>370942.44</v>
      </c>
      <c r="E22" s="564"/>
      <c r="J22" s="182"/>
    </row>
    <row r="23" spans="1:19" ht="18" customHeight="1" x14ac:dyDescent="0.35">
      <c r="A23" s="607" t="s">
        <v>111</v>
      </c>
      <c r="B23" s="267">
        <v>0</v>
      </c>
      <c r="C23" s="211">
        <f>+C22</f>
        <v>2810.17</v>
      </c>
      <c r="D23" s="211">
        <f>+B23*C23</f>
        <v>0</v>
      </c>
      <c r="E23" s="564"/>
      <c r="J23" s="182"/>
    </row>
    <row r="24" spans="1:19" ht="18" customHeight="1" x14ac:dyDescent="0.35">
      <c r="A24" s="772" t="s">
        <v>196</v>
      </c>
      <c r="B24" s="267"/>
      <c r="C24" s="211">
        <v>30000</v>
      </c>
      <c r="D24" s="211">
        <f>+C24</f>
        <v>30000</v>
      </c>
      <c r="E24" s="564"/>
      <c r="I24" s="1154"/>
    </row>
    <row r="25" spans="1:19" ht="18" customHeight="1" x14ac:dyDescent="0.35">
      <c r="A25" s="772" t="s">
        <v>6</v>
      </c>
      <c r="B25" s="267"/>
      <c r="C25" s="211">
        <v>50000</v>
      </c>
      <c r="D25" s="211">
        <f>+C25</f>
        <v>50000</v>
      </c>
      <c r="E25" s="564"/>
      <c r="I25" s="1154"/>
    </row>
    <row r="26" spans="1:19" ht="18" customHeight="1" x14ac:dyDescent="0.35">
      <c r="A26" s="772" t="s">
        <v>999</v>
      </c>
      <c r="B26" s="267">
        <v>5</v>
      </c>
      <c r="C26" s="211">
        <f>+C22*1.5</f>
        <v>4215.2550000000001</v>
      </c>
      <c r="D26" s="211">
        <f>B26*C26</f>
        <v>21076.275000000001</v>
      </c>
      <c r="E26" s="1043"/>
      <c r="F26" s="181"/>
      <c r="G26" s="187"/>
      <c r="H26" s="188"/>
      <c r="I26" s="1154"/>
      <c r="L26" s="1154"/>
    </row>
    <row r="27" spans="1:19" ht="18" customHeight="1" x14ac:dyDescent="0.35">
      <c r="A27" s="772" t="s">
        <v>998</v>
      </c>
      <c r="B27" s="267">
        <v>12</v>
      </c>
      <c r="C27" s="211">
        <f>+C26</f>
        <v>4215.2550000000001</v>
      </c>
      <c r="D27" s="211">
        <f>+B27*C27</f>
        <v>50583.06</v>
      </c>
      <c r="E27" s="1043"/>
      <c r="F27" s="181"/>
      <c r="G27" s="187"/>
      <c r="H27" s="188"/>
      <c r="I27" s="1166"/>
      <c r="L27" s="1166"/>
    </row>
    <row r="28" spans="1:19" ht="18" customHeight="1" x14ac:dyDescent="0.35">
      <c r="A28" s="772" t="s">
        <v>281</v>
      </c>
      <c r="B28" s="267">
        <v>0</v>
      </c>
      <c r="C28" s="211">
        <f>+C22*2</f>
        <v>5620.34</v>
      </c>
      <c r="D28" s="211">
        <f>+B28*C28</f>
        <v>0</v>
      </c>
      <c r="E28" s="1043"/>
      <c r="F28" s="181"/>
      <c r="G28" s="187"/>
      <c r="H28" s="188"/>
      <c r="I28" s="1154"/>
      <c r="L28" s="1154"/>
    </row>
    <row r="29" spans="1:19" s="1154" customFormat="1" ht="18" customHeight="1" x14ac:dyDescent="0.35">
      <c r="A29" s="1463" t="s">
        <v>389</v>
      </c>
      <c r="B29" s="1464"/>
      <c r="C29" s="1465"/>
      <c r="D29" s="599">
        <f>+D22+D23+D24+D25+D26+D27+D28</f>
        <v>522601.77500000002</v>
      </c>
      <c r="E29" s="553"/>
      <c r="F29" s="181"/>
      <c r="G29" s="181"/>
      <c r="H29" s="184"/>
      <c r="I29" s="771"/>
      <c r="K29" s="771"/>
      <c r="L29" s="771"/>
    </row>
    <row r="30" spans="1:19" s="1155" customFormat="1" ht="18" customHeight="1" x14ac:dyDescent="0.35">
      <c r="A30" s="129" t="s">
        <v>1006</v>
      </c>
      <c r="B30" s="749"/>
      <c r="C30" s="1072" t="s">
        <v>63</v>
      </c>
      <c r="D30" s="749">
        <v>150000</v>
      </c>
      <c r="E30" s="553"/>
      <c r="F30" s="184"/>
      <c r="G30" s="184"/>
      <c r="H30" s="184"/>
      <c r="I30" s="90"/>
      <c r="K30" s="90"/>
      <c r="L30" s="90"/>
    </row>
    <row r="31" spans="1:19" s="1154" customFormat="1" ht="18" customHeight="1" x14ac:dyDescent="0.35">
      <c r="A31" s="825" t="s">
        <v>374</v>
      </c>
      <c r="B31" s="824" t="s">
        <v>63</v>
      </c>
      <c r="C31" s="823"/>
      <c r="D31" s="930">
        <v>-150000</v>
      </c>
      <c r="E31" s="553"/>
      <c r="F31" s="181"/>
      <c r="G31" s="181"/>
      <c r="H31" s="184"/>
      <c r="I31" s="771"/>
      <c r="K31" s="771"/>
      <c r="L31" s="771"/>
    </row>
    <row r="32" spans="1:19" s="1154" customFormat="1" ht="18" customHeight="1" x14ac:dyDescent="0.35">
      <c r="A32" s="825"/>
      <c r="B32" s="824"/>
      <c r="C32" s="823"/>
      <c r="D32" s="930"/>
      <c r="E32" s="1042"/>
      <c r="F32" s="181"/>
      <c r="G32" s="181"/>
      <c r="H32" s="184"/>
      <c r="I32" s="771"/>
      <c r="K32" s="771"/>
      <c r="L32" s="771"/>
    </row>
    <row r="33" spans="1:19" ht="18" customHeight="1" x14ac:dyDescent="0.35">
      <c r="A33" s="786" t="s">
        <v>11</v>
      </c>
      <c r="B33" s="783"/>
      <c r="C33" s="783"/>
      <c r="D33" s="784">
        <f>+D29+D30+D31+D32</f>
        <v>522601.77500000002</v>
      </c>
      <c r="E33" s="553"/>
      <c r="F33" s="181"/>
      <c r="G33" s="181"/>
      <c r="H33" s="184"/>
    </row>
    <row r="34" spans="1:19" ht="18" customHeight="1" x14ac:dyDescent="0.35">
      <c r="A34" s="1047"/>
      <c r="B34" s="594"/>
      <c r="C34" s="594"/>
      <c r="D34" s="595"/>
      <c r="F34" s="181"/>
      <c r="G34" s="181"/>
      <c r="H34" s="184"/>
    </row>
    <row r="35" spans="1:19" ht="18" customHeight="1" x14ac:dyDescent="0.35">
      <c r="A35" s="594"/>
      <c r="B35" s="594"/>
      <c r="C35" s="594"/>
      <c r="D35" s="595"/>
      <c r="F35" s="181"/>
      <c r="G35" s="181"/>
      <c r="H35" s="184"/>
    </row>
    <row r="36" spans="1:19" ht="18" customHeight="1" x14ac:dyDescent="0.35">
      <c r="A36" s="1442" t="s">
        <v>979</v>
      </c>
      <c r="B36" s="1443"/>
      <c r="C36" s="1443"/>
      <c r="D36" s="1444"/>
      <c r="F36" s="181"/>
      <c r="G36" s="181"/>
      <c r="H36" s="184"/>
    </row>
    <row r="37" spans="1:19" ht="18" customHeight="1" x14ac:dyDescent="0.35">
      <c r="A37" s="2"/>
      <c r="B37" s="270" t="s">
        <v>8</v>
      </c>
      <c r="C37" s="217" t="s">
        <v>4</v>
      </c>
      <c r="D37" s="597" t="s">
        <v>9</v>
      </c>
      <c r="F37" s="181"/>
      <c r="G37" s="181"/>
      <c r="H37" s="184"/>
    </row>
    <row r="38" spans="1:19" ht="18" customHeight="1" x14ac:dyDescent="0.35">
      <c r="A38" s="772" t="s">
        <v>253</v>
      </c>
      <c r="B38" s="258">
        <v>159</v>
      </c>
      <c r="C38" s="194">
        <f>3288*1.2</f>
        <v>3945.6</v>
      </c>
      <c r="D38" s="598">
        <f>+B38*C38</f>
        <v>627350.4</v>
      </c>
      <c r="E38" s="564"/>
      <c r="F38" s="181"/>
      <c r="G38" s="181"/>
      <c r="H38" s="184"/>
    </row>
    <row r="39" spans="1:19" ht="18" customHeight="1" x14ac:dyDescent="0.35">
      <c r="A39" s="772" t="s">
        <v>111</v>
      </c>
      <c r="B39" s="258">
        <v>0</v>
      </c>
      <c r="C39" s="194">
        <f>+C38</f>
        <v>3945.6</v>
      </c>
      <c r="D39" s="598">
        <f>+B39*C39</f>
        <v>0</v>
      </c>
      <c r="E39" s="564"/>
      <c r="F39" s="181"/>
      <c r="G39" s="181"/>
      <c r="H39" s="184"/>
    </row>
    <row r="40" spans="1:19" s="90" customFormat="1" ht="18" customHeight="1" x14ac:dyDescent="0.35">
      <c r="A40" s="141" t="s">
        <v>980</v>
      </c>
      <c r="B40" s="274">
        <v>40</v>
      </c>
      <c r="C40" s="195">
        <f>+C38</f>
        <v>3945.6</v>
      </c>
      <c r="D40" s="1017">
        <f>+B40*C40</f>
        <v>157824</v>
      </c>
      <c r="E40" s="564"/>
      <c r="F40" s="184"/>
      <c r="G40" s="184"/>
      <c r="H40" s="184"/>
    </row>
    <row r="41" spans="1:19" ht="15" customHeight="1" x14ac:dyDescent="0.35">
      <c r="A41" s="772" t="s">
        <v>196</v>
      </c>
      <c r="B41" s="258"/>
      <c r="C41" s="194">
        <v>30000</v>
      </c>
      <c r="D41" s="598">
        <f>+C41</f>
        <v>30000</v>
      </c>
      <c r="E41" s="564"/>
      <c r="F41" s="181"/>
      <c r="G41" s="181"/>
      <c r="H41" s="184"/>
      <c r="I41" s="1154"/>
    </row>
    <row r="42" spans="1:19" ht="15" customHeight="1" x14ac:dyDescent="0.35">
      <c r="A42" s="772" t="s">
        <v>6</v>
      </c>
      <c r="B42" s="258"/>
      <c r="C42" s="194">
        <v>70000</v>
      </c>
      <c r="D42" s="598">
        <f>+C42</f>
        <v>70000</v>
      </c>
      <c r="E42" s="564"/>
      <c r="F42" s="181"/>
      <c r="G42" s="181"/>
      <c r="H42" s="184"/>
      <c r="I42" s="1154"/>
    </row>
    <row r="43" spans="1:19" ht="15" customHeight="1" x14ac:dyDescent="0.35">
      <c r="A43" s="772" t="s">
        <v>982</v>
      </c>
      <c r="B43" s="315">
        <v>6.5</v>
      </c>
      <c r="C43" s="194">
        <f>+C38*1.5</f>
        <v>5918.4</v>
      </c>
      <c r="D43" s="598">
        <f>+B43*C43</f>
        <v>38469.599999999999</v>
      </c>
      <c r="F43" s="181"/>
      <c r="G43" s="181"/>
      <c r="H43" s="184"/>
      <c r="I43" s="1154"/>
    </row>
    <row r="44" spans="1:19" ht="15" customHeight="1" x14ac:dyDescent="0.35">
      <c r="A44" s="772" t="s">
        <v>981</v>
      </c>
      <c r="B44" s="315">
        <v>9</v>
      </c>
      <c r="C44" s="194">
        <f>+C43</f>
        <v>5918.4</v>
      </c>
      <c r="D44" s="598">
        <f>+B44*C44</f>
        <v>53265.599999999999</v>
      </c>
      <c r="F44" s="181"/>
      <c r="G44" s="181"/>
      <c r="H44" s="184"/>
      <c r="I44" s="1161"/>
    </row>
    <row r="45" spans="1:19" ht="15" customHeight="1" x14ac:dyDescent="0.35">
      <c r="A45" s="772" t="s">
        <v>449</v>
      </c>
      <c r="B45" s="315">
        <v>0</v>
      </c>
      <c r="C45" s="194">
        <f>+C38*2</f>
        <v>7891.2</v>
      </c>
      <c r="D45" s="598">
        <f>+B45*C45</f>
        <v>0</v>
      </c>
      <c r="E45" s="553"/>
      <c r="F45" s="181"/>
      <c r="G45" s="416"/>
      <c r="H45" s="184"/>
      <c r="I45" s="1154"/>
    </row>
    <row r="46" spans="1:19" ht="15" customHeight="1" x14ac:dyDescent="0.35">
      <c r="A46" s="1463" t="s">
        <v>389</v>
      </c>
      <c r="B46" s="1464"/>
      <c r="C46" s="1465"/>
      <c r="D46" s="599">
        <f>+D38+D39+D40+D41+D42+D43+D44+D45</f>
        <v>976909.6</v>
      </c>
      <c r="E46" s="553"/>
      <c r="J46" s="176"/>
      <c r="K46" s="176"/>
      <c r="L46" s="176"/>
      <c r="M46" s="181"/>
      <c r="N46" s="181"/>
      <c r="O46" s="184"/>
      <c r="Q46" s="1154"/>
    </row>
    <row r="47" spans="1:19" ht="15" customHeight="1" x14ac:dyDescent="0.35">
      <c r="A47" s="1160" t="s">
        <v>1004</v>
      </c>
      <c r="B47" s="1157"/>
      <c r="C47" s="1158"/>
      <c r="D47" s="599">
        <v>200000</v>
      </c>
      <c r="E47" s="553"/>
      <c r="J47" s="176"/>
      <c r="K47" s="176"/>
      <c r="L47" s="176"/>
      <c r="M47" s="181"/>
      <c r="N47" s="181"/>
      <c r="O47" s="184"/>
      <c r="Q47" s="1154"/>
    </row>
    <row r="48" spans="1:19" s="1154" customFormat="1" ht="15" customHeight="1" x14ac:dyDescent="0.35">
      <c r="A48" s="921" t="s">
        <v>630</v>
      </c>
      <c r="B48" s="727" t="s">
        <v>63</v>
      </c>
      <c r="C48" s="727" t="s">
        <v>63</v>
      </c>
      <c r="D48" s="722">
        <v>-315800</v>
      </c>
      <c r="E48" s="1043"/>
      <c r="F48" s="774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154" customFormat="1" ht="15" customHeight="1" x14ac:dyDescent="0.35">
      <c r="A49" s="921"/>
      <c r="B49" s="727"/>
      <c r="C49" s="727"/>
      <c r="D49" s="722"/>
      <c r="E49" s="1043"/>
      <c r="F49" s="771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154" customFormat="1" ht="15" customHeight="1" x14ac:dyDescent="0.35">
      <c r="A50" s="1103" t="s">
        <v>11</v>
      </c>
      <c r="B50" s="1104"/>
      <c r="C50" s="197"/>
      <c r="D50" s="675">
        <f>+D46+D47+D48+D49</f>
        <v>861109.60000000009</v>
      </c>
      <c r="E50" s="1025"/>
      <c r="F50" s="771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s="1162" customFormat="1" ht="15" customHeight="1" x14ac:dyDescent="0.35">
      <c r="A51" s="1164"/>
      <c r="B51" s="1165"/>
      <c r="C51" s="1163"/>
      <c r="D51" s="1090"/>
      <c r="E51" s="1025"/>
      <c r="F51" s="771"/>
      <c r="G51" s="771"/>
      <c r="H51" s="771"/>
      <c r="I51" s="771"/>
      <c r="J51" s="176"/>
      <c r="K51" s="176"/>
      <c r="L51" s="176"/>
      <c r="M51" s="176"/>
      <c r="N51" s="176"/>
      <c r="O51" s="176"/>
      <c r="P51" s="771"/>
      <c r="Q51" s="771"/>
      <c r="R51" s="771"/>
      <c r="S51" s="771"/>
    </row>
    <row r="52" spans="1:19" ht="15" customHeight="1" x14ac:dyDescent="0.35">
      <c r="A52" s="90"/>
      <c r="B52" s="771"/>
      <c r="C52" s="771"/>
      <c r="D52" s="771"/>
      <c r="K52" s="183"/>
      <c r="L52" s="183"/>
      <c r="M52" s="176"/>
      <c r="N52" s="176"/>
      <c r="O52" s="176"/>
      <c r="Q52" s="1154"/>
    </row>
    <row r="53" spans="1:19" ht="15" customHeight="1" x14ac:dyDescent="0.35">
      <c r="B53" s="771"/>
      <c r="C53" s="771"/>
      <c r="D53" s="774" t="s">
        <v>63</v>
      </c>
    </row>
    <row r="54" spans="1:19" ht="15" customHeight="1" x14ac:dyDescent="0.35">
      <c r="A54" s="1442" t="s">
        <v>983</v>
      </c>
      <c r="B54" s="1443"/>
      <c r="C54" s="1443"/>
      <c r="D54" s="1444"/>
      <c r="S54" s="1154"/>
    </row>
    <row r="55" spans="1:19" x14ac:dyDescent="0.35">
      <c r="A55" s="2" t="s">
        <v>7</v>
      </c>
      <c r="B55" s="270" t="s">
        <v>8</v>
      </c>
      <c r="C55" s="217" t="s">
        <v>4</v>
      </c>
      <c r="D55" s="597" t="s">
        <v>9</v>
      </c>
    </row>
    <row r="56" spans="1:19" x14ac:dyDescent="0.35">
      <c r="A56" s="772" t="s">
        <v>253</v>
      </c>
      <c r="B56" s="258">
        <v>176</v>
      </c>
      <c r="C56" s="227">
        <f>2295*1.2</f>
        <v>2754</v>
      </c>
      <c r="D56" s="598">
        <f>+B56*C56</f>
        <v>484704</v>
      </c>
      <c r="E56" s="564"/>
    </row>
    <row r="57" spans="1:19" x14ac:dyDescent="0.35">
      <c r="A57" s="772" t="s">
        <v>282</v>
      </c>
      <c r="B57" s="258"/>
      <c r="C57" s="227">
        <f>+C56</f>
        <v>2754</v>
      </c>
      <c r="D57" s="598">
        <f>+B57*C57</f>
        <v>0</v>
      </c>
      <c r="E57" s="564"/>
    </row>
    <row r="58" spans="1:19" x14ac:dyDescent="0.35">
      <c r="A58" s="772" t="s">
        <v>266</v>
      </c>
      <c r="B58" s="258"/>
      <c r="C58" s="227">
        <v>30000</v>
      </c>
      <c r="D58" s="598">
        <f>+C58</f>
        <v>30000</v>
      </c>
      <c r="E58" s="564"/>
    </row>
    <row r="59" spans="1:19" x14ac:dyDescent="0.35">
      <c r="A59" s="772" t="s">
        <v>6</v>
      </c>
      <c r="B59" s="258"/>
      <c r="C59" s="227">
        <v>70000</v>
      </c>
      <c r="D59" s="598">
        <f>+C59</f>
        <v>70000</v>
      </c>
      <c r="E59" s="564"/>
    </row>
    <row r="60" spans="1:19" x14ac:dyDescent="0.35">
      <c r="A60" s="772" t="s">
        <v>1000</v>
      </c>
      <c r="B60" s="258">
        <v>3.5</v>
      </c>
      <c r="C60" s="194">
        <f>+C56*1.5</f>
        <v>4131</v>
      </c>
      <c r="D60" s="598">
        <f>+B60*C60</f>
        <v>14458.5</v>
      </c>
      <c r="E60" s="564"/>
    </row>
    <row r="61" spans="1:19" x14ac:dyDescent="0.35">
      <c r="A61" s="772" t="s">
        <v>1001</v>
      </c>
      <c r="B61" s="258">
        <v>7.15</v>
      </c>
      <c r="C61" s="194">
        <f>+C60</f>
        <v>4131</v>
      </c>
      <c r="D61" s="598">
        <f>+B61*C61</f>
        <v>29536.65</v>
      </c>
      <c r="E61" s="564"/>
    </row>
    <row r="62" spans="1:19" x14ac:dyDescent="0.35">
      <c r="A62" s="772" t="s">
        <v>449</v>
      </c>
      <c r="B62" s="258">
        <v>0</v>
      </c>
      <c r="C62" s="194">
        <f>+C56*2</f>
        <v>5508</v>
      </c>
      <c r="D62" s="598">
        <f>+B62*C62</f>
        <v>0</v>
      </c>
    </row>
    <row r="63" spans="1:19" x14ac:dyDescent="0.35">
      <c r="A63" s="1463" t="s">
        <v>99</v>
      </c>
      <c r="B63" s="1464"/>
      <c r="C63" s="1465"/>
      <c r="D63" s="599">
        <f>+D56+D57+D58+D59+D60+D61+D62</f>
        <v>628699.15</v>
      </c>
      <c r="E63" s="553"/>
      <c r="F63" s="774"/>
    </row>
    <row r="64" spans="1:19" x14ac:dyDescent="0.35">
      <c r="A64" s="1159" t="s">
        <v>823</v>
      </c>
      <c r="B64" s="1156"/>
      <c r="C64" s="1156"/>
      <c r="D64" s="599">
        <v>150000</v>
      </c>
      <c r="E64" s="553"/>
    </row>
    <row r="65" spans="1:6" x14ac:dyDescent="0.35">
      <c r="A65" s="921"/>
      <c r="B65" s="922"/>
      <c r="C65" s="720"/>
      <c r="D65" s="722"/>
      <c r="E65" s="553"/>
    </row>
    <row r="66" spans="1:6" x14ac:dyDescent="0.35">
      <c r="A66" s="672"/>
      <c r="B66" s="673" t="s">
        <v>11</v>
      </c>
      <c r="C66" s="674"/>
      <c r="D66" s="675">
        <f>+D63+D64+D65</f>
        <v>778699.15</v>
      </c>
      <c r="E66" s="553"/>
    </row>
    <row r="67" spans="1:6" x14ac:dyDescent="0.35">
      <c r="B67" s="771"/>
      <c r="C67" s="771"/>
      <c r="D67" s="771"/>
    </row>
    <row r="69" spans="1:6" ht="14.5" customHeight="1" x14ac:dyDescent="0.35">
      <c r="A69" s="1442" t="s">
        <v>984</v>
      </c>
      <c r="B69" s="1443"/>
      <c r="C69" s="1443"/>
      <c r="D69" s="1444"/>
    </row>
    <row r="70" spans="1:6" ht="14.5" customHeight="1" x14ac:dyDescent="0.35">
      <c r="A70" s="2" t="s">
        <v>7</v>
      </c>
      <c r="B70" s="270" t="s">
        <v>8</v>
      </c>
      <c r="C70" s="217" t="s">
        <v>4</v>
      </c>
      <c r="D70" s="597" t="s">
        <v>63</v>
      </c>
    </row>
    <row r="71" spans="1:6" ht="14.5" customHeight="1" x14ac:dyDescent="0.35">
      <c r="A71" s="772" t="s">
        <v>3</v>
      </c>
      <c r="B71" s="258">
        <v>176</v>
      </c>
      <c r="C71" s="227">
        <f>1907*1.25*1.1</f>
        <v>2622.125</v>
      </c>
      <c r="D71" s="598">
        <f>+B71*C71</f>
        <v>461494</v>
      </c>
      <c r="E71" s="564"/>
    </row>
    <row r="72" spans="1:6" ht="14.5" customHeight="1" x14ac:dyDescent="0.35">
      <c r="A72" s="772" t="s">
        <v>282</v>
      </c>
      <c r="B72" s="258"/>
      <c r="C72" s="227">
        <f>+C71</f>
        <v>2622.125</v>
      </c>
      <c r="D72" s="598">
        <f>+B72*C72</f>
        <v>0</v>
      </c>
      <c r="E72" s="564"/>
    </row>
    <row r="73" spans="1:6" x14ac:dyDescent="0.35">
      <c r="A73" s="772" t="s">
        <v>266</v>
      </c>
      <c r="B73" s="258"/>
      <c r="C73" s="227">
        <v>30000</v>
      </c>
      <c r="D73" s="598">
        <f>+C73</f>
        <v>30000</v>
      </c>
      <c r="E73" s="564"/>
    </row>
    <row r="74" spans="1:6" x14ac:dyDescent="0.35">
      <c r="A74" s="772" t="s">
        <v>6</v>
      </c>
      <c r="B74" s="258"/>
      <c r="C74" s="227">
        <v>50000</v>
      </c>
      <c r="D74" s="598">
        <f>+C74</f>
        <v>50000</v>
      </c>
      <c r="E74" s="564"/>
    </row>
    <row r="75" spans="1:6" s="1069" customFormat="1" x14ac:dyDescent="0.35">
      <c r="A75" s="614" t="s">
        <v>996</v>
      </c>
      <c r="B75" s="617">
        <v>5</v>
      </c>
      <c r="C75" s="227">
        <f>+C71*1.5</f>
        <v>3933.1875</v>
      </c>
      <c r="D75" s="598">
        <f>+B75*C75</f>
        <v>19665.9375</v>
      </c>
      <c r="E75" s="564"/>
    </row>
    <row r="76" spans="1:6" s="1069" customFormat="1" x14ac:dyDescent="0.35">
      <c r="A76" s="614" t="s">
        <v>997</v>
      </c>
      <c r="B76" s="617">
        <v>15.5</v>
      </c>
      <c r="C76" s="227">
        <f>+C75</f>
        <v>3933.1875</v>
      </c>
      <c r="D76" s="598">
        <f>+B76*C76</f>
        <v>60964.40625</v>
      </c>
      <c r="E76" s="564"/>
    </row>
    <row r="77" spans="1:6" x14ac:dyDescent="0.35">
      <c r="A77" s="772" t="s">
        <v>281</v>
      </c>
      <c r="B77" s="258"/>
      <c r="C77" s="227">
        <f>+C71*2</f>
        <v>5244.25</v>
      </c>
      <c r="D77" s="598">
        <f>+B77*C77</f>
        <v>0</v>
      </c>
    </row>
    <row r="78" spans="1:6" x14ac:dyDescent="0.35">
      <c r="A78" s="889"/>
      <c r="B78" s="890"/>
      <c r="C78" s="814"/>
      <c r="D78" s="598">
        <f>+C78</f>
        <v>0</v>
      </c>
    </row>
    <row r="79" spans="1:6" x14ac:dyDescent="0.35">
      <c r="A79" s="1463" t="s">
        <v>389</v>
      </c>
      <c r="B79" s="1464"/>
      <c r="C79" s="1465"/>
      <c r="D79" s="599">
        <f>+D71+D72+D73+D74+D75+D76+D77+D78</f>
        <v>622124.34375</v>
      </c>
      <c r="E79" s="553"/>
      <c r="F79" s="774"/>
    </row>
    <row r="80" spans="1:6" x14ac:dyDescent="0.35">
      <c r="A80" s="1160" t="s">
        <v>1005</v>
      </c>
      <c r="B80" s="1157"/>
      <c r="C80" s="1158"/>
      <c r="D80" s="599">
        <v>130000</v>
      </c>
      <c r="E80" s="553"/>
      <c r="F80" s="774"/>
    </row>
    <row r="81" spans="1:5" x14ac:dyDescent="0.35">
      <c r="A81" s="723"/>
      <c r="B81" s="721"/>
      <c r="C81" s="721"/>
      <c r="D81" s="722"/>
      <c r="E81" s="553"/>
    </row>
    <row r="82" spans="1:5" x14ac:dyDescent="0.35">
      <c r="A82" s="723"/>
      <c r="B82" s="721"/>
      <c r="C82" s="721"/>
      <c r="D82" s="722"/>
      <c r="E82" s="553"/>
    </row>
    <row r="83" spans="1:5" ht="15.5" x14ac:dyDescent="0.35">
      <c r="A83" s="1460" t="s">
        <v>11</v>
      </c>
      <c r="B83" s="1461"/>
      <c r="C83" s="1462"/>
      <c r="D83" s="603">
        <f>+D79+D80+D81+D82</f>
        <v>752124.34375</v>
      </c>
      <c r="E83" s="553"/>
    </row>
    <row r="84" spans="1:5" s="90" customFormat="1" x14ac:dyDescent="0.35">
      <c r="A84" s="1035"/>
      <c r="B84" s="1042"/>
      <c r="C84" s="553"/>
      <c r="D84" s="1051"/>
      <c r="E84" s="1042"/>
    </row>
    <row r="86" spans="1:5" ht="23.5" x14ac:dyDescent="0.35">
      <c r="A86" s="1442" t="s">
        <v>985</v>
      </c>
      <c r="B86" s="1443"/>
      <c r="C86" s="1443"/>
      <c r="D86" s="1444"/>
    </row>
    <row r="87" spans="1:5" x14ac:dyDescent="0.35">
      <c r="A87" s="2" t="s">
        <v>7</v>
      </c>
      <c r="B87" s="270" t="s">
        <v>388</v>
      </c>
      <c r="C87" s="217" t="s">
        <v>272</v>
      </c>
      <c r="D87" s="597" t="s">
        <v>9</v>
      </c>
    </row>
    <row r="88" spans="1:5" x14ac:dyDescent="0.35">
      <c r="A88" s="772" t="s">
        <v>3</v>
      </c>
      <c r="B88" s="258">
        <v>176</v>
      </c>
      <c r="C88" s="227">
        <f>2175*1.25</f>
        <v>2718.75</v>
      </c>
      <c r="D88" s="598">
        <f>+B88*C88</f>
        <v>478500</v>
      </c>
      <c r="E88" s="1048"/>
    </row>
    <row r="89" spans="1:5" x14ac:dyDescent="0.35">
      <c r="A89" s="772" t="s">
        <v>111</v>
      </c>
      <c r="B89" s="258"/>
      <c r="C89" s="227">
        <f>+C88</f>
        <v>2718.75</v>
      </c>
      <c r="D89" s="598">
        <f>+B89*C89</f>
        <v>0</v>
      </c>
      <c r="E89" s="564"/>
    </row>
    <row r="90" spans="1:5" x14ac:dyDescent="0.35">
      <c r="A90" s="772" t="s">
        <v>6</v>
      </c>
      <c r="B90" s="258"/>
      <c r="C90" s="227">
        <v>80000</v>
      </c>
      <c r="D90" s="598">
        <f>+C90</f>
        <v>80000</v>
      </c>
      <c r="E90" s="564"/>
    </row>
    <row r="91" spans="1:5" x14ac:dyDescent="0.35">
      <c r="A91" s="772" t="s">
        <v>200</v>
      </c>
      <c r="B91" s="258"/>
      <c r="C91" s="227">
        <v>30000</v>
      </c>
      <c r="D91" s="598">
        <v>30000</v>
      </c>
      <c r="E91" s="564"/>
    </row>
    <row r="92" spans="1:5" x14ac:dyDescent="0.35">
      <c r="A92" s="772" t="s">
        <v>996</v>
      </c>
      <c r="B92" s="258">
        <v>6</v>
      </c>
      <c r="C92" s="227">
        <f>+C88*1.5</f>
        <v>4078.125</v>
      </c>
      <c r="D92" s="811">
        <f>+B92*C92</f>
        <v>24468.75</v>
      </c>
      <c r="E92" s="564"/>
    </row>
    <row r="93" spans="1:5" x14ac:dyDescent="0.35">
      <c r="A93" s="772" t="s">
        <v>1002</v>
      </c>
      <c r="B93" s="258">
        <v>11</v>
      </c>
      <c r="C93" s="227">
        <f>+C92</f>
        <v>4078.125</v>
      </c>
      <c r="D93" s="811">
        <f>+B93*C93</f>
        <v>44859.375</v>
      </c>
      <c r="E93" s="564"/>
    </row>
    <row r="94" spans="1:5" x14ac:dyDescent="0.35">
      <c r="A94" s="772" t="s">
        <v>757</v>
      </c>
      <c r="B94" s="258">
        <v>0</v>
      </c>
      <c r="C94" s="227">
        <f>+C88*2</f>
        <v>5437.5</v>
      </c>
      <c r="D94" s="598">
        <f>+B94*C94</f>
        <v>0</v>
      </c>
    </row>
    <row r="95" spans="1:5" s="90" customFormat="1" x14ac:dyDescent="0.35">
      <c r="A95" s="141"/>
      <c r="B95" s="274"/>
      <c r="C95" s="195"/>
      <c r="D95" s="1017"/>
      <c r="E95" s="1042"/>
    </row>
    <row r="96" spans="1:5" x14ac:dyDescent="0.35">
      <c r="A96" s="1036" t="s">
        <v>389</v>
      </c>
      <c r="B96" s="681"/>
      <c r="C96" s="1037"/>
      <c r="D96" s="1038">
        <f>+D88+D89+D90+D91+D92+D93+D94+D95</f>
        <v>657828.125</v>
      </c>
      <c r="E96" s="553"/>
    </row>
    <row r="97" spans="1:6" x14ac:dyDescent="0.35">
      <c r="A97" s="1036" t="s">
        <v>1007</v>
      </c>
      <c r="B97" s="681"/>
      <c r="C97" s="1037"/>
      <c r="D97" s="675">
        <v>300000</v>
      </c>
      <c r="F97" s="774"/>
    </row>
    <row r="98" spans="1:6" x14ac:dyDescent="0.35">
      <c r="A98" s="772" t="s">
        <v>19</v>
      </c>
      <c r="B98" s="258"/>
      <c r="C98" s="227"/>
      <c r="D98" s="731">
        <v>-100000</v>
      </c>
      <c r="F98" s="774"/>
    </row>
    <row r="99" spans="1:6" x14ac:dyDescent="0.35">
      <c r="A99" s="889"/>
      <c r="B99" s="890"/>
      <c r="C99" s="814"/>
      <c r="D99" s="731"/>
    </row>
    <row r="100" spans="1:6" ht="15.5" x14ac:dyDescent="0.35">
      <c r="A100" s="1460" t="s">
        <v>11</v>
      </c>
      <c r="B100" s="1461"/>
      <c r="C100" s="1462"/>
      <c r="D100" s="603">
        <f>+D96+D97+D98+D99</f>
        <v>857828.125</v>
      </c>
      <c r="E100" s="553" t="s">
        <v>63</v>
      </c>
    </row>
    <row r="101" spans="1:6" ht="15.5" x14ac:dyDescent="0.35">
      <c r="A101" s="723" t="s">
        <v>631</v>
      </c>
      <c r="B101" s="723"/>
      <c r="C101" s="723"/>
      <c r="D101" s="832">
        <v>-160000</v>
      </c>
      <c r="E101" s="553"/>
    </row>
    <row r="102" spans="1:6" ht="15.5" x14ac:dyDescent="0.35">
      <c r="A102" s="611" t="s">
        <v>1010</v>
      </c>
      <c r="B102" s="611"/>
      <c r="C102" s="611"/>
      <c r="D102" s="603">
        <f>+D100+D101</f>
        <v>697828.125</v>
      </c>
      <c r="E102" s="553"/>
    </row>
    <row r="103" spans="1:6" s="90" customFormat="1" x14ac:dyDescent="0.35">
      <c r="B103" s="1042"/>
      <c r="C103" s="553"/>
      <c r="D103" s="1051" t="s">
        <v>63</v>
      </c>
      <c r="E103" s="1042"/>
    </row>
    <row r="105" spans="1:6" ht="23.5" x14ac:dyDescent="0.35">
      <c r="A105" s="1431" t="s">
        <v>986</v>
      </c>
      <c r="B105" s="1431"/>
      <c r="C105" s="1431"/>
      <c r="D105" s="1431"/>
    </row>
    <row r="106" spans="1:6" x14ac:dyDescent="0.35">
      <c r="A106" s="2" t="s">
        <v>7</v>
      </c>
      <c r="B106" s="270" t="s">
        <v>8</v>
      </c>
      <c r="C106" s="217" t="s">
        <v>4</v>
      </c>
      <c r="D106" s="597" t="s">
        <v>9</v>
      </c>
    </row>
    <row r="107" spans="1:6" x14ac:dyDescent="0.35">
      <c r="A107" s="772" t="s">
        <v>3</v>
      </c>
      <c r="B107" s="258">
        <v>176</v>
      </c>
      <c r="C107" s="227">
        <f>1907*1.25*1.1</f>
        <v>2622.125</v>
      </c>
      <c r="D107" s="598">
        <f>+B107*C107</f>
        <v>461494</v>
      </c>
      <c r="E107" s="564"/>
    </row>
    <row r="108" spans="1:6" x14ac:dyDescent="0.35">
      <c r="A108" s="772" t="s">
        <v>111</v>
      </c>
      <c r="B108" s="258"/>
      <c r="C108" s="227">
        <f>+C107</f>
        <v>2622.125</v>
      </c>
      <c r="D108" s="598">
        <f>+B108*C108</f>
        <v>0</v>
      </c>
      <c r="E108" s="564"/>
    </row>
    <row r="109" spans="1:6" x14ac:dyDescent="0.35">
      <c r="A109" s="772" t="s">
        <v>200</v>
      </c>
      <c r="B109" s="258"/>
      <c r="C109" s="227">
        <v>30000</v>
      </c>
      <c r="D109" s="598">
        <f>+C109</f>
        <v>30000</v>
      </c>
      <c r="E109" s="564"/>
    </row>
    <row r="110" spans="1:6" x14ac:dyDescent="0.35">
      <c r="A110" s="772" t="s">
        <v>6</v>
      </c>
      <c r="B110" s="258"/>
      <c r="C110" s="194">
        <v>50000</v>
      </c>
      <c r="D110" s="598">
        <f>+C110</f>
        <v>50000</v>
      </c>
      <c r="E110" s="564"/>
    </row>
    <row r="111" spans="1:6" x14ac:dyDescent="0.35">
      <c r="A111" s="772" t="s">
        <v>996</v>
      </c>
      <c r="B111" s="258">
        <v>8.5</v>
      </c>
      <c r="C111" s="194">
        <f>+C107*1.5</f>
        <v>3933.1875</v>
      </c>
      <c r="D111" s="598">
        <f>+B111*C111</f>
        <v>33432.09375</v>
      </c>
      <c r="E111" s="564"/>
    </row>
    <row r="112" spans="1:6" x14ac:dyDescent="0.35">
      <c r="A112" s="772" t="s">
        <v>997</v>
      </c>
      <c r="B112" s="258">
        <v>8.5</v>
      </c>
      <c r="C112" s="194">
        <f>+C111</f>
        <v>3933.1875</v>
      </c>
      <c r="D112" s="598">
        <f>+B112*C112</f>
        <v>33432.09375</v>
      </c>
      <c r="E112" s="564"/>
    </row>
    <row r="113" spans="1:6" x14ac:dyDescent="0.35">
      <c r="A113" s="772" t="s">
        <v>281</v>
      </c>
      <c r="B113" s="258">
        <v>0</v>
      </c>
      <c r="C113" s="194">
        <f>+C107*2</f>
        <v>5244.25</v>
      </c>
      <c r="D113" s="598">
        <f>+B113*C113</f>
        <v>0</v>
      </c>
    </row>
    <row r="114" spans="1:6" s="90" customFormat="1" x14ac:dyDescent="0.35">
      <c r="A114" s="141"/>
      <c r="B114" s="274"/>
      <c r="C114" s="195"/>
      <c r="D114" s="1017">
        <f>+C114</f>
        <v>0</v>
      </c>
      <c r="E114" s="1042"/>
    </row>
    <row r="115" spans="1:6" x14ac:dyDescent="0.35">
      <c r="A115" s="1463" t="s">
        <v>389</v>
      </c>
      <c r="B115" s="1464"/>
      <c r="C115" s="1465"/>
      <c r="D115" s="599">
        <f>+D107+D108+D109+D110+D111+D112+D113+D114</f>
        <v>608358.1875</v>
      </c>
      <c r="E115" s="553"/>
    </row>
    <row r="116" spans="1:6" x14ac:dyDescent="0.35">
      <c r="A116" s="1160" t="s">
        <v>1003</v>
      </c>
      <c r="B116" s="1157"/>
      <c r="C116" s="1158"/>
      <c r="D116" s="599">
        <v>130000</v>
      </c>
      <c r="E116" s="553"/>
    </row>
    <row r="117" spans="1:6" x14ac:dyDescent="0.35">
      <c r="A117" s="724" t="s">
        <v>19</v>
      </c>
      <c r="B117" s="729" t="s">
        <v>63</v>
      </c>
      <c r="C117" s="730" t="s">
        <v>63</v>
      </c>
      <c r="D117" s="731"/>
      <c r="E117" s="553"/>
    </row>
    <row r="118" spans="1:6" x14ac:dyDescent="0.35">
      <c r="A118" s="724"/>
      <c r="B118" s="729"/>
      <c r="C118" s="730"/>
      <c r="D118" s="731"/>
      <c r="E118" s="553"/>
    </row>
    <row r="119" spans="1:6" s="997" customFormat="1" ht="15.5" x14ac:dyDescent="0.35">
      <c r="A119" s="992"/>
      <c r="B119" s="1105" t="s">
        <v>11</v>
      </c>
      <c r="C119" s="994"/>
      <c r="D119" s="995">
        <f>+D115+D116+D117+D118</f>
        <v>738358.1875</v>
      </c>
      <c r="E119" s="1046"/>
    </row>
    <row r="120" spans="1:6" s="90" customFormat="1" x14ac:dyDescent="0.35">
      <c r="B120" s="1042"/>
      <c r="C120" s="553"/>
      <c r="D120" s="1051"/>
      <c r="E120" s="1042"/>
    </row>
    <row r="122" spans="1:6" ht="23.5" x14ac:dyDescent="0.35">
      <c r="A122" s="1442" t="s">
        <v>987</v>
      </c>
      <c r="B122" s="1443"/>
      <c r="C122" s="1443"/>
      <c r="D122" s="1444"/>
    </row>
    <row r="123" spans="1:6" x14ac:dyDescent="0.35">
      <c r="A123" s="2" t="s">
        <v>7</v>
      </c>
      <c r="B123" s="270" t="s">
        <v>8</v>
      </c>
      <c r="C123" s="217" t="s">
        <v>4</v>
      </c>
      <c r="D123" s="597" t="s">
        <v>9</v>
      </c>
    </row>
    <row r="124" spans="1:6" x14ac:dyDescent="0.35">
      <c r="A124" s="772" t="s">
        <v>3</v>
      </c>
      <c r="B124" s="258">
        <v>138.5</v>
      </c>
      <c r="C124" s="194">
        <f>2913*1.1</f>
        <v>3204.3</v>
      </c>
      <c r="D124" s="598">
        <f>+B124*C124</f>
        <v>443795.55000000005</v>
      </c>
      <c r="E124" s="564"/>
    </row>
    <row r="125" spans="1:6" x14ac:dyDescent="0.35">
      <c r="A125" s="772" t="s">
        <v>111</v>
      </c>
      <c r="B125" s="258"/>
      <c r="C125" s="194">
        <f>+C124</f>
        <v>3204.3</v>
      </c>
      <c r="D125" s="609">
        <f>+B125*C125</f>
        <v>0</v>
      </c>
      <c r="E125" s="564"/>
    </row>
    <row r="126" spans="1:6" x14ac:dyDescent="0.35">
      <c r="A126" s="772" t="s">
        <v>6</v>
      </c>
      <c r="B126" s="258"/>
      <c r="C126" s="194">
        <v>35000</v>
      </c>
      <c r="D126" s="609">
        <f>+C126</f>
        <v>35000</v>
      </c>
      <c r="E126" s="564"/>
    </row>
    <row r="127" spans="1:6" x14ac:dyDescent="0.35">
      <c r="A127" s="614" t="s">
        <v>556</v>
      </c>
      <c r="B127" s="617"/>
      <c r="C127" s="227">
        <v>30000</v>
      </c>
      <c r="D127" s="609">
        <f>+C127</f>
        <v>30000</v>
      </c>
      <c r="E127" s="564"/>
      <c r="F127" s="774"/>
    </row>
    <row r="128" spans="1:6" x14ac:dyDescent="0.35">
      <c r="A128" s="614"/>
      <c r="B128" s="617"/>
      <c r="C128" s="227"/>
      <c r="D128" s="609">
        <f>+C128</f>
        <v>0</v>
      </c>
      <c r="E128" s="553"/>
    </row>
    <row r="129" spans="1:6" s="764" customFormat="1" x14ac:dyDescent="0.35">
      <c r="A129" s="882" t="s">
        <v>389</v>
      </c>
      <c r="B129" s="883"/>
      <c r="C129" s="884"/>
      <c r="D129" s="1058">
        <f>+D124+D125+D126+D127+D128</f>
        <v>508795.55000000005</v>
      </c>
      <c r="E129" s="768"/>
    </row>
    <row r="130" spans="1:6" s="764" customFormat="1" x14ac:dyDescent="0.35">
      <c r="A130" s="882" t="s">
        <v>823</v>
      </c>
      <c r="B130" s="883"/>
      <c r="C130" s="884"/>
      <c r="D130" s="1058">
        <v>120000</v>
      </c>
      <c r="E130" s="768"/>
    </row>
    <row r="131" spans="1:6" s="1070" customFormat="1" x14ac:dyDescent="0.35">
      <c r="A131" s="724" t="s">
        <v>50</v>
      </c>
      <c r="B131" s="729"/>
      <c r="C131" s="729"/>
      <c r="D131" s="731">
        <v>-124275</v>
      </c>
      <c r="E131" s="1073"/>
    </row>
    <row r="132" spans="1:6" s="90" customFormat="1" x14ac:dyDescent="0.35">
      <c r="A132" s="1071" t="s">
        <v>11</v>
      </c>
      <c r="B132" s="1074"/>
      <c r="C132" s="1074"/>
      <c r="D132" s="1075">
        <f>+D129+D130+D131</f>
        <v>504520.55000000005</v>
      </c>
      <c r="E132" s="1042"/>
    </row>
    <row r="133" spans="1:6" s="90" customFormat="1" x14ac:dyDescent="0.35">
      <c r="A133" s="691"/>
      <c r="B133" s="1089"/>
      <c r="C133" s="1089"/>
      <c r="D133" s="1090"/>
      <c r="E133" s="1042"/>
    </row>
    <row r="134" spans="1:6" s="90" customFormat="1" x14ac:dyDescent="0.35">
      <c r="A134" s="691"/>
      <c r="B134" s="1089"/>
      <c r="C134" s="1089"/>
      <c r="D134" s="1090"/>
      <c r="E134" s="1042"/>
    </row>
    <row r="135" spans="1:6" ht="23.5" x14ac:dyDescent="0.35">
      <c r="A135" s="1442" t="s">
        <v>988</v>
      </c>
      <c r="B135" s="1443"/>
      <c r="C135" s="1443"/>
      <c r="D135" s="1444"/>
    </row>
    <row r="136" spans="1:6" x14ac:dyDescent="0.35">
      <c r="A136" s="2" t="s">
        <v>7</v>
      </c>
      <c r="B136" s="270" t="s">
        <v>388</v>
      </c>
      <c r="C136" s="217" t="s">
        <v>629</v>
      </c>
      <c r="D136" s="597" t="s">
        <v>9</v>
      </c>
    </row>
    <row r="137" spans="1:6" x14ac:dyDescent="0.35">
      <c r="A137" s="772" t="s">
        <v>3</v>
      </c>
      <c r="B137" s="258">
        <v>171.5</v>
      </c>
      <c r="C137" s="194">
        <f>2913*1.1</f>
        <v>3204.3</v>
      </c>
      <c r="D137" s="598">
        <f>+B137*C137</f>
        <v>549537.45000000007</v>
      </c>
      <c r="E137" s="564"/>
    </row>
    <row r="138" spans="1:6" x14ac:dyDescent="0.35">
      <c r="A138" s="772" t="s">
        <v>111</v>
      </c>
      <c r="B138" s="258"/>
      <c r="C138" s="194">
        <f>+C137</f>
        <v>3204.3</v>
      </c>
      <c r="D138" s="609">
        <f>+B138*C138</f>
        <v>0</v>
      </c>
      <c r="E138" s="564"/>
    </row>
    <row r="139" spans="1:6" x14ac:dyDescent="0.35">
      <c r="A139" s="772" t="s">
        <v>556</v>
      </c>
      <c r="B139" s="258"/>
      <c r="C139" s="194">
        <v>30000</v>
      </c>
      <c r="D139" s="609">
        <f>+C139</f>
        <v>30000</v>
      </c>
      <c r="E139" s="564"/>
    </row>
    <row r="140" spans="1:6" x14ac:dyDescent="0.35">
      <c r="A140" s="772" t="s">
        <v>6</v>
      </c>
      <c r="B140" s="258"/>
      <c r="C140" s="194">
        <v>35000</v>
      </c>
      <c r="D140" s="609">
        <f>+C140</f>
        <v>35000</v>
      </c>
      <c r="E140" s="564"/>
    </row>
    <row r="141" spans="1:6" x14ac:dyDescent="0.35">
      <c r="A141" s="614" t="s">
        <v>628</v>
      </c>
      <c r="B141" s="617"/>
      <c r="C141" s="227">
        <f>+C137*1.5</f>
        <v>4806.4500000000007</v>
      </c>
      <c r="D141" s="609">
        <f>+B141*C141</f>
        <v>0</v>
      </c>
      <c r="E141" s="564"/>
      <c r="F141" s="774"/>
    </row>
    <row r="142" spans="1:6" x14ac:dyDescent="0.35">
      <c r="A142" s="1148"/>
      <c r="B142" s="771"/>
      <c r="D142" s="774"/>
      <c r="E142" s="553"/>
    </row>
    <row r="143" spans="1:6" x14ac:dyDescent="0.35">
      <c r="A143" s="614" t="s">
        <v>989</v>
      </c>
      <c r="B143" s="617"/>
      <c r="C143" s="227"/>
      <c r="D143" s="609">
        <v>41100</v>
      </c>
    </row>
    <row r="144" spans="1:6" x14ac:dyDescent="0.35">
      <c r="A144" s="614" t="s">
        <v>990</v>
      </c>
      <c r="B144" s="617"/>
      <c r="C144" s="227"/>
      <c r="D144" s="609">
        <v>26600</v>
      </c>
    </row>
    <row r="145" spans="1:19" s="1042" customFormat="1" x14ac:dyDescent="0.35">
      <c r="A145" s="882" t="s">
        <v>99</v>
      </c>
      <c r="B145" s="883"/>
      <c r="C145" s="883"/>
      <c r="D145" s="884">
        <f>+D137+D138+D139+D140+D141+D142+D143+D144</f>
        <v>682237.45000000007</v>
      </c>
      <c r="E145" s="553"/>
      <c r="F145" s="771"/>
      <c r="G145" s="771"/>
      <c r="H145" s="771"/>
      <c r="I145" s="771"/>
      <c r="J145" s="771"/>
      <c r="K145" s="771"/>
      <c r="L145" s="771"/>
      <c r="M145" s="771"/>
      <c r="N145" s="771"/>
      <c r="O145" s="771"/>
      <c r="P145" s="771"/>
      <c r="Q145" s="771"/>
      <c r="R145" s="771"/>
      <c r="S145" s="771"/>
    </row>
    <row r="146" spans="1:19" s="1076" customFormat="1" x14ac:dyDescent="0.35">
      <c r="A146" s="1077" t="s">
        <v>823</v>
      </c>
      <c r="B146" s="1077"/>
      <c r="C146" s="1077"/>
      <c r="D146" s="1077">
        <v>100000</v>
      </c>
      <c r="E146" s="1078"/>
    </row>
    <row r="147" spans="1:19" s="1042" customFormat="1" x14ac:dyDescent="0.35">
      <c r="A147" s="962"/>
      <c r="B147" s="619"/>
      <c r="C147" s="619"/>
      <c r="D147" s="730"/>
      <c r="F147" s="771"/>
      <c r="G147" s="771"/>
      <c r="H147" s="771"/>
      <c r="I147" s="771"/>
      <c r="J147" s="771"/>
      <c r="K147" s="771"/>
      <c r="L147" s="771"/>
      <c r="M147" s="771"/>
      <c r="N147" s="771"/>
      <c r="O147" s="771"/>
      <c r="P147" s="771"/>
      <c r="Q147" s="771"/>
      <c r="R147" s="771"/>
      <c r="S147" s="771"/>
    </row>
    <row r="148" spans="1:19" s="1042" customFormat="1" ht="15.5" x14ac:dyDescent="0.35">
      <c r="A148" s="611" t="s">
        <v>11</v>
      </c>
      <c r="B148" s="612"/>
      <c r="C148" s="613"/>
      <c r="D148" s="603">
        <f>+D145+D146</f>
        <v>782237.45000000007</v>
      </c>
      <c r="E148" s="1091"/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</row>
    <row r="151" spans="1:19" s="90" customFormat="1" ht="23.5" x14ac:dyDescent="0.35">
      <c r="A151" s="1467" t="s">
        <v>991</v>
      </c>
      <c r="B151" s="1468"/>
      <c r="C151" s="1468"/>
      <c r="D151" s="1469"/>
      <c r="E151" s="1042"/>
    </row>
    <row r="152" spans="1:19" x14ac:dyDescent="0.35">
      <c r="A152" s="2" t="s">
        <v>7</v>
      </c>
      <c r="B152" s="270" t="s">
        <v>3</v>
      </c>
      <c r="C152" s="217"/>
      <c r="D152" s="597" t="s">
        <v>9</v>
      </c>
    </row>
    <row r="153" spans="1:19" x14ac:dyDescent="0.35">
      <c r="A153" s="1106" t="s">
        <v>993</v>
      </c>
      <c r="B153" s="194">
        <v>1500000</v>
      </c>
      <c r="C153" s="194"/>
      <c r="D153" s="598">
        <f>+B153</f>
        <v>1500000</v>
      </c>
      <c r="E153" s="564"/>
      <c r="F153" s="774"/>
    </row>
    <row r="154" spans="1:19" s="90" customFormat="1" x14ac:dyDescent="0.35">
      <c r="A154" s="1137"/>
      <c r="B154" s="195"/>
      <c r="C154" s="195"/>
      <c r="D154" s="1138">
        <f>+B154</f>
        <v>0</v>
      </c>
      <c r="E154" s="564"/>
    </row>
    <row r="155" spans="1:19" s="90" customFormat="1" x14ac:dyDescent="0.35">
      <c r="B155" s="1042"/>
      <c r="C155" s="553"/>
      <c r="D155" s="1051">
        <f>+B155</f>
        <v>0</v>
      </c>
      <c r="E155" s="1042"/>
      <c r="F155" s="553"/>
    </row>
    <row r="156" spans="1:19" x14ac:dyDescent="0.35">
      <c r="A156" s="772" t="s">
        <v>234</v>
      </c>
      <c r="B156" s="258"/>
      <c r="C156" s="194"/>
      <c r="D156" s="609">
        <v>38000</v>
      </c>
    </row>
    <row r="157" spans="1:19" s="1042" customFormat="1" x14ac:dyDescent="0.35">
      <c r="A157" s="962"/>
      <c r="B157" s="619"/>
      <c r="C157" s="619"/>
      <c r="D157" s="730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042" customFormat="1" ht="15.5" x14ac:dyDescent="0.35">
      <c r="A158" s="611" t="s">
        <v>961</v>
      </c>
      <c r="B158" s="612"/>
      <c r="C158" s="613"/>
      <c r="D158" s="603">
        <f>+D153+D154+D155+D156+D157</f>
        <v>1538000</v>
      </c>
      <c r="E158" s="1091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59" spans="1:19" x14ac:dyDescent="0.35">
      <c r="A159" s="1149" t="s">
        <v>962</v>
      </c>
      <c r="B159" s="1150"/>
      <c r="C159" s="1151"/>
      <c r="D159" s="1152">
        <v>-788000</v>
      </c>
      <c r="F159" s="774"/>
    </row>
    <row r="160" spans="1:19" x14ac:dyDescent="0.35">
      <c r="A160" s="1149" t="s">
        <v>963</v>
      </c>
      <c r="B160" s="1150"/>
      <c r="C160" s="1151"/>
      <c r="D160" s="1152">
        <f>+D158+D159</f>
        <v>750000</v>
      </c>
      <c r="E160" s="553"/>
    </row>
    <row r="163" spans="1:19" s="1042" customFormat="1" ht="23.5" x14ac:dyDescent="0.35">
      <c r="A163" s="1442" t="s">
        <v>992</v>
      </c>
      <c r="B163" s="1443"/>
      <c r="C163" s="1443"/>
      <c r="D163" s="1444"/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</row>
    <row r="164" spans="1:19" s="1042" customFormat="1" x14ac:dyDescent="0.35">
      <c r="A164" s="2" t="s">
        <v>7</v>
      </c>
      <c r="B164" s="270" t="s">
        <v>425</v>
      </c>
      <c r="C164" s="217" t="s">
        <v>994</v>
      </c>
      <c r="D164" s="597" t="s">
        <v>9</v>
      </c>
      <c r="F164" s="771"/>
      <c r="G164" s="771"/>
      <c r="H164" s="771"/>
      <c r="I164" s="771"/>
      <c r="J164" s="771"/>
      <c r="K164" s="771"/>
      <c r="L164" s="771"/>
      <c r="M164" s="771"/>
      <c r="N164" s="771"/>
      <c r="O164" s="771"/>
      <c r="P164" s="771"/>
      <c r="Q164" s="771"/>
      <c r="R164" s="771"/>
      <c r="S164" s="771"/>
    </row>
    <row r="165" spans="1:19" s="1042" customFormat="1" x14ac:dyDescent="0.35">
      <c r="A165" s="772" t="s">
        <v>3</v>
      </c>
      <c r="B165" s="258">
        <v>115</v>
      </c>
      <c r="C165" s="194">
        <v>2175</v>
      </c>
      <c r="D165" s="598">
        <f>+B165*C165</f>
        <v>250125</v>
      </c>
      <c r="F165" s="771"/>
      <c r="G165" s="771"/>
      <c r="H165" s="771"/>
      <c r="I165" s="771"/>
      <c r="J165" s="771"/>
      <c r="K165" s="771"/>
      <c r="L165" s="771"/>
      <c r="M165" s="771"/>
      <c r="N165" s="771"/>
      <c r="O165" s="771"/>
      <c r="P165" s="771"/>
      <c r="Q165" s="771"/>
      <c r="R165" s="771"/>
      <c r="S165" s="771"/>
    </row>
    <row r="166" spans="1:19" s="1042" customFormat="1" x14ac:dyDescent="0.35">
      <c r="A166" s="772" t="s">
        <v>776</v>
      </c>
      <c r="B166" s="258"/>
      <c r="C166" s="194">
        <f>+C165</f>
        <v>2175</v>
      </c>
      <c r="D166" s="609">
        <f>+B166*C166</f>
        <v>0</v>
      </c>
      <c r="F166" s="771"/>
      <c r="G166" s="771"/>
      <c r="H166" s="771"/>
      <c r="I166" s="771"/>
      <c r="J166" s="771"/>
      <c r="K166" s="771"/>
      <c r="L166" s="771"/>
      <c r="M166" s="771"/>
      <c r="N166" s="771"/>
      <c r="O166" s="771"/>
      <c r="P166" s="771"/>
      <c r="Q166" s="771"/>
      <c r="R166" s="771"/>
      <c r="S166" s="771"/>
    </row>
    <row r="167" spans="1:19" s="1042" customFormat="1" x14ac:dyDescent="0.35">
      <c r="A167" s="1107" t="s">
        <v>200</v>
      </c>
      <c r="B167" s="258"/>
      <c r="C167" s="194">
        <v>30000</v>
      </c>
      <c r="D167" s="609">
        <v>15000</v>
      </c>
      <c r="F167" s="771"/>
      <c r="G167" s="771"/>
      <c r="H167" s="771"/>
      <c r="I167" s="771"/>
      <c r="J167" s="771"/>
      <c r="K167" s="771"/>
      <c r="L167" s="771"/>
      <c r="M167" s="771"/>
      <c r="N167" s="771"/>
      <c r="O167" s="771"/>
      <c r="P167" s="771"/>
      <c r="Q167" s="771"/>
      <c r="R167" s="771"/>
      <c r="S167" s="771"/>
    </row>
    <row r="168" spans="1:19" s="1042" customFormat="1" x14ac:dyDescent="0.35">
      <c r="A168" s="772" t="s">
        <v>6</v>
      </c>
      <c r="B168" s="258"/>
      <c r="C168" s="194">
        <v>20000</v>
      </c>
      <c r="D168" s="609">
        <f>+C168</f>
        <v>20000</v>
      </c>
      <c r="F168" s="771"/>
      <c r="G168" s="771"/>
      <c r="H168" s="771"/>
      <c r="I168" s="771"/>
      <c r="J168" s="771"/>
      <c r="K168" s="771"/>
      <c r="L168" s="771"/>
      <c r="M168" s="771"/>
      <c r="N168" s="771"/>
      <c r="O168" s="771"/>
      <c r="P168" s="771"/>
      <c r="Q168" s="771"/>
      <c r="R168" s="771"/>
      <c r="S168" s="771"/>
    </row>
    <row r="169" spans="1:19" s="1042" customFormat="1" x14ac:dyDescent="0.35">
      <c r="A169" s="614" t="s">
        <v>996</v>
      </c>
      <c r="B169" s="617">
        <v>3.5</v>
      </c>
      <c r="C169" s="227">
        <f>+C165*1.5</f>
        <v>3262.5</v>
      </c>
      <c r="D169" s="609">
        <f>+B169*C169</f>
        <v>11418.75</v>
      </c>
      <c r="F169" s="771"/>
      <c r="G169" s="771"/>
      <c r="H169" s="771"/>
      <c r="I169" s="771"/>
      <c r="J169" s="771"/>
      <c r="K169" s="771"/>
      <c r="L169" s="771"/>
      <c r="M169" s="771"/>
      <c r="N169" s="771"/>
      <c r="O169" s="771"/>
      <c r="P169" s="771"/>
      <c r="Q169" s="771"/>
      <c r="R169" s="771"/>
      <c r="S169" s="771"/>
    </row>
    <row r="170" spans="1:19" s="1042" customFormat="1" x14ac:dyDescent="0.35">
      <c r="A170" s="614" t="s">
        <v>997</v>
      </c>
      <c r="B170" s="617">
        <v>2.5</v>
      </c>
      <c r="C170" s="227">
        <f>+C169</f>
        <v>3262.5</v>
      </c>
      <c r="D170" s="609">
        <f>+B170*C169</f>
        <v>8156.25</v>
      </c>
      <c r="F170" s="771" t="s">
        <v>63</v>
      </c>
      <c r="G170" s="771"/>
      <c r="H170" s="771"/>
      <c r="I170" s="771"/>
      <c r="J170" s="771"/>
      <c r="K170" s="771"/>
      <c r="L170" s="771"/>
      <c r="M170" s="771"/>
      <c r="N170" s="771"/>
      <c r="O170" s="771"/>
      <c r="P170" s="771"/>
      <c r="Q170" s="771"/>
      <c r="R170" s="771"/>
      <c r="S170" s="771"/>
    </row>
    <row r="171" spans="1:19" s="1042" customFormat="1" x14ac:dyDescent="0.35">
      <c r="A171" s="614" t="s">
        <v>281</v>
      </c>
      <c r="B171" s="617"/>
      <c r="C171" s="227">
        <f>+C165*2</f>
        <v>4350</v>
      </c>
      <c r="D171" s="609"/>
      <c r="F171" s="771"/>
      <c r="G171" s="771"/>
      <c r="H171" s="771"/>
      <c r="I171" s="771"/>
      <c r="J171" s="771"/>
      <c r="K171" s="771"/>
      <c r="L171" s="771"/>
      <c r="M171" s="771"/>
      <c r="N171" s="771"/>
      <c r="O171" s="771"/>
      <c r="P171" s="771"/>
      <c r="Q171" s="771"/>
      <c r="R171" s="771"/>
      <c r="S171" s="771"/>
    </row>
    <row r="172" spans="1:19" s="1042" customFormat="1" x14ac:dyDescent="0.35">
      <c r="A172" s="1137"/>
      <c r="B172" s="274"/>
      <c r="C172" s="195"/>
      <c r="D172" s="1138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s="1042" customFormat="1" ht="15.5" x14ac:dyDescent="0.35">
      <c r="A173" s="858" t="s">
        <v>389</v>
      </c>
      <c r="B173" s="681"/>
      <c r="C173" s="682"/>
      <c r="D173" s="995">
        <f>+D165+D166+D167+D168+D169+D170+D171+D172</f>
        <v>304700</v>
      </c>
      <c r="F173" s="771"/>
      <c r="G173" s="771"/>
      <c r="H173" s="771"/>
      <c r="I173" s="771"/>
      <c r="J173" s="771"/>
      <c r="K173" s="771"/>
      <c r="L173" s="771"/>
      <c r="M173" s="771"/>
      <c r="N173" s="771"/>
      <c r="O173" s="771"/>
      <c r="P173" s="771"/>
      <c r="Q173" s="771"/>
      <c r="R173" s="771"/>
      <c r="S173" s="771"/>
    </row>
    <row r="174" spans="1:19" x14ac:dyDescent="0.35">
      <c r="A174" s="772"/>
      <c r="B174" s="258"/>
      <c r="C174" s="194"/>
      <c r="D174" s="598"/>
    </row>
    <row r="175" spans="1:19" s="90" customFormat="1" x14ac:dyDescent="0.35">
      <c r="A175" s="129" t="s">
        <v>11</v>
      </c>
      <c r="B175" s="259"/>
      <c r="C175" s="197"/>
      <c r="D175" s="675">
        <f>+D173+D174</f>
        <v>304700</v>
      </c>
      <c r="E175" s="1042"/>
    </row>
    <row r="178" spans="1:5" ht="23.5" x14ac:dyDescent="0.35">
      <c r="A178" s="1442" t="s">
        <v>988</v>
      </c>
      <c r="B178" s="1443"/>
      <c r="C178" s="1443"/>
      <c r="D178" s="1444"/>
    </row>
    <row r="179" spans="1:5" x14ac:dyDescent="0.35">
      <c r="A179" s="2" t="s">
        <v>7</v>
      </c>
      <c r="B179" s="270" t="s">
        <v>388</v>
      </c>
      <c r="C179" s="217" t="s">
        <v>629</v>
      </c>
      <c r="D179" s="597" t="s">
        <v>9</v>
      </c>
    </row>
    <row r="180" spans="1:5" x14ac:dyDescent="0.35">
      <c r="A180" s="772" t="s">
        <v>3</v>
      </c>
      <c r="B180" s="258">
        <v>171.5</v>
      </c>
      <c r="C180" s="194">
        <v>3524.4</v>
      </c>
      <c r="D180" s="598">
        <f>+B180*C180</f>
        <v>604434.6</v>
      </c>
    </row>
    <row r="181" spans="1:5" x14ac:dyDescent="0.35">
      <c r="A181" s="772" t="s">
        <v>111</v>
      </c>
      <c r="B181" s="258"/>
      <c r="C181" s="194">
        <f>+C180</f>
        <v>3524.4</v>
      </c>
      <c r="D181" s="609">
        <f>+B181*C181</f>
        <v>0</v>
      </c>
    </row>
    <row r="182" spans="1:5" x14ac:dyDescent="0.35">
      <c r="A182" s="772" t="s">
        <v>556</v>
      </c>
      <c r="B182" s="258"/>
      <c r="C182" s="194">
        <v>50000</v>
      </c>
      <c r="D182" s="609">
        <f>+C182</f>
        <v>50000</v>
      </c>
    </row>
    <row r="183" spans="1:5" x14ac:dyDescent="0.35">
      <c r="A183" s="772" t="s">
        <v>6</v>
      </c>
      <c r="B183" s="258"/>
      <c r="C183" s="194">
        <v>60000</v>
      </c>
      <c r="D183" s="609">
        <f>+C183</f>
        <v>60000</v>
      </c>
    </row>
    <row r="184" spans="1:5" x14ac:dyDescent="0.35">
      <c r="A184" s="614" t="s">
        <v>628</v>
      </c>
      <c r="B184" s="617"/>
      <c r="C184" s="227">
        <f>+C180*1.5</f>
        <v>5286.6</v>
      </c>
      <c r="D184" s="609">
        <f>+B184*C184</f>
        <v>0</v>
      </c>
    </row>
    <row r="185" spans="1:5" x14ac:dyDescent="0.35">
      <c r="A185" s="614" t="s">
        <v>823</v>
      </c>
      <c r="B185" s="617"/>
      <c r="C185" s="227"/>
      <c r="D185" s="609">
        <v>120000</v>
      </c>
    </row>
    <row r="186" spans="1:5" x14ac:dyDescent="0.35">
      <c r="A186" s="614"/>
      <c r="B186" s="617"/>
      <c r="C186" s="227"/>
      <c r="D186" s="609"/>
    </row>
    <row r="187" spans="1:5" s="90" customFormat="1" x14ac:dyDescent="0.35">
      <c r="A187" s="1071" t="s">
        <v>389</v>
      </c>
      <c r="B187" s="1074"/>
      <c r="C187" s="1172"/>
      <c r="D187" s="1173">
        <f>+D180+D181+D182+D183+D184+D185</f>
        <v>834434.6</v>
      </c>
      <c r="E187" s="1042"/>
    </row>
    <row r="188" spans="1:5" x14ac:dyDescent="0.35">
      <c r="A188" s="614" t="s">
        <v>989</v>
      </c>
      <c r="B188" s="617"/>
      <c r="C188" s="227"/>
      <c r="D188" s="609">
        <v>41100</v>
      </c>
    </row>
    <row r="189" spans="1:5" x14ac:dyDescent="0.35">
      <c r="A189" s="614" t="s">
        <v>990</v>
      </c>
      <c r="B189" s="617"/>
      <c r="C189" s="227"/>
      <c r="D189" s="609">
        <v>26600</v>
      </c>
    </row>
    <row r="190" spans="1:5" ht="15.5" x14ac:dyDescent="0.35">
      <c r="A190" s="1059" t="s">
        <v>11</v>
      </c>
      <c r="B190" s="1060"/>
      <c r="C190" s="1061"/>
      <c r="D190" s="1167">
        <f>+D187+D188+D189</f>
        <v>902134.6</v>
      </c>
    </row>
    <row r="191" spans="1:5" x14ac:dyDescent="0.35">
      <c r="A191" s="772" t="s">
        <v>1011</v>
      </c>
      <c r="B191" s="258"/>
      <c r="C191" s="194"/>
      <c r="D191" s="598">
        <v>782237.45</v>
      </c>
    </row>
    <row r="192" spans="1:5" s="90" customFormat="1" x14ac:dyDescent="0.35">
      <c r="A192" s="1168" t="s">
        <v>1012</v>
      </c>
      <c r="B192" s="1169"/>
      <c r="C192" s="1170"/>
      <c r="D192" s="1171">
        <f>+D190-D191</f>
        <v>119897.15000000002</v>
      </c>
      <c r="E192" s="1042"/>
    </row>
    <row r="195" spans="1:5" ht="23.5" x14ac:dyDescent="0.35">
      <c r="A195" s="1442" t="s">
        <v>987</v>
      </c>
      <c r="B195" s="1443"/>
      <c r="C195" s="1443"/>
      <c r="D195" s="1444"/>
    </row>
    <row r="196" spans="1:5" x14ac:dyDescent="0.35">
      <c r="A196" s="2" t="s">
        <v>7</v>
      </c>
      <c r="B196" s="270" t="s">
        <v>8</v>
      </c>
      <c r="C196" s="217" t="s">
        <v>4</v>
      </c>
      <c r="D196" s="597" t="s">
        <v>9</v>
      </c>
    </row>
    <row r="197" spans="1:5" x14ac:dyDescent="0.35">
      <c r="A197" s="772" t="s">
        <v>3</v>
      </c>
      <c r="B197" s="258">
        <v>138.5</v>
      </c>
      <c r="C197" s="194">
        <v>3524.4</v>
      </c>
      <c r="D197" s="598">
        <f>+B197*C197</f>
        <v>488129.4</v>
      </c>
      <c r="E197" s="553"/>
    </row>
    <row r="198" spans="1:5" x14ac:dyDescent="0.35">
      <c r="A198" s="772" t="s">
        <v>111</v>
      </c>
      <c r="B198" s="258"/>
      <c r="C198" s="194">
        <f>+C197</f>
        <v>3524.4</v>
      </c>
      <c r="D198" s="609">
        <f>+B198*C198</f>
        <v>0</v>
      </c>
    </row>
    <row r="199" spans="1:5" x14ac:dyDescent="0.35">
      <c r="A199" s="772" t="s">
        <v>6</v>
      </c>
      <c r="B199" s="258"/>
      <c r="C199" s="194">
        <v>60000</v>
      </c>
      <c r="D199" s="609">
        <f>+C199</f>
        <v>60000</v>
      </c>
    </row>
    <row r="200" spans="1:5" x14ac:dyDescent="0.35">
      <c r="A200" s="614" t="s">
        <v>556</v>
      </c>
      <c r="B200" s="617"/>
      <c r="C200" s="227">
        <v>50000</v>
      </c>
      <c r="D200" s="609">
        <f>+C200</f>
        <v>50000</v>
      </c>
    </row>
    <row r="201" spans="1:5" x14ac:dyDescent="0.35">
      <c r="A201" s="614" t="s">
        <v>823</v>
      </c>
      <c r="B201" s="617"/>
      <c r="C201" s="227">
        <v>120000</v>
      </c>
      <c r="D201" s="609">
        <f>+C201</f>
        <v>120000</v>
      </c>
      <c r="E201" s="553"/>
    </row>
    <row r="202" spans="1:5" x14ac:dyDescent="0.35">
      <c r="A202" s="614"/>
      <c r="B202" s="617"/>
      <c r="C202" s="227"/>
      <c r="D202" s="609"/>
    </row>
    <row r="203" spans="1:5" x14ac:dyDescent="0.35">
      <c r="A203" s="882" t="s">
        <v>389</v>
      </c>
      <c r="B203" s="883"/>
      <c r="C203" s="884"/>
      <c r="D203" s="1058">
        <f>+D197+D198+D199+D200+D201</f>
        <v>718129.4</v>
      </c>
    </row>
    <row r="204" spans="1:5" x14ac:dyDescent="0.35">
      <c r="A204" s="724" t="s">
        <v>50</v>
      </c>
      <c r="B204" s="729"/>
      <c r="C204" s="729"/>
      <c r="D204" s="731">
        <v>-124275</v>
      </c>
    </row>
    <row r="205" spans="1:5" x14ac:dyDescent="0.35">
      <c r="A205" s="1071" t="s">
        <v>11</v>
      </c>
      <c r="B205" s="1074"/>
      <c r="C205" s="1074"/>
      <c r="D205" s="1075">
        <f>+D203+D204</f>
        <v>593854.4</v>
      </c>
    </row>
    <row r="206" spans="1:5" x14ac:dyDescent="0.35">
      <c r="A206" s="772" t="s">
        <v>1011</v>
      </c>
      <c r="B206" s="258"/>
      <c r="C206" s="194"/>
      <c r="D206" s="598">
        <v>504520.55</v>
      </c>
    </row>
    <row r="207" spans="1:5" s="90" customFormat="1" x14ac:dyDescent="0.35">
      <c r="A207" s="1071" t="s">
        <v>1012</v>
      </c>
      <c r="B207" s="1074"/>
      <c r="C207" s="1172"/>
      <c r="D207" s="1075">
        <f>+D205-D206</f>
        <v>89333.850000000035</v>
      </c>
      <c r="E207" s="1042"/>
    </row>
  </sheetData>
  <mergeCells count="22">
    <mergeCell ref="A195:D195"/>
    <mergeCell ref="A100:C100"/>
    <mergeCell ref="A105:D105"/>
    <mergeCell ref="A115:C115"/>
    <mergeCell ref="A122:D122"/>
    <mergeCell ref="A135:D135"/>
    <mergeCell ref="A178:D178"/>
    <mergeCell ref="A151:D151"/>
    <mergeCell ref="A163:D163"/>
    <mergeCell ref="A86:D86"/>
    <mergeCell ref="A83:C83"/>
    <mergeCell ref="A3:D3"/>
    <mergeCell ref="A13:C13"/>
    <mergeCell ref="A17:C17"/>
    <mergeCell ref="A20:D20"/>
    <mergeCell ref="A29:C29"/>
    <mergeCell ref="A36:D36"/>
    <mergeCell ref="A46:C46"/>
    <mergeCell ref="A54:D54"/>
    <mergeCell ref="A63:C63"/>
    <mergeCell ref="A69:D69"/>
    <mergeCell ref="A79:C79"/>
  </mergeCells>
  <pageMargins left="0.31496062992125984" right="0.11811023622047245" top="0" bottom="0" header="0.31496062992125984" footer="0.31496062992125984"/>
  <pageSetup paperSize="9" scale="2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45C0-04A3-4E31-9215-4997FD26A094}">
  <sheetPr>
    <pageSetUpPr fitToPage="1"/>
  </sheetPr>
  <dimension ref="A1:E43"/>
  <sheetViews>
    <sheetView topLeftCell="A7" workbookViewId="0">
      <selection activeCell="F22" sqref="F22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1008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+C15+C21</f>
        <v>4936410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/>
      <c r="E5" s="774"/>
    </row>
    <row r="6" spans="1:5" x14ac:dyDescent="0.35">
      <c r="B6" s="258" t="s">
        <v>16</v>
      </c>
      <c r="C6" s="194">
        <v>522610</v>
      </c>
    </row>
    <row r="7" spans="1:5" x14ac:dyDescent="0.35">
      <c r="B7" s="258" t="s">
        <v>0</v>
      </c>
      <c r="C7" s="194"/>
    </row>
    <row r="8" spans="1:5" x14ac:dyDescent="0.35">
      <c r="B8" s="258" t="s">
        <v>245</v>
      </c>
      <c r="C8" s="194">
        <v>752130</v>
      </c>
    </row>
    <row r="9" spans="1:5" x14ac:dyDescent="0.35">
      <c r="B9" s="258" t="s">
        <v>463</v>
      </c>
      <c r="C9" s="194">
        <v>857850</v>
      </c>
    </row>
    <row r="10" spans="1:5" x14ac:dyDescent="0.35">
      <c r="B10" s="258" t="s">
        <v>553</v>
      </c>
      <c r="C10" s="194">
        <v>738360</v>
      </c>
    </row>
    <row r="11" spans="1:5" x14ac:dyDescent="0.35">
      <c r="B11" s="258" t="s">
        <v>260</v>
      </c>
      <c r="C11" s="194">
        <v>504520</v>
      </c>
    </row>
    <row r="12" spans="1:5" x14ac:dyDescent="0.35">
      <c r="B12" s="617" t="s">
        <v>613</v>
      </c>
      <c r="C12" s="227">
        <v>782240</v>
      </c>
    </row>
    <row r="13" spans="1:5" x14ac:dyDescent="0.35">
      <c r="B13" s="315"/>
      <c r="C13" s="194"/>
      <c r="E13" s="774"/>
    </row>
    <row r="14" spans="1:5" x14ac:dyDescent="0.35">
      <c r="B14" s="315"/>
      <c r="C14" s="194"/>
    </row>
    <row r="15" spans="1:5" x14ac:dyDescent="0.35">
      <c r="B15" s="1016" t="s">
        <v>872</v>
      </c>
      <c r="C15" s="195">
        <f>SUM(C5:C14)</f>
        <v>4157710</v>
      </c>
    </row>
    <row r="16" spans="1:5" x14ac:dyDescent="0.35">
      <c r="B16" s="261"/>
    </row>
    <row r="17" spans="1:4" x14ac:dyDescent="0.35">
      <c r="B17" s="261"/>
    </row>
    <row r="18" spans="1:4" x14ac:dyDescent="0.35">
      <c r="B18" s="261"/>
    </row>
    <row r="19" spans="1:4" x14ac:dyDescent="0.35">
      <c r="B19" s="258" t="s">
        <v>267</v>
      </c>
      <c r="C19" s="194">
        <v>778700</v>
      </c>
    </row>
    <row r="20" spans="1:4" x14ac:dyDescent="0.35">
      <c r="B20" s="258"/>
      <c r="C20" s="194"/>
    </row>
    <row r="21" spans="1:4" s="90" customFormat="1" x14ac:dyDescent="0.35">
      <c r="B21" s="274" t="s">
        <v>972</v>
      </c>
      <c r="C21" s="195">
        <f>+C19+C20</f>
        <v>778700</v>
      </c>
      <c r="D21" s="553"/>
    </row>
    <row r="24" spans="1:4" x14ac:dyDescent="0.35">
      <c r="B24" s="274" t="s">
        <v>7</v>
      </c>
      <c r="C24" s="1052" t="s">
        <v>272</v>
      </c>
      <c r="D24" s="1109" t="s">
        <v>200</v>
      </c>
    </row>
    <row r="25" spans="1:4" x14ac:dyDescent="0.35">
      <c r="A25" s="771">
        <v>1</v>
      </c>
      <c r="B25" s="258" t="s">
        <v>10</v>
      </c>
      <c r="C25" s="194">
        <f>2852.06*1.15</f>
        <v>3279.8689999999997</v>
      </c>
      <c r="D25" s="598">
        <v>30000</v>
      </c>
    </row>
    <row r="26" spans="1:4" x14ac:dyDescent="0.35">
      <c r="A26" s="771">
        <v>2</v>
      </c>
      <c r="B26" s="258" t="s">
        <v>16</v>
      </c>
      <c r="C26" s="194">
        <f>2554.7*1.1</f>
        <v>2810.17</v>
      </c>
      <c r="D26" s="598">
        <v>30000</v>
      </c>
    </row>
    <row r="27" spans="1:4" x14ac:dyDescent="0.35">
      <c r="A27" s="771">
        <v>3</v>
      </c>
      <c r="B27" s="258" t="s">
        <v>0</v>
      </c>
      <c r="C27" s="194">
        <v>3945.6</v>
      </c>
      <c r="D27" s="598">
        <v>30000</v>
      </c>
    </row>
    <row r="28" spans="1:4" x14ac:dyDescent="0.35">
      <c r="A28" s="176">
        <v>4</v>
      </c>
      <c r="B28" s="258" t="s">
        <v>267</v>
      </c>
      <c r="C28" s="194">
        <v>2754</v>
      </c>
      <c r="D28" s="598">
        <v>30000</v>
      </c>
    </row>
    <row r="29" spans="1:4" x14ac:dyDescent="0.35">
      <c r="A29" s="176">
        <v>5</v>
      </c>
      <c r="B29" s="258" t="s">
        <v>245</v>
      </c>
      <c r="C29" s="194">
        <f>2383.75*1.1</f>
        <v>2622.125</v>
      </c>
      <c r="D29" s="598">
        <v>30000</v>
      </c>
    </row>
    <row r="30" spans="1:4" x14ac:dyDescent="0.35">
      <c r="A30" s="176">
        <v>6</v>
      </c>
      <c r="B30" s="258" t="s">
        <v>463</v>
      </c>
      <c r="C30" s="194">
        <v>2718.75</v>
      </c>
      <c r="D30" s="598">
        <v>30000</v>
      </c>
    </row>
    <row r="31" spans="1:4" x14ac:dyDescent="0.35">
      <c r="A31" s="176">
        <v>7</v>
      </c>
      <c r="B31" s="258" t="s">
        <v>553</v>
      </c>
      <c r="C31" s="194">
        <f>2383.75*1.1</f>
        <v>2622.125</v>
      </c>
      <c r="D31" s="598">
        <v>30000</v>
      </c>
    </row>
    <row r="32" spans="1:4" x14ac:dyDescent="0.35">
      <c r="A32" s="176">
        <v>8</v>
      </c>
      <c r="B32" s="258" t="s">
        <v>260</v>
      </c>
      <c r="C32" s="194">
        <v>3204.3</v>
      </c>
      <c r="D32" s="598">
        <v>30000</v>
      </c>
    </row>
    <row r="33" spans="1:4" x14ac:dyDescent="0.35">
      <c r="A33" s="176">
        <v>9</v>
      </c>
      <c r="B33" s="258" t="s">
        <v>613</v>
      </c>
      <c r="C33" s="194">
        <v>3204.3</v>
      </c>
      <c r="D33" s="598">
        <v>30000</v>
      </c>
    </row>
    <row r="34" spans="1:4" x14ac:dyDescent="0.35">
      <c r="A34" s="176">
        <v>10</v>
      </c>
      <c r="B34" s="258" t="s">
        <v>871</v>
      </c>
      <c r="C34" s="194"/>
      <c r="D34" s="598"/>
    </row>
    <row r="35" spans="1:4" x14ac:dyDescent="0.35">
      <c r="A35" s="176">
        <v>11</v>
      </c>
      <c r="B35" s="315" t="s">
        <v>905</v>
      </c>
      <c r="C35" s="194">
        <v>2175</v>
      </c>
      <c r="D35" s="598">
        <v>30000</v>
      </c>
    </row>
    <row r="36" spans="1:4" x14ac:dyDescent="0.35">
      <c r="A36" s="176">
        <v>12</v>
      </c>
      <c r="B36" s="1108" t="s">
        <v>15</v>
      </c>
      <c r="C36" s="204"/>
      <c r="D36" s="205"/>
    </row>
    <row r="37" spans="1:4" x14ac:dyDescent="0.35">
      <c r="B37" s="1121"/>
      <c r="C37" s="204"/>
      <c r="D37" s="205"/>
    </row>
    <row r="39" spans="1:4" x14ac:dyDescent="0.35">
      <c r="A39" s="701" t="s">
        <v>106</v>
      </c>
      <c r="B39" s="702" t="s">
        <v>873</v>
      </c>
      <c r="C39" s="1013" t="s">
        <v>803</v>
      </c>
      <c r="D39" s="1092" t="s">
        <v>7</v>
      </c>
    </row>
    <row r="40" spans="1:4" x14ac:dyDescent="0.35">
      <c r="A40" s="703">
        <v>16</v>
      </c>
      <c r="B40" s="703">
        <v>9</v>
      </c>
      <c r="C40" s="964">
        <f>+A40*B40</f>
        <v>144</v>
      </c>
      <c r="D40" s="593" t="s">
        <v>874</v>
      </c>
    </row>
    <row r="41" spans="1:4" x14ac:dyDescent="0.35">
      <c r="A41" s="703">
        <v>4</v>
      </c>
      <c r="B41" s="703">
        <v>8</v>
      </c>
      <c r="C41" s="964">
        <f>+A41*B41</f>
        <v>32</v>
      </c>
      <c r="D41" s="593" t="s">
        <v>117</v>
      </c>
    </row>
    <row r="42" spans="1:4" x14ac:dyDescent="0.35">
      <c r="A42" s="703">
        <v>0</v>
      </c>
      <c r="B42" s="703">
        <v>8</v>
      </c>
      <c r="C42" s="964">
        <f>+A42*B42</f>
        <v>0</v>
      </c>
      <c r="D42" s="593" t="s">
        <v>111</v>
      </c>
    </row>
    <row r="43" spans="1:4" x14ac:dyDescent="0.35">
      <c r="A43" s="568"/>
      <c r="B43" s="773"/>
      <c r="C43" s="964">
        <f>+C40+C41+C42</f>
        <v>176</v>
      </c>
      <c r="D43" s="593" t="s">
        <v>1009</v>
      </c>
    </row>
  </sheetData>
  <pageMargins left="0.7" right="0.7" top="0.75" bottom="0.75" header="0.3" footer="0.3"/>
  <pageSetup paperSize="9" scale="94" fitToHeight="0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E0E4-788D-4DB0-8078-8075D6A18BB8}">
  <sheetPr>
    <pageSetUpPr fitToPage="1"/>
  </sheetPr>
  <dimension ref="A1:S156"/>
  <sheetViews>
    <sheetView topLeftCell="A115" zoomScaleNormal="100" workbookViewId="0">
      <selection activeCell="E62" sqref="E62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45689</v>
      </c>
    </row>
    <row r="3" spans="1:18" ht="25.5" customHeight="1" x14ac:dyDescent="0.35">
      <c r="A3" s="1466" t="s">
        <v>1014</v>
      </c>
      <c r="B3" s="1431"/>
      <c r="C3" s="1431"/>
      <c r="D3" s="1431"/>
    </row>
    <row r="4" spans="1:18" s="1174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176</v>
      </c>
      <c r="C5" s="227">
        <f>2417*1.18*1.15</f>
        <v>3279.8689999999997</v>
      </c>
      <c r="D5" s="598">
        <f>+B5*C5</f>
        <v>577256.9439999999</v>
      </c>
      <c r="E5" s="564"/>
      <c r="Q5" s="1174"/>
    </row>
    <row r="6" spans="1:18" ht="18" customHeight="1" x14ac:dyDescent="0.35">
      <c r="A6" s="772" t="s">
        <v>975</v>
      </c>
      <c r="B6" s="258"/>
      <c r="C6" s="227">
        <f>+C5</f>
        <v>3279.8689999999997</v>
      </c>
      <c r="D6" s="598">
        <f>+B6*C6</f>
        <v>0</v>
      </c>
      <c r="E6" s="564"/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f>+C7</f>
        <v>50000</v>
      </c>
      <c r="E7" s="564"/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E8" s="564"/>
      <c r="F8" s="176"/>
    </row>
    <row r="9" spans="1:18" ht="18" customHeight="1" x14ac:dyDescent="0.35">
      <c r="A9" s="772" t="s">
        <v>467</v>
      </c>
      <c r="B9" s="258"/>
      <c r="C9" s="194">
        <f>+C5*1.5</f>
        <v>4919.8035</v>
      </c>
      <c r="D9" s="598">
        <f>+B9*C9</f>
        <v>0</v>
      </c>
      <c r="E9" s="564"/>
      <c r="F9" s="176"/>
    </row>
    <row r="10" spans="1:18" ht="18" customHeight="1" x14ac:dyDescent="0.35">
      <c r="A10" s="772" t="s">
        <v>281</v>
      </c>
      <c r="B10" s="258"/>
      <c r="C10" s="194">
        <f>+C5*2</f>
        <v>6559.7379999999994</v>
      </c>
      <c r="D10" s="598">
        <f>+B10*C10</f>
        <v>0</v>
      </c>
      <c r="E10" s="564"/>
      <c r="F10" s="176"/>
    </row>
    <row r="11" spans="1:18" s="90" customFormat="1" ht="18" customHeight="1" x14ac:dyDescent="0.35">
      <c r="A11" s="141"/>
      <c r="B11" s="274"/>
      <c r="C11" s="195"/>
      <c r="D11" s="1017">
        <f>+C11</f>
        <v>0</v>
      </c>
      <c r="E11" s="1042"/>
      <c r="F11" s="728"/>
      <c r="R11" s="1175"/>
    </row>
    <row r="12" spans="1:18" ht="18" customHeight="1" x14ac:dyDescent="0.35">
      <c r="A12" s="1432" t="s">
        <v>389</v>
      </c>
      <c r="B12" s="1432"/>
      <c r="C12" s="1432"/>
      <c r="D12" s="599">
        <f>+D5+D6+D7+D8+D9+D10+D11</f>
        <v>727256.9439999999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174"/>
    </row>
    <row r="13" spans="1:18" ht="18" customHeight="1" x14ac:dyDescent="0.35">
      <c r="A13" s="1179" t="s">
        <v>823</v>
      </c>
      <c r="B13" s="1176"/>
      <c r="C13" s="1176"/>
      <c r="D13" s="599">
        <v>200000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174"/>
    </row>
    <row r="14" spans="1:18" ht="18" customHeight="1" x14ac:dyDescent="0.35">
      <c r="A14" s="800" t="s">
        <v>1013</v>
      </c>
      <c r="B14" s="720"/>
      <c r="C14" s="720"/>
      <c r="D14" s="722">
        <v>-324853.21999999997</v>
      </c>
      <c r="E14" s="553"/>
      <c r="F14" s="248"/>
      <c r="G14" s="248"/>
      <c r="H14" s="248"/>
      <c r="I14" s="248"/>
      <c r="J14" s="248"/>
      <c r="K14" s="248"/>
      <c r="L14" s="248"/>
      <c r="M14" s="248"/>
      <c r="O14" s="1174"/>
    </row>
    <row r="15" spans="1:18" ht="18" customHeight="1" x14ac:dyDescent="0.35">
      <c r="A15" s="1141"/>
      <c r="B15" s="721"/>
      <c r="C15" s="905"/>
      <c r="D15" s="722"/>
      <c r="E15" s="553"/>
      <c r="F15" s="248"/>
      <c r="G15" s="248"/>
      <c r="H15" s="248"/>
      <c r="I15" s="248"/>
      <c r="J15" s="248"/>
      <c r="K15" s="248"/>
      <c r="L15" s="248"/>
      <c r="M15" s="248"/>
      <c r="O15" s="1174"/>
    </row>
    <row r="16" spans="1:18" ht="18" customHeight="1" x14ac:dyDescent="0.35">
      <c r="A16" s="1433" t="s">
        <v>11</v>
      </c>
      <c r="B16" s="1433"/>
      <c r="C16" s="1433"/>
      <c r="D16" s="603">
        <f>+D12+D13+D14+D15</f>
        <v>602403.72399999993</v>
      </c>
      <c r="E16" s="553"/>
      <c r="F16" s="321"/>
      <c r="G16" s="321"/>
      <c r="H16" s="473"/>
      <c r="I16" s="321"/>
      <c r="J16" s="321"/>
      <c r="Q16" s="1174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174"/>
    </row>
    <row r="18" spans="1:19" s="908" customFormat="1" ht="18" customHeight="1" x14ac:dyDescent="0.35">
      <c r="A18" s="689"/>
      <c r="B18" s="689"/>
      <c r="C18" s="689"/>
      <c r="D18" s="688"/>
      <c r="E18" s="1044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1015</v>
      </c>
      <c r="B19" s="1451"/>
      <c r="C19" s="1451"/>
      <c r="D19" s="1452"/>
      <c r="E19" s="1045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E20" s="564"/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>
        <v>176</v>
      </c>
      <c r="C21" s="211">
        <f>2165*1.18*1.1</f>
        <v>2810.17</v>
      </c>
      <c r="D21" s="211">
        <f>+B21*C21</f>
        <v>494589.92000000004</v>
      </c>
      <c r="E21" s="564"/>
      <c r="J21" s="182"/>
    </row>
    <row r="22" spans="1:19" ht="18" customHeight="1" x14ac:dyDescent="0.35">
      <c r="A22" s="607" t="s">
        <v>111</v>
      </c>
      <c r="B22" s="267"/>
      <c r="C22" s="211">
        <f>+C21</f>
        <v>2810.17</v>
      </c>
      <c r="D22" s="211">
        <f>+B22*C22</f>
        <v>0</v>
      </c>
      <c r="E22" s="564"/>
      <c r="J22" s="182"/>
    </row>
    <row r="23" spans="1:19" ht="18" customHeight="1" x14ac:dyDescent="0.35">
      <c r="A23" s="772" t="s">
        <v>196</v>
      </c>
      <c r="B23" s="267"/>
      <c r="C23" s="211">
        <v>50000</v>
      </c>
      <c r="D23" s="211">
        <f>+C23</f>
        <v>50000</v>
      </c>
      <c r="E23" s="564"/>
      <c r="I23" s="1174"/>
    </row>
    <row r="24" spans="1:19" ht="18" customHeight="1" x14ac:dyDescent="0.35">
      <c r="A24" s="772" t="s">
        <v>6</v>
      </c>
      <c r="B24" s="267"/>
      <c r="C24" s="211">
        <v>100000</v>
      </c>
      <c r="D24" s="211">
        <f>+C24</f>
        <v>100000</v>
      </c>
      <c r="E24" s="564"/>
      <c r="I24" s="1174"/>
    </row>
    <row r="25" spans="1:19" ht="18" customHeight="1" x14ac:dyDescent="0.35">
      <c r="A25" s="772" t="s">
        <v>1028</v>
      </c>
      <c r="B25" s="267"/>
      <c r="C25" s="211">
        <f>+C21*1.5</f>
        <v>4215.2550000000001</v>
      </c>
      <c r="D25" s="211">
        <f>B25*C25</f>
        <v>0</v>
      </c>
      <c r="E25" s="1043"/>
      <c r="F25" s="181"/>
      <c r="G25" s="187"/>
      <c r="H25" s="188"/>
      <c r="I25" s="1174"/>
      <c r="L25" s="1174"/>
    </row>
    <row r="26" spans="1:19" ht="18" customHeight="1" x14ac:dyDescent="0.35">
      <c r="A26" s="772" t="s">
        <v>281</v>
      </c>
      <c r="B26" s="267"/>
      <c r="C26" s="211">
        <f>+C21*2</f>
        <v>5620.34</v>
      </c>
      <c r="D26" s="211">
        <f>+B26*C26</f>
        <v>0</v>
      </c>
      <c r="E26" s="1043"/>
      <c r="F26" s="181"/>
      <c r="G26" s="187"/>
      <c r="H26" s="188"/>
      <c r="I26" s="1174"/>
      <c r="L26" s="1174"/>
    </row>
    <row r="27" spans="1:19" s="1174" customFormat="1" ht="18" customHeight="1" x14ac:dyDescent="0.35">
      <c r="A27" s="1463" t="s">
        <v>389</v>
      </c>
      <c r="B27" s="1464"/>
      <c r="C27" s="1465"/>
      <c r="D27" s="599">
        <f>+D21+D22+D23+D24+D25+D26</f>
        <v>644589.92000000004</v>
      </c>
      <c r="E27" s="553"/>
      <c r="F27" s="181"/>
      <c r="G27" s="181"/>
      <c r="H27" s="184"/>
      <c r="I27" s="771"/>
      <c r="K27" s="771"/>
      <c r="L27" s="771"/>
    </row>
    <row r="28" spans="1:19" s="1175" customFormat="1" ht="18" customHeight="1" x14ac:dyDescent="0.35">
      <c r="A28" s="129" t="s">
        <v>1040</v>
      </c>
      <c r="B28" s="749"/>
      <c r="C28" s="1072" t="s">
        <v>63</v>
      </c>
      <c r="D28" s="749">
        <v>200000</v>
      </c>
      <c r="E28" s="553"/>
      <c r="F28" s="184"/>
      <c r="G28" s="184"/>
      <c r="H28" s="184"/>
      <c r="I28" s="90"/>
      <c r="K28" s="90"/>
      <c r="L28" s="90"/>
    </row>
    <row r="29" spans="1:19" s="1174" customFormat="1" ht="18" customHeight="1" x14ac:dyDescent="0.35">
      <c r="A29" s="825" t="s">
        <v>374</v>
      </c>
      <c r="B29" s="824" t="s">
        <v>63</v>
      </c>
      <c r="C29" s="823"/>
      <c r="D29" s="930">
        <v>-250000</v>
      </c>
      <c r="E29" s="553"/>
      <c r="F29" s="181"/>
      <c r="G29" s="181"/>
      <c r="H29" s="184"/>
      <c r="I29" s="771"/>
      <c r="K29" s="771"/>
      <c r="L29" s="771"/>
    </row>
    <row r="30" spans="1:19" s="1174" customFormat="1" ht="18" customHeight="1" x14ac:dyDescent="0.35">
      <c r="A30" s="825"/>
      <c r="B30" s="824"/>
      <c r="C30" s="823"/>
      <c r="D30" s="930"/>
      <c r="E30" s="1042"/>
      <c r="F30" s="181"/>
      <c r="G30" s="181"/>
      <c r="H30" s="184"/>
      <c r="I30" s="771"/>
      <c r="K30" s="771"/>
      <c r="L30" s="771"/>
    </row>
    <row r="31" spans="1:19" ht="18" customHeight="1" x14ac:dyDescent="0.35">
      <c r="A31" s="786" t="s">
        <v>11</v>
      </c>
      <c r="B31" s="783"/>
      <c r="C31" s="783"/>
      <c r="D31" s="784">
        <f>+D27+D28+D29+D30</f>
        <v>594589.92000000004</v>
      </c>
      <c r="E31" s="553"/>
      <c r="F31" s="181"/>
      <c r="G31" s="181"/>
      <c r="H31" s="184"/>
    </row>
    <row r="32" spans="1:19" ht="18" customHeight="1" x14ac:dyDescent="0.35">
      <c r="A32" s="1047"/>
      <c r="B32" s="594"/>
      <c r="C32" s="594"/>
      <c r="D32" s="595"/>
      <c r="F32" s="181"/>
      <c r="G32" s="181"/>
      <c r="H32" s="184"/>
    </row>
    <row r="33" spans="1:19" ht="18" customHeight="1" x14ac:dyDescent="0.35">
      <c r="A33" s="594"/>
      <c r="B33" s="594"/>
      <c r="C33" s="594"/>
      <c r="D33" s="595"/>
      <c r="F33" s="181"/>
      <c r="G33" s="181"/>
      <c r="H33" s="184"/>
    </row>
    <row r="34" spans="1:19" ht="18" customHeight="1" x14ac:dyDescent="0.35">
      <c r="A34" s="1442" t="s">
        <v>1016</v>
      </c>
      <c r="B34" s="1443"/>
      <c r="C34" s="1443"/>
      <c r="D34" s="1444"/>
      <c r="F34" s="181"/>
      <c r="G34" s="181"/>
      <c r="H34" s="184"/>
    </row>
    <row r="35" spans="1:19" ht="18" customHeight="1" x14ac:dyDescent="0.35">
      <c r="A35" s="2"/>
      <c r="B35" s="270" t="s">
        <v>8</v>
      </c>
      <c r="C35" s="217" t="s">
        <v>4</v>
      </c>
      <c r="D35" s="597" t="s">
        <v>9</v>
      </c>
      <c r="F35" s="181"/>
      <c r="G35" s="181"/>
      <c r="H35" s="184"/>
    </row>
    <row r="36" spans="1:19" ht="18" customHeight="1" x14ac:dyDescent="0.35">
      <c r="A36" s="772" t="s">
        <v>253</v>
      </c>
      <c r="B36" s="258">
        <v>176</v>
      </c>
      <c r="C36" s="194">
        <f>3288*1.2</f>
        <v>3945.6</v>
      </c>
      <c r="D36" s="598">
        <f>+B36*C36</f>
        <v>694425.59999999998</v>
      </c>
      <c r="E36" s="564"/>
      <c r="F36" s="181"/>
      <c r="G36" s="181"/>
      <c r="H36" s="184"/>
    </row>
    <row r="37" spans="1:19" ht="18" customHeight="1" x14ac:dyDescent="0.35">
      <c r="A37" s="772" t="s">
        <v>111</v>
      </c>
      <c r="B37" s="258"/>
      <c r="C37" s="194">
        <f>+C36</f>
        <v>3945.6</v>
      </c>
      <c r="D37" s="598">
        <f>+B37*C37</f>
        <v>0</v>
      </c>
      <c r="E37" s="564"/>
      <c r="F37" s="181"/>
      <c r="G37" s="181"/>
      <c r="H37" s="184"/>
    </row>
    <row r="38" spans="1:19" ht="15" customHeight="1" x14ac:dyDescent="0.35">
      <c r="A38" s="772" t="s">
        <v>196</v>
      </c>
      <c r="B38" s="258"/>
      <c r="C38" s="194">
        <v>50000</v>
      </c>
      <c r="D38" s="598">
        <f>+C38</f>
        <v>50000</v>
      </c>
      <c r="E38" s="564"/>
      <c r="F38" s="181"/>
      <c r="G38" s="181"/>
      <c r="H38" s="184"/>
      <c r="I38" s="1174"/>
    </row>
    <row r="39" spans="1:19" ht="15" customHeight="1" x14ac:dyDescent="0.35">
      <c r="A39" s="772" t="s">
        <v>6</v>
      </c>
      <c r="B39" s="258"/>
      <c r="C39" s="194">
        <v>100000</v>
      </c>
      <c r="D39" s="598">
        <f>+C39</f>
        <v>100000</v>
      </c>
      <c r="E39" s="564"/>
      <c r="F39" s="181"/>
      <c r="G39" s="181"/>
      <c r="H39" s="184"/>
      <c r="I39" s="1174"/>
    </row>
    <row r="40" spans="1:19" ht="15" customHeight="1" x14ac:dyDescent="0.35">
      <c r="A40" s="772" t="s">
        <v>1029</v>
      </c>
      <c r="B40" s="315"/>
      <c r="C40" s="194">
        <f>+C36*1.5</f>
        <v>5918.4</v>
      </c>
      <c r="D40" s="598">
        <f>+B40*C40</f>
        <v>0</v>
      </c>
      <c r="F40" s="181"/>
      <c r="G40" s="181"/>
      <c r="H40" s="184"/>
      <c r="I40" s="1174"/>
    </row>
    <row r="41" spans="1:19" ht="15" customHeight="1" x14ac:dyDescent="0.35">
      <c r="A41" s="772" t="s">
        <v>449</v>
      </c>
      <c r="B41" s="315">
        <v>0</v>
      </c>
      <c r="C41" s="194">
        <f>+C36*2</f>
        <v>7891.2</v>
      </c>
      <c r="D41" s="598">
        <f>+B41*C41</f>
        <v>0</v>
      </c>
      <c r="E41" s="553"/>
      <c r="F41" s="181"/>
      <c r="G41" s="416"/>
      <c r="H41" s="184"/>
      <c r="I41" s="1174"/>
    </row>
    <row r="42" spans="1:19" ht="15" customHeight="1" x14ac:dyDescent="0.35">
      <c r="A42" s="1463" t="s">
        <v>389</v>
      </c>
      <c r="B42" s="1464"/>
      <c r="C42" s="1465"/>
      <c r="D42" s="599">
        <f>+D36+D37+D38+D39+D40+D41</f>
        <v>844425.6</v>
      </c>
      <c r="E42" s="553"/>
      <c r="J42" s="176"/>
      <c r="K42" s="176"/>
      <c r="L42" s="176"/>
      <c r="M42" s="181"/>
      <c r="N42" s="181"/>
      <c r="O42" s="184"/>
      <c r="Q42" s="1174"/>
    </row>
    <row r="43" spans="1:19" ht="15" customHeight="1" x14ac:dyDescent="0.35">
      <c r="A43" s="1180" t="s">
        <v>1040</v>
      </c>
      <c r="B43" s="1177"/>
      <c r="C43" s="1178"/>
      <c r="D43" s="599">
        <v>200000</v>
      </c>
      <c r="E43" s="553"/>
      <c r="J43" s="176"/>
      <c r="K43" s="176"/>
      <c r="L43" s="176"/>
      <c r="M43" s="181"/>
      <c r="N43" s="181"/>
      <c r="O43" s="184"/>
      <c r="Q43" s="1174"/>
    </row>
    <row r="44" spans="1:19" s="1174" customFormat="1" ht="15" customHeight="1" x14ac:dyDescent="0.35">
      <c r="A44" s="921" t="s">
        <v>1041</v>
      </c>
      <c r="B44" s="727" t="s">
        <v>63</v>
      </c>
      <c r="C44" s="727" t="s">
        <v>63</v>
      </c>
      <c r="D44" s="722">
        <v>-330927.11</v>
      </c>
      <c r="E44" s="1043"/>
      <c r="F44" s="774"/>
      <c r="G44" s="771"/>
      <c r="H44" s="771"/>
      <c r="I44" s="771"/>
      <c r="J44" s="176"/>
      <c r="K44" s="176"/>
      <c r="L44" s="176"/>
      <c r="M44" s="176"/>
      <c r="N44" s="176"/>
      <c r="O44" s="176"/>
      <c r="P44" s="771"/>
      <c r="Q44" s="771"/>
      <c r="R44" s="771"/>
      <c r="S44" s="771"/>
    </row>
    <row r="45" spans="1:19" s="1174" customFormat="1" ht="15" customHeight="1" x14ac:dyDescent="0.35">
      <c r="A45" s="921"/>
      <c r="B45" s="727"/>
      <c r="C45" s="727"/>
      <c r="D45" s="722"/>
      <c r="E45" s="1043"/>
      <c r="F45" s="771"/>
      <c r="G45" s="771"/>
      <c r="H45" s="771"/>
      <c r="I45" s="771"/>
      <c r="J45" s="176"/>
      <c r="K45" s="176"/>
      <c r="L45" s="176"/>
      <c r="M45" s="176"/>
      <c r="N45" s="176"/>
      <c r="O45" s="176"/>
      <c r="P45" s="771"/>
      <c r="Q45" s="771"/>
      <c r="R45" s="771"/>
      <c r="S45" s="771"/>
    </row>
    <row r="46" spans="1:19" s="1174" customFormat="1" ht="15" customHeight="1" x14ac:dyDescent="0.35">
      <c r="A46" s="1103" t="s">
        <v>11</v>
      </c>
      <c r="B46" s="1104"/>
      <c r="C46" s="197"/>
      <c r="D46" s="675">
        <f>+D42+D43+D44+D45</f>
        <v>713498.49</v>
      </c>
      <c r="E46" s="1025"/>
      <c r="F46" s="771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174" customFormat="1" ht="15" customHeight="1" x14ac:dyDescent="0.35">
      <c r="A47" s="1164"/>
      <c r="B47" s="1165"/>
      <c r="C47" s="1163"/>
      <c r="D47" s="1090"/>
      <c r="E47" s="1025"/>
      <c r="F47" s="771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ht="15" customHeight="1" x14ac:dyDescent="0.35">
      <c r="A48" s="90"/>
      <c r="B48" s="771"/>
      <c r="C48" s="771"/>
      <c r="D48" s="771"/>
      <c r="K48" s="183"/>
      <c r="L48" s="183"/>
      <c r="M48" s="176"/>
      <c r="N48" s="176"/>
      <c r="O48" s="176"/>
      <c r="Q48" s="1174"/>
    </row>
    <row r="49" spans="1:19" ht="15" customHeight="1" x14ac:dyDescent="0.35">
      <c r="B49" s="771"/>
      <c r="C49" s="771"/>
      <c r="D49" s="774" t="s">
        <v>63</v>
      </c>
    </row>
    <row r="50" spans="1:19" ht="15" customHeight="1" x14ac:dyDescent="0.35">
      <c r="A50" s="1442" t="s">
        <v>1017</v>
      </c>
      <c r="B50" s="1443"/>
      <c r="C50" s="1443"/>
      <c r="D50" s="1444"/>
      <c r="S50" s="1174"/>
    </row>
    <row r="51" spans="1:19" x14ac:dyDescent="0.35">
      <c r="A51" s="2" t="s">
        <v>7</v>
      </c>
      <c r="B51" s="270" t="s">
        <v>8</v>
      </c>
      <c r="C51" s="217" t="s">
        <v>4</v>
      </c>
      <c r="D51" s="597" t="s">
        <v>9</v>
      </c>
    </row>
    <row r="52" spans="1:19" x14ac:dyDescent="0.35">
      <c r="A52" s="772" t="s">
        <v>253</v>
      </c>
      <c r="B52" s="258">
        <v>132</v>
      </c>
      <c r="C52" s="227">
        <v>3400</v>
      </c>
      <c r="D52" s="598">
        <f>+B52*C52</f>
        <v>448800</v>
      </c>
      <c r="E52" s="564"/>
    </row>
    <row r="53" spans="1:19" x14ac:dyDescent="0.35">
      <c r="A53" s="772" t="s">
        <v>282</v>
      </c>
      <c r="B53" s="258"/>
      <c r="C53" s="227">
        <f>+C52</f>
        <v>3400</v>
      </c>
      <c r="D53" s="598">
        <f>+B53*C53</f>
        <v>0</v>
      </c>
      <c r="E53" s="564"/>
    </row>
    <row r="54" spans="1:19" x14ac:dyDescent="0.35">
      <c r="A54" s="772" t="s">
        <v>347</v>
      </c>
      <c r="B54" s="258">
        <f>7*8</f>
        <v>56</v>
      </c>
      <c r="C54" s="227">
        <f>+C52</f>
        <v>3400</v>
      </c>
      <c r="D54" s="598">
        <f>+B54*C54</f>
        <v>190400</v>
      </c>
      <c r="E54" s="564"/>
    </row>
    <row r="55" spans="1:19" x14ac:dyDescent="0.35">
      <c r="A55" s="772" t="s">
        <v>266</v>
      </c>
      <c r="B55" s="258"/>
      <c r="C55" s="227">
        <v>50000</v>
      </c>
      <c r="D55" s="598">
        <f>+C55</f>
        <v>50000</v>
      </c>
      <c r="E55" s="564"/>
    </row>
    <row r="56" spans="1:19" x14ac:dyDescent="0.35">
      <c r="A56" s="772" t="s">
        <v>6</v>
      </c>
      <c r="B56" s="258"/>
      <c r="C56" s="227">
        <v>100000</v>
      </c>
      <c r="D56" s="598">
        <f>+C56</f>
        <v>100000</v>
      </c>
      <c r="E56" s="564"/>
    </row>
    <row r="57" spans="1:19" x14ac:dyDescent="0.35">
      <c r="A57" s="772" t="s">
        <v>1030</v>
      </c>
      <c r="B57" s="258"/>
      <c r="C57" s="194">
        <f>+C52*1.5</f>
        <v>5100</v>
      </c>
      <c r="D57" s="598">
        <f>+B57*C57</f>
        <v>0</v>
      </c>
      <c r="E57" s="564"/>
    </row>
    <row r="58" spans="1:19" x14ac:dyDescent="0.35">
      <c r="A58" s="772" t="s">
        <v>449</v>
      </c>
      <c r="B58" s="258"/>
      <c r="C58" s="194">
        <f>+C52*2</f>
        <v>6800</v>
      </c>
      <c r="D58" s="598">
        <f>+B58*C58</f>
        <v>0</v>
      </c>
    </row>
    <row r="59" spans="1:19" x14ac:dyDescent="0.35">
      <c r="A59" s="1463" t="s">
        <v>99</v>
      </c>
      <c r="B59" s="1464"/>
      <c r="C59" s="1465"/>
      <c r="D59" s="599">
        <f>+D52+D53+D54+D55+D56+D57+D58</f>
        <v>789200</v>
      </c>
      <c r="E59" s="553"/>
      <c r="F59" s="774"/>
    </row>
    <row r="60" spans="1:19" x14ac:dyDescent="0.35">
      <c r="A60" s="1179" t="s">
        <v>823</v>
      </c>
      <c r="B60" s="1176"/>
      <c r="C60" s="1176"/>
      <c r="D60" s="599">
        <v>150000</v>
      </c>
      <c r="E60" s="553"/>
    </row>
    <row r="61" spans="1:19" x14ac:dyDescent="0.35">
      <c r="A61" s="921"/>
      <c r="B61" s="922"/>
      <c r="C61" s="720"/>
      <c r="D61" s="722"/>
      <c r="E61" s="553"/>
    </row>
    <row r="62" spans="1:19" x14ac:dyDescent="0.35">
      <c r="A62" s="672"/>
      <c r="B62" s="673" t="s">
        <v>11</v>
      </c>
      <c r="C62" s="674"/>
      <c r="D62" s="675">
        <f>+D59+D60+D61</f>
        <v>939200</v>
      </c>
      <c r="E62" s="553"/>
    </row>
    <row r="63" spans="1:19" x14ac:dyDescent="0.35">
      <c r="B63" s="771"/>
      <c r="C63" s="771"/>
      <c r="D63" s="771"/>
    </row>
    <row r="65" spans="1:6" ht="14.5" customHeight="1" x14ac:dyDescent="0.35">
      <c r="A65" s="1442" t="s">
        <v>1018</v>
      </c>
      <c r="B65" s="1443"/>
      <c r="C65" s="1443"/>
      <c r="D65" s="1444"/>
    </row>
    <row r="66" spans="1:6" ht="14.5" customHeight="1" x14ac:dyDescent="0.35">
      <c r="A66" s="2" t="s">
        <v>7</v>
      </c>
      <c r="B66" s="270" t="s">
        <v>8</v>
      </c>
      <c r="C66" s="217" t="s">
        <v>4</v>
      </c>
      <c r="D66" s="597" t="s">
        <v>63</v>
      </c>
    </row>
    <row r="67" spans="1:6" ht="14.5" customHeight="1" x14ac:dyDescent="0.35">
      <c r="A67" s="772" t="s">
        <v>3</v>
      </c>
      <c r="B67" s="258">
        <v>176</v>
      </c>
      <c r="C67" s="227">
        <f>1907*1.25*1.1</f>
        <v>2622.125</v>
      </c>
      <c r="D67" s="598">
        <f>+B67*C67</f>
        <v>461494</v>
      </c>
      <c r="E67" s="564"/>
    </row>
    <row r="68" spans="1:6" ht="14.5" customHeight="1" x14ac:dyDescent="0.35">
      <c r="A68" s="772" t="s">
        <v>282</v>
      </c>
      <c r="B68" s="258"/>
      <c r="C68" s="227">
        <f>+C67</f>
        <v>2622.125</v>
      </c>
      <c r="D68" s="598">
        <f>+B68*C68</f>
        <v>0</v>
      </c>
      <c r="E68" s="564"/>
    </row>
    <row r="69" spans="1:6" x14ac:dyDescent="0.35">
      <c r="A69" s="772" t="s">
        <v>266</v>
      </c>
      <c r="B69" s="258">
        <v>0</v>
      </c>
      <c r="C69" s="227">
        <v>50000</v>
      </c>
      <c r="D69" s="598">
        <f>+B69*C69</f>
        <v>0</v>
      </c>
      <c r="E69" s="1042" t="s">
        <v>1031</v>
      </c>
    </row>
    <row r="70" spans="1:6" x14ac:dyDescent="0.35">
      <c r="A70" s="772" t="s">
        <v>6</v>
      </c>
      <c r="B70" s="258"/>
      <c r="C70" s="227">
        <v>50000</v>
      </c>
      <c r="D70" s="598">
        <f>+C70</f>
        <v>50000</v>
      </c>
      <c r="E70" s="564"/>
    </row>
    <row r="71" spans="1:6" s="1069" customFormat="1" x14ac:dyDescent="0.35">
      <c r="A71" s="614" t="s">
        <v>270</v>
      </c>
      <c r="B71" s="617"/>
      <c r="C71" s="227">
        <f>+C67*1.5</f>
        <v>3933.1875</v>
      </c>
      <c r="D71" s="598">
        <f>+B71*C71</f>
        <v>0</v>
      </c>
      <c r="E71" s="564"/>
    </row>
    <row r="72" spans="1:6" x14ac:dyDescent="0.35">
      <c r="A72" s="772" t="s">
        <v>281</v>
      </c>
      <c r="B72" s="258"/>
      <c r="C72" s="227">
        <f>+C67*2</f>
        <v>5244.25</v>
      </c>
      <c r="D72" s="598">
        <f>+B72*C72</f>
        <v>0</v>
      </c>
    </row>
    <row r="73" spans="1:6" x14ac:dyDescent="0.35">
      <c r="A73" s="889"/>
      <c r="B73" s="890"/>
      <c r="C73" s="814"/>
      <c r="D73" s="598">
        <f>+C73</f>
        <v>0</v>
      </c>
    </row>
    <row r="74" spans="1:6" x14ac:dyDescent="0.35">
      <c r="A74" s="1463" t="s">
        <v>389</v>
      </c>
      <c r="B74" s="1464"/>
      <c r="C74" s="1465"/>
      <c r="D74" s="599">
        <f>+D67+D68+D69+D70+D71+D72+D73</f>
        <v>511494</v>
      </c>
      <c r="E74" s="553"/>
      <c r="F74" s="774"/>
    </row>
    <row r="75" spans="1:6" x14ac:dyDescent="0.35">
      <c r="A75" s="1180" t="s">
        <v>1040</v>
      </c>
      <c r="B75" s="1177"/>
      <c r="C75" s="1178"/>
      <c r="D75" s="599">
        <v>130000</v>
      </c>
      <c r="E75" s="553"/>
      <c r="F75" s="774"/>
    </row>
    <row r="76" spans="1:6" x14ac:dyDescent="0.35">
      <c r="A76" s="723" t="s">
        <v>1019</v>
      </c>
      <c r="B76" s="721"/>
      <c r="C76" s="721"/>
      <c r="D76" s="722">
        <v>-150000</v>
      </c>
      <c r="E76" s="553"/>
    </row>
    <row r="77" spans="1:6" x14ac:dyDescent="0.35">
      <c r="A77" s="723" t="s">
        <v>19</v>
      </c>
      <c r="B77" s="721"/>
      <c r="C77" s="721"/>
      <c r="D77" s="722">
        <v>-100000</v>
      </c>
      <c r="E77" s="553"/>
    </row>
    <row r="78" spans="1:6" ht="15.5" x14ac:dyDescent="0.35">
      <c r="A78" s="1460" t="s">
        <v>11</v>
      </c>
      <c r="B78" s="1461"/>
      <c r="C78" s="1462"/>
      <c r="D78" s="603">
        <f>+D74+D75+D76+D77</f>
        <v>391494</v>
      </c>
      <c r="E78" s="553"/>
    </row>
    <row r="79" spans="1:6" s="90" customFormat="1" x14ac:dyDescent="0.35">
      <c r="A79" s="1035"/>
      <c r="B79" s="1042"/>
      <c r="C79" s="553"/>
      <c r="D79" s="1051"/>
      <c r="E79" s="1042"/>
    </row>
    <row r="81" spans="1:6" ht="23.5" x14ac:dyDescent="0.35">
      <c r="A81" s="1442" t="s">
        <v>1020</v>
      </c>
      <c r="B81" s="1443"/>
      <c r="C81" s="1443"/>
      <c r="D81" s="1444"/>
    </row>
    <row r="82" spans="1:6" x14ac:dyDescent="0.35">
      <c r="A82" s="2" t="s">
        <v>7</v>
      </c>
      <c r="B82" s="270" t="s">
        <v>388</v>
      </c>
      <c r="C82" s="217" t="s">
        <v>272</v>
      </c>
      <c r="D82" s="597" t="s">
        <v>9</v>
      </c>
    </row>
    <row r="83" spans="1:6" x14ac:dyDescent="0.35">
      <c r="A83" s="772" t="s">
        <v>3</v>
      </c>
      <c r="B83" s="258">
        <v>176</v>
      </c>
      <c r="C83" s="227">
        <f>2175*1.25</f>
        <v>2718.75</v>
      </c>
      <c r="D83" s="598">
        <f>+B83*C83</f>
        <v>478500</v>
      </c>
      <c r="E83" s="1048"/>
    </row>
    <row r="84" spans="1:6" x14ac:dyDescent="0.35">
      <c r="A84" s="772" t="s">
        <v>111</v>
      </c>
      <c r="B84" s="258"/>
      <c r="C84" s="227">
        <f>+C83</f>
        <v>2718.75</v>
      </c>
      <c r="D84" s="598">
        <f>+B84*C84</f>
        <v>0</v>
      </c>
      <c r="E84" s="564"/>
    </row>
    <row r="85" spans="1:6" x14ac:dyDescent="0.35">
      <c r="A85" s="772" t="s">
        <v>6</v>
      </c>
      <c r="B85" s="258"/>
      <c r="C85" s="227">
        <v>80000</v>
      </c>
      <c r="D85" s="598">
        <f>+C85</f>
        <v>80000</v>
      </c>
      <c r="E85" s="564"/>
    </row>
    <row r="86" spans="1:6" x14ac:dyDescent="0.35">
      <c r="A86" s="772" t="s">
        <v>200</v>
      </c>
      <c r="B86" s="258"/>
      <c r="C86" s="227">
        <v>30000</v>
      </c>
      <c r="D86" s="598">
        <v>30000</v>
      </c>
      <c r="E86" s="564"/>
    </row>
    <row r="87" spans="1:6" x14ac:dyDescent="0.35">
      <c r="A87" s="772" t="s">
        <v>1032</v>
      </c>
      <c r="B87" s="258"/>
      <c r="C87" s="227">
        <f>+C83*1.5</f>
        <v>4078.125</v>
      </c>
      <c r="D87" s="811">
        <f>+B87*C87</f>
        <v>0</v>
      </c>
      <c r="E87" s="564"/>
    </row>
    <row r="88" spans="1:6" x14ac:dyDescent="0.35">
      <c r="A88" s="772" t="s">
        <v>757</v>
      </c>
      <c r="B88" s="258"/>
      <c r="C88" s="227">
        <f>+C83*2</f>
        <v>5437.5</v>
      </c>
      <c r="D88" s="598">
        <f>+B88*C88</f>
        <v>0</v>
      </c>
    </row>
    <row r="89" spans="1:6" s="90" customFormat="1" x14ac:dyDescent="0.35">
      <c r="A89" s="141"/>
      <c r="B89" s="274"/>
      <c r="C89" s="195"/>
      <c r="D89" s="1017"/>
      <c r="E89" s="1042"/>
    </row>
    <row r="90" spans="1:6" x14ac:dyDescent="0.35">
      <c r="A90" s="1036" t="s">
        <v>389</v>
      </c>
      <c r="B90" s="681"/>
      <c r="C90" s="1037"/>
      <c r="D90" s="1038">
        <f>+D83+D84+D85+D86+D87+D88+D89</f>
        <v>588500</v>
      </c>
      <c r="E90" s="553"/>
    </row>
    <row r="91" spans="1:6" x14ac:dyDescent="0.35">
      <c r="A91" s="1036" t="s">
        <v>1033</v>
      </c>
      <c r="B91" s="681"/>
      <c r="C91" s="1037"/>
      <c r="D91" s="675">
        <v>300000</v>
      </c>
      <c r="F91" s="774"/>
    </row>
    <row r="92" spans="1:6" x14ac:dyDescent="0.35">
      <c r="A92" s="772" t="s">
        <v>19</v>
      </c>
      <c r="B92" s="258"/>
      <c r="C92" s="227"/>
      <c r="D92" s="731">
        <v>-100000</v>
      </c>
      <c r="F92" s="774"/>
    </row>
    <row r="93" spans="1:6" x14ac:dyDescent="0.35">
      <c r="A93" s="889"/>
      <c r="B93" s="890"/>
      <c r="C93" s="814"/>
      <c r="D93" s="731"/>
    </row>
    <row r="94" spans="1:6" ht="15.5" x14ac:dyDescent="0.35">
      <c r="A94" s="1460" t="s">
        <v>11</v>
      </c>
      <c r="B94" s="1461"/>
      <c r="C94" s="1462"/>
      <c r="D94" s="603">
        <f>+D90+D91+D92+D93</f>
        <v>788500</v>
      </c>
      <c r="E94" s="553" t="s">
        <v>63</v>
      </c>
    </row>
    <row r="95" spans="1:6" ht="15.5" x14ac:dyDescent="0.35">
      <c r="A95" s="723" t="s">
        <v>631</v>
      </c>
      <c r="B95" s="723"/>
      <c r="C95" s="723"/>
      <c r="D95" s="832">
        <v>-160000</v>
      </c>
      <c r="E95" s="553"/>
    </row>
    <row r="96" spans="1:6" ht="15.5" x14ac:dyDescent="0.35">
      <c r="A96" s="611" t="s">
        <v>1010</v>
      </c>
      <c r="B96" s="611"/>
      <c r="C96" s="611"/>
      <c r="D96" s="603">
        <f>+D94+D95</f>
        <v>628500</v>
      </c>
      <c r="E96" s="553"/>
    </row>
    <row r="97" spans="1:5" s="90" customFormat="1" x14ac:dyDescent="0.35">
      <c r="B97" s="1042"/>
      <c r="C97" s="553"/>
      <c r="D97" s="1051" t="s">
        <v>63</v>
      </c>
      <c r="E97" s="1042"/>
    </row>
    <row r="99" spans="1:5" ht="23.5" x14ac:dyDescent="0.35">
      <c r="A99" s="1431" t="s">
        <v>1021</v>
      </c>
      <c r="B99" s="1431"/>
      <c r="C99" s="1431"/>
      <c r="D99" s="1431"/>
    </row>
    <row r="100" spans="1:5" x14ac:dyDescent="0.35">
      <c r="A100" s="2" t="s">
        <v>7</v>
      </c>
      <c r="B100" s="270" t="s">
        <v>8</v>
      </c>
      <c r="C100" s="217" t="s">
        <v>4</v>
      </c>
      <c r="D100" s="597" t="s">
        <v>9</v>
      </c>
    </row>
    <row r="101" spans="1:5" x14ac:dyDescent="0.35">
      <c r="A101" s="772" t="s">
        <v>3</v>
      </c>
      <c r="B101" s="258">
        <v>176</v>
      </c>
      <c r="C101" s="227">
        <f>1907*1.25*1.1</f>
        <v>2622.125</v>
      </c>
      <c r="D101" s="598">
        <f>+B101*C101</f>
        <v>461494</v>
      </c>
      <c r="E101" s="564"/>
    </row>
    <row r="102" spans="1:5" x14ac:dyDescent="0.35">
      <c r="A102" s="772" t="s">
        <v>111</v>
      </c>
      <c r="B102" s="258"/>
      <c r="C102" s="227">
        <f>+C101</f>
        <v>2622.125</v>
      </c>
      <c r="D102" s="598">
        <f>+B102*C102</f>
        <v>0</v>
      </c>
      <c r="E102" s="564"/>
    </row>
    <row r="103" spans="1:5" x14ac:dyDescent="0.35">
      <c r="A103" s="772" t="s">
        <v>200</v>
      </c>
      <c r="B103" s="258"/>
      <c r="C103" s="227">
        <v>30000</v>
      </c>
      <c r="D103" s="598">
        <f>+C103</f>
        <v>30000</v>
      </c>
      <c r="E103" s="564"/>
    </row>
    <row r="104" spans="1:5" x14ac:dyDescent="0.35">
      <c r="A104" s="772" t="s">
        <v>6</v>
      </c>
      <c r="B104" s="258"/>
      <c r="C104" s="194">
        <v>50000</v>
      </c>
      <c r="D104" s="598">
        <f>+C104</f>
        <v>50000</v>
      </c>
      <c r="E104" s="564"/>
    </row>
    <row r="105" spans="1:5" x14ac:dyDescent="0.35">
      <c r="A105" s="772" t="s">
        <v>1032</v>
      </c>
      <c r="B105" s="258"/>
      <c r="C105" s="194">
        <f>+C101*1.5</f>
        <v>3933.1875</v>
      </c>
      <c r="D105" s="598">
        <f>+B105*C105</f>
        <v>0</v>
      </c>
      <c r="E105" s="564"/>
    </row>
    <row r="106" spans="1:5" x14ac:dyDescent="0.35">
      <c r="A106" s="772" t="s">
        <v>281</v>
      </c>
      <c r="B106" s="258"/>
      <c r="C106" s="194">
        <f>+C101*2</f>
        <v>5244.25</v>
      </c>
      <c r="D106" s="598">
        <f>+B106*C106</f>
        <v>0</v>
      </c>
    </row>
    <row r="107" spans="1:5" s="90" customFormat="1" x14ac:dyDescent="0.35">
      <c r="A107" s="141"/>
      <c r="B107" s="274"/>
      <c r="C107" s="195"/>
      <c r="D107" s="1017">
        <f>+C107</f>
        <v>0</v>
      </c>
      <c r="E107" s="1042"/>
    </row>
    <row r="108" spans="1:5" x14ac:dyDescent="0.35">
      <c r="A108" s="1463" t="s">
        <v>389</v>
      </c>
      <c r="B108" s="1464"/>
      <c r="C108" s="1465"/>
      <c r="D108" s="599">
        <f>+D101+D102+D103+D104+D105+D106+D107</f>
        <v>541494</v>
      </c>
      <c r="E108" s="553"/>
    </row>
    <row r="109" spans="1:5" x14ac:dyDescent="0.35">
      <c r="A109" s="1180" t="s">
        <v>1003</v>
      </c>
      <c r="B109" s="1177"/>
      <c r="C109" s="1178"/>
      <c r="D109" s="599">
        <v>130000</v>
      </c>
      <c r="E109" s="553"/>
    </row>
    <row r="110" spans="1:5" x14ac:dyDescent="0.35">
      <c r="A110" s="724" t="s">
        <v>1039</v>
      </c>
      <c r="B110" s="729" t="s">
        <v>63</v>
      </c>
      <c r="C110" s="730" t="s">
        <v>63</v>
      </c>
      <c r="D110" s="731">
        <v>-150000</v>
      </c>
      <c r="E110" s="553"/>
    </row>
    <row r="111" spans="1:5" x14ac:dyDescent="0.35">
      <c r="A111" s="724"/>
      <c r="B111" s="729"/>
      <c r="C111" s="730"/>
      <c r="D111" s="731"/>
      <c r="E111" s="553"/>
    </row>
    <row r="112" spans="1:5" s="997" customFormat="1" ht="15.5" x14ac:dyDescent="0.35">
      <c r="A112" s="992" t="s">
        <v>11</v>
      </c>
      <c r="B112" s="1181"/>
      <c r="C112" s="994"/>
      <c r="D112" s="995">
        <f>+D108+D109+D110+D111</f>
        <v>521494</v>
      </c>
      <c r="E112" s="1046"/>
    </row>
    <row r="113" spans="1:5" s="90" customFormat="1" x14ac:dyDescent="0.35">
      <c r="B113" s="1042"/>
      <c r="C113" s="553"/>
      <c r="D113" s="1051"/>
      <c r="E113" s="1042"/>
    </row>
    <row r="115" spans="1:5" ht="23.5" x14ac:dyDescent="0.35">
      <c r="A115" s="1442" t="s">
        <v>1025</v>
      </c>
      <c r="B115" s="1443"/>
      <c r="C115" s="1443"/>
      <c r="D115" s="1444"/>
    </row>
    <row r="116" spans="1:5" x14ac:dyDescent="0.35">
      <c r="A116" s="2" t="s">
        <v>7</v>
      </c>
      <c r="B116" s="270" t="s">
        <v>388</v>
      </c>
      <c r="C116" s="217" t="s">
        <v>629</v>
      </c>
      <c r="D116" s="597" t="s">
        <v>9</v>
      </c>
    </row>
    <row r="117" spans="1:5" x14ac:dyDescent="0.35">
      <c r="A117" s="772" t="s">
        <v>3</v>
      </c>
      <c r="B117" s="258">
        <v>106</v>
      </c>
      <c r="C117" s="194">
        <v>3524.4</v>
      </c>
      <c r="D117" s="598">
        <f>+B117*C117</f>
        <v>373586.4</v>
      </c>
    </row>
    <row r="118" spans="1:5" x14ac:dyDescent="0.35">
      <c r="A118" s="772" t="s">
        <v>347</v>
      </c>
      <c r="B118" s="258">
        <f>7*8</f>
        <v>56</v>
      </c>
      <c r="C118" s="194">
        <f>+C117</f>
        <v>3524.4</v>
      </c>
      <c r="D118" s="598">
        <f>+B118*C118</f>
        <v>197366.39999999999</v>
      </c>
    </row>
    <row r="119" spans="1:5" x14ac:dyDescent="0.35">
      <c r="A119" s="772" t="s">
        <v>111</v>
      </c>
      <c r="B119" s="258"/>
      <c r="C119" s="194">
        <f>+C117</f>
        <v>3524.4</v>
      </c>
      <c r="D119" s="609">
        <f>+B119*C119</f>
        <v>0</v>
      </c>
    </row>
    <row r="120" spans="1:5" x14ac:dyDescent="0.35">
      <c r="A120" s="772" t="s">
        <v>556</v>
      </c>
      <c r="B120" s="258"/>
      <c r="C120" s="194">
        <v>50000</v>
      </c>
      <c r="D120" s="609">
        <f>+C120</f>
        <v>50000</v>
      </c>
    </row>
    <row r="121" spans="1:5" x14ac:dyDescent="0.35">
      <c r="A121" s="772" t="s">
        <v>6</v>
      </c>
      <c r="B121" s="258"/>
      <c r="C121" s="194">
        <v>60000</v>
      </c>
      <c r="D121" s="609">
        <f>+C121</f>
        <v>60000</v>
      </c>
    </row>
    <row r="122" spans="1:5" x14ac:dyDescent="0.35">
      <c r="A122" s="614" t="s">
        <v>628</v>
      </c>
      <c r="B122" s="617"/>
      <c r="C122" s="227">
        <f>+C117*1.5</f>
        <v>5286.6</v>
      </c>
      <c r="D122" s="609">
        <f>+B122*C122</f>
        <v>0</v>
      </c>
    </row>
    <row r="123" spans="1:5" x14ac:dyDescent="0.35">
      <c r="A123" s="614" t="s">
        <v>823</v>
      </c>
      <c r="B123" s="617"/>
      <c r="C123" s="227"/>
      <c r="D123" s="609">
        <v>120000</v>
      </c>
    </row>
    <row r="124" spans="1:5" x14ac:dyDescent="0.35">
      <c r="A124" s="614"/>
      <c r="B124" s="617"/>
      <c r="C124" s="227"/>
      <c r="D124" s="609"/>
    </row>
    <row r="125" spans="1:5" s="90" customFormat="1" x14ac:dyDescent="0.35">
      <c r="A125" s="1071" t="s">
        <v>389</v>
      </c>
      <c r="B125" s="1074"/>
      <c r="C125" s="1172"/>
      <c r="D125" s="1173">
        <f>+D117+D118+D119+D120+D121+D122+D123</f>
        <v>800952.8</v>
      </c>
      <c r="E125" s="1042"/>
    </row>
    <row r="126" spans="1:5" x14ac:dyDescent="0.35">
      <c r="A126" s="614" t="s">
        <v>1023</v>
      </c>
      <c r="B126" s="617"/>
      <c r="C126" s="227">
        <v>42000</v>
      </c>
      <c r="D126" s="609">
        <v>41100</v>
      </c>
    </row>
    <row r="127" spans="1:5" x14ac:dyDescent="0.35">
      <c r="A127" s="614" t="s">
        <v>1024</v>
      </c>
      <c r="B127" s="617"/>
      <c r="C127" s="227"/>
      <c r="D127" s="609">
        <v>32300</v>
      </c>
    </row>
    <row r="128" spans="1:5" ht="15.5" x14ac:dyDescent="0.35">
      <c r="A128" s="1059" t="s">
        <v>11</v>
      </c>
      <c r="B128" s="1060"/>
      <c r="C128" s="1061"/>
      <c r="D128" s="1167">
        <f>+D125+D126+D127</f>
        <v>874352.8</v>
      </c>
    </row>
    <row r="131" spans="1:5" ht="23.5" x14ac:dyDescent="0.35">
      <c r="A131" s="1442" t="s">
        <v>1022</v>
      </c>
      <c r="B131" s="1443"/>
      <c r="C131" s="1443"/>
      <c r="D131" s="1444"/>
    </row>
    <row r="132" spans="1:5" x14ac:dyDescent="0.35">
      <c r="A132" s="2" t="s">
        <v>7</v>
      </c>
      <c r="B132" s="270" t="s">
        <v>8</v>
      </c>
      <c r="C132" s="217" t="s">
        <v>4</v>
      </c>
      <c r="D132" s="597" t="s">
        <v>9</v>
      </c>
    </row>
    <row r="133" spans="1:5" x14ac:dyDescent="0.35">
      <c r="A133" s="772" t="s">
        <v>3</v>
      </c>
      <c r="B133" s="258">
        <v>146.5</v>
      </c>
      <c r="C133" s="194">
        <v>3524.4</v>
      </c>
      <c r="D133" s="598">
        <f>+B133*C133</f>
        <v>516324.60000000003</v>
      </c>
      <c r="E133" s="553"/>
    </row>
    <row r="134" spans="1:5" x14ac:dyDescent="0.35">
      <c r="A134" s="772" t="s">
        <v>111</v>
      </c>
      <c r="B134" s="258"/>
      <c r="C134" s="194">
        <f>+C133</f>
        <v>3524.4</v>
      </c>
      <c r="D134" s="609">
        <f>+B134*C134</f>
        <v>0</v>
      </c>
    </row>
    <row r="135" spans="1:5" x14ac:dyDescent="0.35">
      <c r="A135" s="772" t="s">
        <v>6</v>
      </c>
      <c r="B135" s="258"/>
      <c r="C135" s="194">
        <v>60000</v>
      </c>
      <c r="D135" s="609">
        <f>+C135</f>
        <v>60000</v>
      </c>
    </row>
    <row r="136" spans="1:5" x14ac:dyDescent="0.35">
      <c r="A136" s="614" t="s">
        <v>556</v>
      </c>
      <c r="B136" s="617"/>
      <c r="C136" s="227">
        <v>50000</v>
      </c>
      <c r="D136" s="609">
        <f>+C136</f>
        <v>50000</v>
      </c>
    </row>
    <row r="137" spans="1:5" x14ac:dyDescent="0.35">
      <c r="A137" s="614" t="s">
        <v>823</v>
      </c>
      <c r="B137" s="617"/>
      <c r="C137" s="227">
        <v>120000</v>
      </c>
      <c r="D137" s="609">
        <f>+C137</f>
        <v>120000</v>
      </c>
      <c r="E137" s="553"/>
    </row>
    <row r="138" spans="1:5" x14ac:dyDescent="0.35">
      <c r="A138" s="614"/>
      <c r="B138" s="617"/>
      <c r="C138" s="227"/>
      <c r="D138" s="609"/>
    </row>
    <row r="139" spans="1:5" x14ac:dyDescent="0.35">
      <c r="A139" s="882" t="s">
        <v>389</v>
      </c>
      <c r="B139" s="883"/>
      <c r="C139" s="884"/>
      <c r="D139" s="1058">
        <f>+D133+D134+D135+D136+D137</f>
        <v>746324.60000000009</v>
      </c>
    </row>
    <row r="140" spans="1:5" x14ac:dyDescent="0.35">
      <c r="A140" s="724" t="s">
        <v>50</v>
      </c>
      <c r="B140" s="729"/>
      <c r="C140" s="729"/>
      <c r="D140" s="731"/>
    </row>
    <row r="141" spans="1:5" x14ac:dyDescent="0.35">
      <c r="A141" s="1071" t="s">
        <v>11</v>
      </c>
      <c r="B141" s="1074"/>
      <c r="C141" s="1074"/>
      <c r="D141" s="1075">
        <f>+D139+D140</f>
        <v>746324.60000000009</v>
      </c>
    </row>
    <row r="145" spans="1:4" ht="23.5" x14ac:dyDescent="0.35">
      <c r="A145" s="1442" t="s">
        <v>1034</v>
      </c>
      <c r="B145" s="1443"/>
      <c r="C145" s="1443"/>
      <c r="D145" s="1444"/>
    </row>
    <row r="146" spans="1:4" x14ac:dyDescent="0.35">
      <c r="A146" s="2" t="s">
        <v>7</v>
      </c>
      <c r="B146" s="270" t="s">
        <v>388</v>
      </c>
      <c r="C146" s="217" t="s">
        <v>1037</v>
      </c>
      <c r="D146" s="597" t="s">
        <v>9</v>
      </c>
    </row>
    <row r="147" spans="1:4" x14ac:dyDescent="0.35">
      <c r="A147" s="772" t="s">
        <v>3</v>
      </c>
      <c r="B147" s="258">
        <v>167</v>
      </c>
      <c r="C147" s="194">
        <v>3400</v>
      </c>
      <c r="D147" s="598">
        <f>+B147*C147</f>
        <v>567800</v>
      </c>
    </row>
    <row r="148" spans="1:4" x14ac:dyDescent="0.35">
      <c r="A148" s="772" t="s">
        <v>111</v>
      </c>
      <c r="B148" s="258"/>
      <c r="C148" s="194"/>
      <c r="D148" s="609"/>
    </row>
    <row r="149" spans="1:4" x14ac:dyDescent="0.35">
      <c r="A149" s="772" t="s">
        <v>200</v>
      </c>
      <c r="B149" s="258"/>
      <c r="C149" s="194">
        <v>50000</v>
      </c>
      <c r="D149" s="609">
        <f>+C149</f>
        <v>50000</v>
      </c>
    </row>
    <row r="150" spans="1:4" x14ac:dyDescent="0.35">
      <c r="A150" s="614" t="s">
        <v>6</v>
      </c>
      <c r="B150" s="617"/>
      <c r="C150" s="227">
        <v>100000</v>
      </c>
      <c r="D150" s="609">
        <f>+C150</f>
        <v>100000</v>
      </c>
    </row>
    <row r="151" spans="1:4" x14ac:dyDescent="0.35">
      <c r="A151" s="614" t="s">
        <v>1035</v>
      </c>
      <c r="B151" s="617"/>
      <c r="C151" s="227">
        <f>+C147*1.5</f>
        <v>5100</v>
      </c>
      <c r="D151" s="609"/>
    </row>
    <row r="152" spans="1:4" x14ac:dyDescent="0.35">
      <c r="A152" s="614" t="s">
        <v>1036</v>
      </c>
      <c r="B152" s="617"/>
      <c r="C152" s="227"/>
      <c r="D152" s="609"/>
    </row>
    <row r="153" spans="1:4" x14ac:dyDescent="0.35">
      <c r="A153" s="882" t="s">
        <v>389</v>
      </c>
      <c r="B153" s="883"/>
      <c r="C153" s="884"/>
      <c r="D153" s="1058">
        <f>+D147+D149+D150</f>
        <v>717800</v>
      </c>
    </row>
    <row r="154" spans="1:4" x14ac:dyDescent="0.35">
      <c r="A154" s="882" t="s">
        <v>823</v>
      </c>
      <c r="B154" s="883"/>
      <c r="C154" s="884"/>
      <c r="D154" s="1058"/>
    </row>
    <row r="155" spans="1:4" x14ac:dyDescent="0.35">
      <c r="A155" s="724"/>
      <c r="B155" s="729"/>
      <c r="C155" s="729"/>
      <c r="D155" s="731"/>
    </row>
    <row r="156" spans="1:4" x14ac:dyDescent="0.35">
      <c r="A156" s="1071" t="s">
        <v>11</v>
      </c>
      <c r="B156" s="1074"/>
      <c r="C156" s="1074"/>
      <c r="D156" s="1075">
        <f>+D153+D154+D155</f>
        <v>717800</v>
      </c>
    </row>
  </sheetData>
  <mergeCells count="19">
    <mergeCell ref="A145:D145"/>
    <mergeCell ref="A115:D115"/>
    <mergeCell ref="A131:D131"/>
    <mergeCell ref="A81:D81"/>
    <mergeCell ref="A94:C94"/>
    <mergeCell ref="A99:D99"/>
    <mergeCell ref="A108:C108"/>
    <mergeCell ref="A78:C78"/>
    <mergeCell ref="A3:D3"/>
    <mergeCell ref="A12:C12"/>
    <mergeCell ref="A16:C16"/>
    <mergeCell ref="A19:D19"/>
    <mergeCell ref="A27:C27"/>
    <mergeCell ref="A34:D34"/>
    <mergeCell ref="A42:C42"/>
    <mergeCell ref="A50:D50"/>
    <mergeCell ref="A59:C59"/>
    <mergeCell ref="A65:D65"/>
    <mergeCell ref="A74:C74"/>
  </mergeCells>
  <pageMargins left="0.31496062992125984" right="0.11811023622047245" top="0" bottom="0" header="0.31496062992125984" footer="0.31496062992125984"/>
  <pageSetup paperSize="9" scale="32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56FE-D5AB-4B0C-A561-45128C72B6D8}">
  <sheetPr>
    <pageSetUpPr fitToPage="1"/>
  </sheetPr>
  <dimension ref="A1:E43"/>
  <sheetViews>
    <sheetView workbookViewId="0">
      <selection activeCell="D34" sqref="D34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1027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+C15+C21</f>
        <v>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/>
      <c r="E5" s="774"/>
    </row>
    <row r="6" spans="1:5" x14ac:dyDescent="0.35">
      <c r="B6" s="258" t="s">
        <v>16</v>
      </c>
      <c r="C6" s="194"/>
    </row>
    <row r="7" spans="1:5" x14ac:dyDescent="0.35">
      <c r="B7" s="258" t="s">
        <v>0</v>
      </c>
      <c r="C7" s="194"/>
    </row>
    <row r="8" spans="1:5" x14ac:dyDescent="0.35">
      <c r="B8" s="258" t="s">
        <v>245</v>
      </c>
      <c r="C8" s="194"/>
    </row>
    <row r="9" spans="1:5" x14ac:dyDescent="0.35">
      <c r="B9" s="258" t="s">
        <v>463</v>
      </c>
      <c r="C9" s="194"/>
    </row>
    <row r="10" spans="1:5" x14ac:dyDescent="0.35">
      <c r="B10" s="258" t="s">
        <v>553</v>
      </c>
      <c r="C10" s="194"/>
    </row>
    <row r="11" spans="1:5" x14ac:dyDescent="0.35">
      <c r="B11" s="258" t="s">
        <v>260</v>
      </c>
      <c r="C11" s="194"/>
    </row>
    <row r="12" spans="1:5" x14ac:dyDescent="0.35">
      <c r="B12" s="617" t="s">
        <v>613</v>
      </c>
      <c r="C12" s="227"/>
    </row>
    <row r="13" spans="1:5" x14ac:dyDescent="0.35">
      <c r="B13" s="315"/>
      <c r="C13" s="194"/>
      <c r="E13" s="774"/>
    </row>
    <row r="14" spans="1:5" x14ac:dyDescent="0.35">
      <c r="B14" s="315"/>
      <c r="C14" s="194"/>
    </row>
    <row r="15" spans="1:5" x14ac:dyDescent="0.35">
      <c r="B15" s="1016" t="s">
        <v>872</v>
      </c>
      <c r="C15" s="195">
        <f>SUM(C5:C14)</f>
        <v>0</v>
      </c>
    </row>
    <row r="16" spans="1:5" x14ac:dyDescent="0.35">
      <c r="B16" s="261"/>
    </row>
    <row r="17" spans="1:4" x14ac:dyDescent="0.35">
      <c r="B17" s="261"/>
    </row>
    <row r="18" spans="1:4" x14ac:dyDescent="0.35">
      <c r="B18" s="261"/>
    </row>
    <row r="19" spans="1:4" x14ac:dyDescent="0.35">
      <c r="B19" s="258" t="s">
        <v>267</v>
      </c>
      <c r="C19" s="194"/>
    </row>
    <row r="20" spans="1:4" x14ac:dyDescent="0.35">
      <c r="B20" s="258" t="s">
        <v>1038</v>
      </c>
      <c r="C20" s="194"/>
    </row>
    <row r="21" spans="1:4" s="90" customFormat="1" x14ac:dyDescent="0.35">
      <c r="B21" s="274" t="s">
        <v>972</v>
      </c>
      <c r="C21" s="195">
        <f>+C19+C20</f>
        <v>0</v>
      </c>
      <c r="D21" s="553"/>
    </row>
    <row r="24" spans="1:4" x14ac:dyDescent="0.35">
      <c r="B24" s="274" t="s">
        <v>7</v>
      </c>
      <c r="C24" s="1052" t="s">
        <v>272</v>
      </c>
      <c r="D24" s="1109" t="s">
        <v>200</v>
      </c>
    </row>
    <row r="25" spans="1:4" x14ac:dyDescent="0.35">
      <c r="A25" s="771">
        <v>1</v>
      </c>
      <c r="B25" s="258" t="s">
        <v>10</v>
      </c>
      <c r="C25" s="194">
        <f>2852.06*1.15</f>
        <v>3279.8689999999997</v>
      </c>
      <c r="D25" s="598">
        <v>30000</v>
      </c>
    </row>
    <row r="26" spans="1:4" x14ac:dyDescent="0.35">
      <c r="A26" s="771">
        <v>2</v>
      </c>
      <c r="B26" s="258" t="s">
        <v>16</v>
      </c>
      <c r="C26" s="194">
        <f>2554.7*1.1</f>
        <v>2810.17</v>
      </c>
      <c r="D26" s="598">
        <v>30000</v>
      </c>
    </row>
    <row r="27" spans="1:4" x14ac:dyDescent="0.35">
      <c r="A27" s="771">
        <v>3</v>
      </c>
      <c r="B27" s="258" t="s">
        <v>0</v>
      </c>
      <c r="C27" s="194">
        <v>3945.6</v>
      </c>
      <c r="D27" s="598">
        <v>30000</v>
      </c>
    </row>
    <row r="28" spans="1:4" x14ac:dyDescent="0.35">
      <c r="A28" s="176">
        <v>4</v>
      </c>
      <c r="B28" s="258" t="s">
        <v>267</v>
      </c>
      <c r="C28" s="194">
        <v>2754</v>
      </c>
      <c r="D28" s="598">
        <v>30000</v>
      </c>
    </row>
    <row r="29" spans="1:4" x14ac:dyDescent="0.35">
      <c r="A29" s="176">
        <v>5</v>
      </c>
      <c r="B29" s="258" t="s">
        <v>245</v>
      </c>
      <c r="C29" s="194">
        <f>2383.75*1.1</f>
        <v>2622.125</v>
      </c>
      <c r="D29" s="598">
        <v>30000</v>
      </c>
    </row>
    <row r="30" spans="1:4" x14ac:dyDescent="0.35">
      <c r="A30" s="176">
        <v>6</v>
      </c>
      <c r="B30" s="258" t="s">
        <v>463</v>
      </c>
      <c r="C30" s="194">
        <v>2718.75</v>
      </c>
      <c r="D30" s="598">
        <v>30000</v>
      </c>
    </row>
    <row r="31" spans="1:4" x14ac:dyDescent="0.35">
      <c r="A31" s="176">
        <v>7</v>
      </c>
      <c r="B31" s="258" t="s">
        <v>553</v>
      </c>
      <c r="C31" s="194">
        <f>2383.75*1.1</f>
        <v>2622.125</v>
      </c>
      <c r="D31" s="598">
        <v>30000</v>
      </c>
    </row>
    <row r="32" spans="1:4" x14ac:dyDescent="0.35">
      <c r="A32" s="176">
        <v>8</v>
      </c>
      <c r="B32" s="258" t="s">
        <v>260</v>
      </c>
      <c r="C32" s="194">
        <v>3204.3</v>
      </c>
      <c r="D32" s="598">
        <v>50000</v>
      </c>
    </row>
    <row r="33" spans="1:4" x14ac:dyDescent="0.35">
      <c r="A33" s="176">
        <v>9</v>
      </c>
      <c r="B33" s="258" t="s">
        <v>613</v>
      </c>
      <c r="C33" s="194">
        <v>3204.3</v>
      </c>
      <c r="D33" s="598">
        <v>50000</v>
      </c>
    </row>
    <row r="34" spans="1:4" x14ac:dyDescent="0.35">
      <c r="A34" s="176">
        <v>10</v>
      </c>
      <c r="B34" s="258"/>
      <c r="C34" s="194"/>
      <c r="D34" s="598"/>
    </row>
    <row r="35" spans="1:4" x14ac:dyDescent="0.35">
      <c r="A35" s="176">
        <v>11</v>
      </c>
      <c r="B35" s="315"/>
      <c r="C35" s="194">
        <v>2175</v>
      </c>
      <c r="D35" s="598">
        <v>30000</v>
      </c>
    </row>
    <row r="36" spans="1:4" x14ac:dyDescent="0.35">
      <c r="A36" s="176">
        <v>12</v>
      </c>
      <c r="B36" s="1108" t="s">
        <v>15</v>
      </c>
      <c r="C36" s="204"/>
      <c r="D36" s="205"/>
    </row>
    <row r="37" spans="1:4" x14ac:dyDescent="0.35">
      <c r="B37" s="1121"/>
      <c r="C37" s="204"/>
      <c r="D37" s="205"/>
    </row>
    <row r="39" spans="1:4" x14ac:dyDescent="0.35">
      <c r="A39" s="701" t="s">
        <v>106</v>
      </c>
      <c r="B39" s="702" t="s">
        <v>873</v>
      </c>
      <c r="C39" s="1013" t="s">
        <v>803</v>
      </c>
      <c r="D39" s="1092" t="s">
        <v>7</v>
      </c>
    </row>
    <row r="40" spans="1:4" x14ac:dyDescent="0.35">
      <c r="A40" s="703">
        <v>16</v>
      </c>
      <c r="B40" s="703">
        <v>9</v>
      </c>
      <c r="C40" s="964">
        <f>+A40*B40</f>
        <v>144</v>
      </c>
      <c r="D40" s="593" t="s">
        <v>874</v>
      </c>
    </row>
    <row r="41" spans="1:4" x14ac:dyDescent="0.35">
      <c r="A41" s="703">
        <v>4</v>
      </c>
      <c r="B41" s="703">
        <v>8</v>
      </c>
      <c r="C41" s="964">
        <f>+A41*B41</f>
        <v>32</v>
      </c>
      <c r="D41" s="593" t="s">
        <v>117</v>
      </c>
    </row>
    <row r="42" spans="1:4" x14ac:dyDescent="0.35">
      <c r="A42" s="703">
        <v>0</v>
      </c>
      <c r="B42" s="703">
        <v>8</v>
      </c>
      <c r="C42" s="964">
        <f>+A42*B42</f>
        <v>0</v>
      </c>
      <c r="D42" s="593" t="s">
        <v>111</v>
      </c>
    </row>
    <row r="43" spans="1:4" x14ac:dyDescent="0.35">
      <c r="A43" s="568"/>
      <c r="B43" s="773"/>
      <c r="C43" s="964">
        <f>+C40+C41+C42</f>
        <v>176</v>
      </c>
      <c r="D43" s="593" t="s">
        <v>1026</v>
      </c>
    </row>
  </sheetData>
  <pageMargins left="0.7" right="0.7" top="0.75" bottom="0.75" header="0.3" footer="0.3"/>
  <pageSetup paperSize="9" scale="94" fitToHeight="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A074-B681-473D-81E4-830504CD27AB}">
  <sheetPr>
    <pageSetUpPr fitToPage="1"/>
  </sheetPr>
  <dimension ref="A1:S174"/>
  <sheetViews>
    <sheetView topLeftCell="A112" zoomScaleNormal="100" workbookViewId="0">
      <selection activeCell="E113" sqref="E113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45717</v>
      </c>
    </row>
    <row r="3" spans="1:18" ht="25.5" customHeight="1" x14ac:dyDescent="0.35">
      <c r="A3" s="1466" t="s">
        <v>1042</v>
      </c>
      <c r="B3" s="1431"/>
      <c r="C3" s="1431"/>
      <c r="D3" s="1431"/>
    </row>
    <row r="4" spans="1:18" s="1182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158</v>
      </c>
      <c r="C5" s="227">
        <v>3936</v>
      </c>
      <c r="D5" s="598">
        <f>+B5*C5</f>
        <v>621888</v>
      </c>
      <c r="E5" s="564" t="s">
        <v>1064</v>
      </c>
      <c r="Q5" s="1182"/>
    </row>
    <row r="6" spans="1:18" ht="18" customHeight="1" x14ac:dyDescent="0.35">
      <c r="A6" s="772" t="s">
        <v>1061</v>
      </c>
      <c r="B6" s="258">
        <v>24</v>
      </c>
      <c r="C6" s="227">
        <f>+C5</f>
        <v>3936</v>
      </c>
      <c r="D6" s="598">
        <f>+B6*C6</f>
        <v>94464</v>
      </c>
      <c r="E6" s="564"/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f>+C7</f>
        <v>50000</v>
      </c>
      <c r="E7" s="564"/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E8" s="564"/>
      <c r="F8" s="176"/>
    </row>
    <row r="9" spans="1:18" ht="18" customHeight="1" x14ac:dyDescent="0.35">
      <c r="A9" s="772" t="s">
        <v>467</v>
      </c>
      <c r="B9" s="258">
        <v>4</v>
      </c>
      <c r="C9" s="194">
        <f>+C5*1.5</f>
        <v>5904</v>
      </c>
      <c r="D9" s="598">
        <f>+B9*C9</f>
        <v>23616</v>
      </c>
      <c r="E9" s="564"/>
      <c r="F9" s="176"/>
    </row>
    <row r="10" spans="1:18" ht="18" customHeight="1" x14ac:dyDescent="0.35">
      <c r="A10" s="772" t="s">
        <v>281</v>
      </c>
      <c r="B10" s="258"/>
      <c r="C10" s="194">
        <f>+C5*2</f>
        <v>7872</v>
      </c>
      <c r="D10" s="598">
        <f>+B10*C10</f>
        <v>0</v>
      </c>
      <c r="E10" s="564"/>
      <c r="F10" s="176"/>
    </row>
    <row r="11" spans="1:18" s="90" customFormat="1" ht="18" customHeight="1" x14ac:dyDescent="0.35">
      <c r="A11" s="141"/>
      <c r="B11" s="274"/>
      <c r="C11" s="195"/>
      <c r="D11" s="1017">
        <f>+C11</f>
        <v>0</v>
      </c>
      <c r="E11" s="1042"/>
      <c r="F11" s="728"/>
      <c r="R11" s="1183"/>
    </row>
    <row r="12" spans="1:18" ht="18" customHeight="1" x14ac:dyDescent="0.35">
      <c r="A12" s="1432" t="s">
        <v>389</v>
      </c>
      <c r="B12" s="1432"/>
      <c r="C12" s="1432"/>
      <c r="D12" s="599">
        <f>+D5+D6+D7+D8+D9+D10+D11</f>
        <v>889968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182"/>
    </row>
    <row r="13" spans="1:18" ht="18" customHeight="1" x14ac:dyDescent="0.35">
      <c r="A13" s="1187" t="s">
        <v>823</v>
      </c>
      <c r="B13" s="1184"/>
      <c r="C13" s="1184"/>
      <c r="D13" s="599">
        <v>250000</v>
      </c>
      <c r="E13" s="553" t="s">
        <v>710</v>
      </c>
      <c r="F13" s="248"/>
      <c r="G13" s="248"/>
      <c r="H13" s="248"/>
      <c r="I13" s="248"/>
      <c r="J13" s="248"/>
      <c r="K13" s="248"/>
      <c r="L13" s="248"/>
      <c r="M13" s="248"/>
      <c r="O13" s="1182"/>
    </row>
    <row r="14" spans="1:18" ht="18" customHeight="1" x14ac:dyDescent="0.35">
      <c r="A14" s="800" t="s">
        <v>1044</v>
      </c>
      <c r="B14" s="720"/>
      <c r="C14" s="720"/>
      <c r="D14" s="722">
        <v>-420613.17</v>
      </c>
      <c r="E14" s="553"/>
      <c r="F14" s="248"/>
      <c r="G14" s="248"/>
      <c r="H14" s="248"/>
      <c r="I14" s="248"/>
      <c r="J14" s="248"/>
      <c r="K14" s="248"/>
      <c r="L14" s="248"/>
      <c r="M14" s="248"/>
      <c r="O14" s="1182"/>
    </row>
    <row r="15" spans="1:18" ht="18" customHeight="1" x14ac:dyDescent="0.35">
      <c r="A15" s="1141"/>
      <c r="B15" s="721"/>
      <c r="C15" s="905"/>
      <c r="D15" s="722"/>
      <c r="E15" s="553"/>
      <c r="F15" s="248"/>
      <c r="G15" s="248"/>
      <c r="H15" s="248"/>
      <c r="I15" s="248"/>
      <c r="J15" s="248"/>
      <c r="K15" s="248"/>
      <c r="L15" s="248"/>
      <c r="M15" s="248"/>
      <c r="O15" s="1182"/>
    </row>
    <row r="16" spans="1:18" ht="18" customHeight="1" x14ac:dyDescent="0.35">
      <c r="A16" s="1433" t="s">
        <v>11</v>
      </c>
      <c r="B16" s="1433"/>
      <c r="C16" s="1433"/>
      <c r="D16" s="603">
        <f>+D12+D13+D14+D15</f>
        <v>719354.83000000007</v>
      </c>
      <c r="E16" s="553"/>
      <c r="F16" s="321"/>
      <c r="G16" s="321"/>
      <c r="H16" s="473"/>
      <c r="I16" s="321"/>
      <c r="J16" s="321"/>
      <c r="Q16" s="1182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182"/>
    </row>
    <row r="18" spans="1:19" s="908" customFormat="1" ht="18" customHeight="1" x14ac:dyDescent="0.35">
      <c r="A18" s="689"/>
      <c r="B18" s="689"/>
      <c r="C18" s="689"/>
      <c r="D18" s="688"/>
      <c r="E18" s="1044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1045</v>
      </c>
      <c r="B19" s="1451"/>
      <c r="C19" s="1451"/>
      <c r="D19" s="1452"/>
      <c r="E19" s="1045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E20" s="564"/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>
        <v>158</v>
      </c>
      <c r="C21" s="211">
        <v>3375</v>
      </c>
      <c r="D21" s="211">
        <f>+B21*C21</f>
        <v>533250</v>
      </c>
      <c r="E21" s="564" t="s">
        <v>1064</v>
      </c>
      <c r="J21" s="182"/>
    </row>
    <row r="22" spans="1:19" ht="18" customHeight="1" x14ac:dyDescent="0.35">
      <c r="A22" s="607" t="s">
        <v>452</v>
      </c>
      <c r="B22" s="267">
        <v>24</v>
      </c>
      <c r="C22" s="211">
        <f>+C21</f>
        <v>3375</v>
      </c>
      <c r="D22" s="211">
        <f>+B22*C22</f>
        <v>81000</v>
      </c>
      <c r="E22" s="564"/>
      <c r="J22" s="182"/>
    </row>
    <row r="23" spans="1:19" ht="18" customHeight="1" x14ac:dyDescent="0.35">
      <c r="A23" s="772" t="s">
        <v>196</v>
      </c>
      <c r="B23" s="267"/>
      <c r="C23" s="211">
        <v>50000</v>
      </c>
      <c r="D23" s="211">
        <f>+C23</f>
        <v>50000</v>
      </c>
      <c r="E23" s="564"/>
      <c r="I23" s="1182"/>
    </row>
    <row r="24" spans="1:19" ht="18" customHeight="1" x14ac:dyDescent="0.35">
      <c r="A24" s="772" t="s">
        <v>6</v>
      </c>
      <c r="B24" s="267"/>
      <c r="C24" s="211">
        <v>100000</v>
      </c>
      <c r="D24" s="211">
        <f>+C24</f>
        <v>100000</v>
      </c>
      <c r="E24" s="564"/>
      <c r="I24" s="1182"/>
    </row>
    <row r="25" spans="1:19" ht="18" customHeight="1" x14ac:dyDescent="0.35">
      <c r="A25" s="772" t="s">
        <v>1028</v>
      </c>
      <c r="B25" s="267">
        <v>18</v>
      </c>
      <c r="C25" s="211">
        <f>+C21*1.5</f>
        <v>5062.5</v>
      </c>
      <c r="D25" s="211">
        <f>B25*C25</f>
        <v>91125</v>
      </c>
      <c r="E25" s="1043"/>
      <c r="F25" s="181"/>
      <c r="G25" s="187"/>
      <c r="H25" s="188"/>
      <c r="I25" s="1182"/>
      <c r="L25" s="1182"/>
    </row>
    <row r="26" spans="1:19" ht="18" customHeight="1" x14ac:dyDescent="0.35">
      <c r="A26" s="772" t="s">
        <v>281</v>
      </c>
      <c r="B26" s="267">
        <v>0.5</v>
      </c>
      <c r="C26" s="211">
        <f>+C21*2</f>
        <v>6750</v>
      </c>
      <c r="D26" s="211">
        <f>+B26*C26</f>
        <v>3375</v>
      </c>
      <c r="E26" s="1043"/>
      <c r="F26" s="181"/>
      <c r="G26" s="187"/>
      <c r="H26" s="188"/>
      <c r="I26" s="1182"/>
      <c r="L26" s="1182"/>
    </row>
    <row r="27" spans="1:19" s="1182" customFormat="1" ht="18" customHeight="1" x14ac:dyDescent="0.35">
      <c r="A27" s="1463" t="s">
        <v>389</v>
      </c>
      <c r="B27" s="1464"/>
      <c r="C27" s="1465"/>
      <c r="D27" s="599">
        <f>+D21+D22+D23+D24+D25+D26</f>
        <v>858750</v>
      </c>
      <c r="E27" s="553"/>
      <c r="F27" s="181"/>
      <c r="G27" s="181"/>
      <c r="H27" s="184"/>
      <c r="I27" s="771"/>
      <c r="K27" s="771"/>
      <c r="L27" s="771"/>
    </row>
    <row r="28" spans="1:19" s="1183" customFormat="1" ht="18" customHeight="1" x14ac:dyDescent="0.35">
      <c r="A28" s="129" t="s">
        <v>1040</v>
      </c>
      <c r="B28" s="749"/>
      <c r="C28" s="1072" t="s">
        <v>63</v>
      </c>
      <c r="D28" s="749">
        <v>250000</v>
      </c>
      <c r="E28" s="553" t="s">
        <v>710</v>
      </c>
      <c r="F28" s="184"/>
      <c r="G28" s="184"/>
      <c r="H28" s="184"/>
      <c r="I28" s="90"/>
      <c r="K28" s="90"/>
      <c r="L28" s="90"/>
    </row>
    <row r="29" spans="1:19" s="1182" customFormat="1" ht="18" customHeight="1" x14ac:dyDescent="0.35">
      <c r="A29" s="825" t="s">
        <v>374</v>
      </c>
      <c r="B29" s="824" t="s">
        <v>63</v>
      </c>
      <c r="C29" s="823"/>
      <c r="D29" s="930">
        <v>-250000</v>
      </c>
      <c r="E29" s="553"/>
      <c r="F29" s="181"/>
      <c r="G29" s="181"/>
      <c r="H29" s="184"/>
      <c r="I29" s="771"/>
      <c r="K29" s="771"/>
      <c r="L29" s="771"/>
    </row>
    <row r="30" spans="1:19" s="1182" customFormat="1" ht="18" customHeight="1" x14ac:dyDescent="0.35">
      <c r="A30" s="825"/>
      <c r="B30" s="824"/>
      <c r="C30" s="823"/>
      <c r="D30" s="930"/>
      <c r="E30" s="1042"/>
      <c r="F30" s="181"/>
      <c r="G30" s="181"/>
      <c r="H30" s="184"/>
      <c r="I30" s="771"/>
      <c r="K30" s="771"/>
      <c r="L30" s="771"/>
    </row>
    <row r="31" spans="1:19" ht="18" customHeight="1" x14ac:dyDescent="0.35">
      <c r="A31" s="786" t="s">
        <v>11</v>
      </c>
      <c r="B31" s="783"/>
      <c r="C31" s="783"/>
      <c r="D31" s="784">
        <f>+D27+D28+D29+D30</f>
        <v>858750</v>
      </c>
      <c r="E31" s="553"/>
      <c r="F31" s="181"/>
      <c r="G31" s="181"/>
      <c r="H31" s="184"/>
    </row>
    <row r="32" spans="1:19" ht="18" customHeight="1" x14ac:dyDescent="0.35">
      <c r="A32" s="1047"/>
      <c r="B32" s="594"/>
      <c r="C32" s="594"/>
      <c r="D32" s="595"/>
      <c r="F32" s="181"/>
      <c r="G32" s="181"/>
      <c r="H32" s="184"/>
    </row>
    <row r="33" spans="1:19" ht="18" customHeight="1" x14ac:dyDescent="0.35">
      <c r="A33" s="594"/>
      <c r="B33" s="594"/>
      <c r="C33" s="594"/>
      <c r="D33" s="595"/>
      <c r="F33" s="181"/>
      <c r="G33" s="181"/>
      <c r="H33" s="184"/>
    </row>
    <row r="34" spans="1:19" ht="18" customHeight="1" x14ac:dyDescent="0.35">
      <c r="A34" s="1442" t="s">
        <v>1046</v>
      </c>
      <c r="B34" s="1443"/>
      <c r="C34" s="1443"/>
      <c r="D34" s="1444"/>
      <c r="F34" s="181"/>
      <c r="G34" s="181"/>
      <c r="H34" s="184"/>
    </row>
    <row r="35" spans="1:19" ht="18" customHeight="1" x14ac:dyDescent="0.35">
      <c r="A35" s="2"/>
      <c r="B35" s="270" t="s">
        <v>8</v>
      </c>
      <c r="C35" s="217" t="s">
        <v>4</v>
      </c>
      <c r="D35" s="597" t="s">
        <v>9</v>
      </c>
      <c r="F35" s="181"/>
      <c r="G35" s="181"/>
      <c r="H35" s="184"/>
    </row>
    <row r="36" spans="1:19" ht="18" customHeight="1" x14ac:dyDescent="0.35">
      <c r="A36" s="772" t="s">
        <v>253</v>
      </c>
      <c r="B36" s="258">
        <v>158</v>
      </c>
      <c r="C36" s="194">
        <v>4735</v>
      </c>
      <c r="D36" s="598">
        <f>+B36*C36</f>
        <v>748130</v>
      </c>
      <c r="E36" s="564" t="s">
        <v>1064</v>
      </c>
      <c r="F36" s="181"/>
      <c r="G36" s="181"/>
      <c r="H36" s="184"/>
    </row>
    <row r="37" spans="1:19" ht="18" customHeight="1" x14ac:dyDescent="0.35">
      <c r="A37" s="772" t="s">
        <v>452</v>
      </c>
      <c r="B37" s="258">
        <v>24</v>
      </c>
      <c r="C37" s="194">
        <f>+C36</f>
        <v>4735</v>
      </c>
      <c r="D37" s="598">
        <f>+B37*C37</f>
        <v>113640</v>
      </c>
      <c r="E37" s="564"/>
      <c r="F37" s="181"/>
      <c r="G37" s="181"/>
      <c r="H37" s="184"/>
    </row>
    <row r="38" spans="1:19" ht="15" customHeight="1" x14ac:dyDescent="0.35">
      <c r="A38" s="772" t="s">
        <v>196</v>
      </c>
      <c r="B38" s="258"/>
      <c r="C38" s="194">
        <v>50000</v>
      </c>
      <c r="D38" s="598">
        <f>+C38</f>
        <v>50000</v>
      </c>
      <c r="E38" s="564"/>
      <c r="F38" s="181"/>
      <c r="G38" s="181"/>
      <c r="H38" s="184"/>
      <c r="I38" s="1182"/>
    </row>
    <row r="39" spans="1:19" ht="15" customHeight="1" x14ac:dyDescent="0.35">
      <c r="A39" s="772" t="s">
        <v>6</v>
      </c>
      <c r="B39" s="258"/>
      <c r="C39" s="194">
        <v>100000</v>
      </c>
      <c r="D39" s="598">
        <f>+C39</f>
        <v>100000</v>
      </c>
      <c r="E39" s="564"/>
      <c r="F39" s="181"/>
      <c r="G39" s="181"/>
      <c r="H39" s="184"/>
      <c r="I39" s="1182"/>
    </row>
    <row r="40" spans="1:19" ht="15" customHeight="1" x14ac:dyDescent="0.35">
      <c r="A40" s="772" t="s">
        <v>1029</v>
      </c>
      <c r="B40" s="315">
        <v>2.5</v>
      </c>
      <c r="C40" s="194">
        <f>+C36*1.5</f>
        <v>7102.5</v>
      </c>
      <c r="D40" s="598">
        <f>+B40*C40</f>
        <v>17756.25</v>
      </c>
      <c r="F40" s="181"/>
      <c r="G40" s="181"/>
      <c r="H40" s="184"/>
      <c r="I40" s="1182"/>
    </row>
    <row r="41" spans="1:19" ht="15" customHeight="1" x14ac:dyDescent="0.35">
      <c r="A41" s="772" t="s">
        <v>449</v>
      </c>
      <c r="B41" s="315">
        <v>0</v>
      </c>
      <c r="C41" s="194">
        <f>+C36*2</f>
        <v>9470</v>
      </c>
      <c r="D41" s="598">
        <f>+B41*C41</f>
        <v>0</v>
      </c>
      <c r="E41" s="553"/>
      <c r="F41" s="181"/>
      <c r="G41" s="416"/>
      <c r="H41" s="184"/>
      <c r="I41" s="1182"/>
    </row>
    <row r="42" spans="1:19" ht="15" customHeight="1" x14ac:dyDescent="0.35">
      <c r="A42" s="1463" t="s">
        <v>389</v>
      </c>
      <c r="B42" s="1464"/>
      <c r="C42" s="1465"/>
      <c r="D42" s="599">
        <f>+D36+D37+D38+D39+D40+D41</f>
        <v>1029526.25</v>
      </c>
      <c r="E42" s="553"/>
      <c r="J42" s="176"/>
      <c r="K42" s="176"/>
      <c r="L42" s="176"/>
      <c r="M42" s="181"/>
      <c r="N42" s="181"/>
      <c r="O42" s="184"/>
      <c r="Q42" s="1182"/>
    </row>
    <row r="43" spans="1:19" ht="15" customHeight="1" x14ac:dyDescent="0.35">
      <c r="A43" s="1188" t="s">
        <v>1040</v>
      </c>
      <c r="B43" s="1185"/>
      <c r="C43" s="1186"/>
      <c r="D43" s="599">
        <v>250000</v>
      </c>
      <c r="E43" s="553" t="s">
        <v>710</v>
      </c>
      <c r="J43" s="176"/>
      <c r="K43" s="176"/>
      <c r="L43" s="176"/>
      <c r="M43" s="181"/>
      <c r="N43" s="181"/>
      <c r="O43" s="184"/>
      <c r="Q43" s="1182"/>
    </row>
    <row r="44" spans="1:19" s="1182" customFormat="1" ht="15" customHeight="1" x14ac:dyDescent="0.35">
      <c r="A44" s="921" t="s">
        <v>1047</v>
      </c>
      <c r="B44" s="727" t="s">
        <v>63</v>
      </c>
      <c r="C44" s="727" t="s">
        <v>63</v>
      </c>
      <c r="D44" s="722">
        <v>-428151.74</v>
      </c>
      <c r="E44" s="1043"/>
      <c r="F44" s="774"/>
      <c r="G44" s="771"/>
      <c r="H44" s="771"/>
      <c r="I44" s="771"/>
      <c r="J44" s="176"/>
      <c r="K44" s="176"/>
      <c r="L44" s="176"/>
      <c r="M44" s="176"/>
      <c r="N44" s="176"/>
      <c r="O44" s="176"/>
      <c r="P44" s="771"/>
      <c r="Q44" s="771"/>
      <c r="R44" s="771"/>
      <c r="S44" s="771"/>
    </row>
    <row r="45" spans="1:19" s="1182" customFormat="1" ht="15" customHeight="1" x14ac:dyDescent="0.35">
      <c r="A45" s="921"/>
      <c r="B45" s="727"/>
      <c r="C45" s="727"/>
      <c r="D45" s="722"/>
      <c r="E45" s="1043"/>
      <c r="F45" s="771"/>
      <c r="G45" s="771"/>
      <c r="H45" s="771"/>
      <c r="I45" s="771"/>
      <c r="J45" s="176"/>
      <c r="K45" s="176"/>
      <c r="L45" s="176"/>
      <c r="M45" s="176"/>
      <c r="N45" s="176"/>
      <c r="O45" s="176"/>
      <c r="P45" s="771"/>
      <c r="Q45" s="771"/>
      <c r="R45" s="771"/>
      <c r="S45" s="771"/>
    </row>
    <row r="46" spans="1:19" s="1182" customFormat="1" ht="15" customHeight="1" x14ac:dyDescent="0.35">
      <c r="A46" s="1103" t="s">
        <v>11</v>
      </c>
      <c r="B46" s="1104"/>
      <c r="C46" s="197"/>
      <c r="D46" s="675">
        <f>+D42+D43+D44+D45</f>
        <v>851374.51</v>
      </c>
      <c r="E46" s="1025"/>
      <c r="F46" s="771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182" customFormat="1" ht="15" customHeight="1" x14ac:dyDescent="0.35">
      <c r="A47" s="1164"/>
      <c r="B47" s="1165"/>
      <c r="C47" s="1163"/>
      <c r="D47" s="1090"/>
      <c r="E47" s="1025"/>
      <c r="F47" s="771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ht="15" customHeight="1" x14ac:dyDescent="0.35">
      <c r="A48" s="90"/>
      <c r="B48" s="771"/>
      <c r="C48" s="771"/>
      <c r="D48" s="771"/>
      <c r="K48" s="183"/>
      <c r="L48" s="183"/>
      <c r="M48" s="176"/>
      <c r="N48" s="176"/>
      <c r="O48" s="176"/>
      <c r="Q48" s="1182"/>
    </row>
    <row r="49" spans="1:19" ht="15" customHeight="1" x14ac:dyDescent="0.35">
      <c r="B49" s="771"/>
      <c r="C49" s="771"/>
      <c r="D49" s="774" t="s">
        <v>63</v>
      </c>
    </row>
    <row r="50" spans="1:19" ht="15" customHeight="1" x14ac:dyDescent="0.35">
      <c r="A50" s="1442" t="s">
        <v>1048</v>
      </c>
      <c r="B50" s="1443"/>
      <c r="C50" s="1443"/>
      <c r="D50" s="1444"/>
      <c r="S50" s="1182"/>
    </row>
    <row r="51" spans="1:19" x14ac:dyDescent="0.35">
      <c r="A51" s="2" t="s">
        <v>7</v>
      </c>
      <c r="B51" s="270" t="s">
        <v>8</v>
      </c>
      <c r="C51" s="217" t="s">
        <v>4</v>
      </c>
      <c r="D51" s="597" t="s">
        <v>9</v>
      </c>
    </row>
    <row r="52" spans="1:19" x14ac:dyDescent="0.35">
      <c r="A52" s="772" t="s">
        <v>253</v>
      </c>
      <c r="B52" s="258">
        <v>158</v>
      </c>
      <c r="C52" s="227">
        <v>3400</v>
      </c>
      <c r="D52" s="598">
        <f>+B52*C52</f>
        <v>537200</v>
      </c>
      <c r="E52" s="564"/>
    </row>
    <row r="53" spans="1:19" x14ac:dyDescent="0.35">
      <c r="A53" s="772" t="s">
        <v>444</v>
      </c>
      <c r="B53" s="258">
        <v>24</v>
      </c>
      <c r="C53" s="227">
        <f>+C52</f>
        <v>3400</v>
      </c>
      <c r="D53" s="598">
        <f>+B53*C53</f>
        <v>81600</v>
      </c>
      <c r="E53" s="564"/>
    </row>
    <row r="54" spans="1:19" x14ac:dyDescent="0.35">
      <c r="A54" s="772" t="s">
        <v>266</v>
      </c>
      <c r="B54" s="258"/>
      <c r="C54" s="227">
        <v>50000</v>
      </c>
      <c r="D54" s="598">
        <f>+C54</f>
        <v>50000</v>
      </c>
      <c r="E54" s="564"/>
    </row>
    <row r="55" spans="1:19" x14ac:dyDescent="0.35">
      <c r="A55" s="772" t="s">
        <v>6</v>
      </c>
      <c r="B55" s="258"/>
      <c r="C55" s="227">
        <v>100000</v>
      </c>
      <c r="D55" s="598">
        <f>+C55</f>
        <v>100000</v>
      </c>
      <c r="E55" s="564"/>
    </row>
    <row r="56" spans="1:19" x14ac:dyDescent="0.35">
      <c r="A56" s="772" t="s">
        <v>1030</v>
      </c>
      <c r="B56" s="258">
        <v>4.5</v>
      </c>
      <c r="C56" s="194">
        <f>+C52*1.5</f>
        <v>5100</v>
      </c>
      <c r="D56" s="598">
        <f>+B56*C56</f>
        <v>22950</v>
      </c>
      <c r="E56" s="564"/>
    </row>
    <row r="57" spans="1:19" x14ac:dyDescent="0.35">
      <c r="A57" s="772" t="s">
        <v>449</v>
      </c>
      <c r="B57" s="258"/>
      <c r="C57" s="194">
        <f>+C52*2</f>
        <v>6800</v>
      </c>
      <c r="D57" s="598">
        <f>+B57*C57</f>
        <v>0</v>
      </c>
    </row>
    <row r="58" spans="1:19" x14ac:dyDescent="0.35">
      <c r="A58" s="1463" t="s">
        <v>99</v>
      </c>
      <c r="B58" s="1464"/>
      <c r="C58" s="1465"/>
      <c r="D58" s="599">
        <f>+D52+D53+D54+D55+D56+D57</f>
        <v>791750</v>
      </c>
      <c r="E58" s="553"/>
      <c r="F58" s="774"/>
    </row>
    <row r="59" spans="1:19" x14ac:dyDescent="0.35">
      <c r="A59" s="1187" t="s">
        <v>823</v>
      </c>
      <c r="B59" s="1184"/>
      <c r="C59" s="1184"/>
      <c r="D59" s="599">
        <v>150000</v>
      </c>
      <c r="E59" s="553"/>
    </row>
    <row r="60" spans="1:19" x14ac:dyDescent="0.35">
      <c r="A60" s="921"/>
      <c r="B60" s="922"/>
      <c r="C60" s="720"/>
      <c r="D60" s="722"/>
      <c r="E60" s="553"/>
    </row>
    <row r="61" spans="1:19" x14ac:dyDescent="0.35">
      <c r="A61" s="672"/>
      <c r="B61" s="673" t="s">
        <v>11</v>
      </c>
      <c r="C61" s="674"/>
      <c r="D61" s="675">
        <f>+D58+D59+D60</f>
        <v>941750</v>
      </c>
      <c r="E61" s="553"/>
    </row>
    <row r="62" spans="1:19" x14ac:dyDescent="0.35">
      <c r="B62" s="771"/>
      <c r="C62" s="771"/>
      <c r="D62" s="771"/>
    </row>
    <row r="64" spans="1:19" ht="14.5" customHeight="1" x14ac:dyDescent="0.35">
      <c r="A64" s="1442" t="s">
        <v>1049</v>
      </c>
      <c r="B64" s="1443"/>
      <c r="C64" s="1443"/>
      <c r="D64" s="1444"/>
    </row>
    <row r="65" spans="1:6" ht="14.5" customHeight="1" x14ac:dyDescent="0.35">
      <c r="A65" s="2" t="s">
        <v>7</v>
      </c>
      <c r="B65" s="270" t="s">
        <v>8</v>
      </c>
      <c r="C65" s="217" t="s">
        <v>4</v>
      </c>
      <c r="D65" s="597" t="s">
        <v>63</v>
      </c>
    </row>
    <row r="66" spans="1:6" ht="14.5" customHeight="1" x14ac:dyDescent="0.35">
      <c r="A66" s="772" t="s">
        <v>3</v>
      </c>
      <c r="B66" s="258">
        <v>158</v>
      </c>
      <c r="C66" s="227">
        <v>3147</v>
      </c>
      <c r="D66" s="598">
        <f>+B66*C66</f>
        <v>497226</v>
      </c>
      <c r="E66" s="564" t="s">
        <v>1064</v>
      </c>
    </row>
    <row r="67" spans="1:6" ht="14.5" customHeight="1" x14ac:dyDescent="0.35">
      <c r="A67" s="772" t="s">
        <v>444</v>
      </c>
      <c r="B67" s="258">
        <v>24</v>
      </c>
      <c r="C67" s="227">
        <f>+C66</f>
        <v>3147</v>
      </c>
      <c r="D67" s="598">
        <f>+B67*C67</f>
        <v>75528</v>
      </c>
      <c r="E67" s="564"/>
    </row>
    <row r="68" spans="1:6" x14ac:dyDescent="0.35">
      <c r="A68" s="772" t="s">
        <v>266</v>
      </c>
      <c r="B68" s="258">
        <v>0</v>
      </c>
      <c r="C68" s="227">
        <v>50000</v>
      </c>
      <c r="D68" s="598">
        <f>+C68</f>
        <v>50000</v>
      </c>
    </row>
    <row r="69" spans="1:6" x14ac:dyDescent="0.35">
      <c r="A69" s="772" t="s">
        <v>6</v>
      </c>
      <c r="B69" s="258"/>
      <c r="C69" s="227">
        <v>100000</v>
      </c>
      <c r="D69" s="598">
        <v>100000</v>
      </c>
      <c r="E69" s="564" t="s">
        <v>710</v>
      </c>
    </row>
    <row r="70" spans="1:6" s="1069" customFormat="1" x14ac:dyDescent="0.35">
      <c r="A70" s="614" t="s">
        <v>270</v>
      </c>
      <c r="B70" s="617">
        <v>13</v>
      </c>
      <c r="C70" s="227">
        <f>+C66*1.5</f>
        <v>4720.5</v>
      </c>
      <c r="D70" s="598">
        <f>+B70*C70</f>
        <v>61366.5</v>
      </c>
      <c r="E70" s="564"/>
    </row>
    <row r="71" spans="1:6" x14ac:dyDescent="0.35">
      <c r="A71" s="772" t="s">
        <v>281</v>
      </c>
      <c r="B71" s="258">
        <v>0.5</v>
      </c>
      <c r="C71" s="227">
        <f>+C66*2</f>
        <v>6294</v>
      </c>
      <c r="D71" s="598">
        <f>+B71*C71</f>
        <v>3147</v>
      </c>
    </row>
    <row r="72" spans="1:6" x14ac:dyDescent="0.35">
      <c r="A72" s="889"/>
      <c r="B72" s="890"/>
      <c r="C72" s="814"/>
      <c r="D72" s="598">
        <f>+C72</f>
        <v>0</v>
      </c>
    </row>
    <row r="73" spans="1:6" x14ac:dyDescent="0.35">
      <c r="A73" s="1463" t="s">
        <v>389</v>
      </c>
      <c r="B73" s="1464"/>
      <c r="C73" s="1465"/>
      <c r="D73" s="599">
        <f>+D66+D67+D68+D69+D70+D71+D72</f>
        <v>787267.5</v>
      </c>
      <c r="E73" s="553"/>
      <c r="F73" s="774"/>
    </row>
    <row r="74" spans="1:6" x14ac:dyDescent="0.35">
      <c r="A74" s="1188" t="s">
        <v>1040</v>
      </c>
      <c r="B74" s="1185"/>
      <c r="C74" s="1186"/>
      <c r="D74" s="599">
        <v>130000</v>
      </c>
      <c r="E74" s="553"/>
      <c r="F74" s="774"/>
    </row>
    <row r="75" spans="1:6" x14ac:dyDescent="0.35">
      <c r="A75" s="723" t="s">
        <v>1050</v>
      </c>
      <c r="B75" s="721"/>
      <c r="C75" s="721"/>
      <c r="D75" s="722">
        <v>-150000</v>
      </c>
      <c r="E75" s="553"/>
    </row>
    <row r="76" spans="1:6" x14ac:dyDescent="0.35">
      <c r="A76" s="723" t="s">
        <v>19</v>
      </c>
      <c r="B76" s="721"/>
      <c r="C76" s="721"/>
      <c r="D76" s="722">
        <v>-150000</v>
      </c>
      <c r="E76" s="553"/>
    </row>
    <row r="77" spans="1:6" ht="15.5" x14ac:dyDescent="0.35">
      <c r="A77" s="1460" t="s">
        <v>11</v>
      </c>
      <c r="B77" s="1461"/>
      <c r="C77" s="1462"/>
      <c r="D77" s="603">
        <f>+D73+D74+D75+D76</f>
        <v>617267.5</v>
      </c>
      <c r="E77" s="553"/>
    </row>
    <row r="78" spans="1:6" s="90" customFormat="1" x14ac:dyDescent="0.35">
      <c r="A78" s="1035"/>
      <c r="B78" s="1042"/>
      <c r="C78" s="553"/>
      <c r="D78" s="1051"/>
      <c r="E78" s="1042"/>
    </row>
    <row r="80" spans="1:6" ht="23.5" x14ac:dyDescent="0.35">
      <c r="A80" s="1442" t="s">
        <v>1051</v>
      </c>
      <c r="B80" s="1443"/>
      <c r="C80" s="1443"/>
      <c r="D80" s="1444"/>
    </row>
    <row r="81" spans="1:6" x14ac:dyDescent="0.35">
      <c r="A81" s="2" t="s">
        <v>7</v>
      </c>
      <c r="B81" s="270" t="s">
        <v>388</v>
      </c>
      <c r="C81" s="217" t="s">
        <v>272</v>
      </c>
      <c r="D81" s="597" t="s">
        <v>9</v>
      </c>
    </row>
    <row r="82" spans="1:6" x14ac:dyDescent="0.35">
      <c r="A82" s="772" t="s">
        <v>3</v>
      </c>
      <c r="B82" s="258">
        <v>158</v>
      </c>
      <c r="C82" s="227">
        <v>3127</v>
      </c>
      <c r="D82" s="598">
        <f>+B82*C82</f>
        <v>494066</v>
      </c>
      <c r="E82" s="564" t="s">
        <v>1066</v>
      </c>
    </row>
    <row r="83" spans="1:6" x14ac:dyDescent="0.35">
      <c r="A83" s="772" t="s">
        <v>452</v>
      </c>
      <c r="B83" s="258">
        <v>24</v>
      </c>
      <c r="C83" s="227">
        <f>+C82</f>
        <v>3127</v>
      </c>
      <c r="D83" s="598">
        <f>+B83*C83</f>
        <v>75048</v>
      </c>
      <c r="E83" s="564"/>
    </row>
    <row r="84" spans="1:6" x14ac:dyDescent="0.35">
      <c r="A84" s="772" t="s">
        <v>6</v>
      </c>
      <c r="B84" s="258"/>
      <c r="C84" s="227">
        <v>80000</v>
      </c>
      <c r="D84" s="598">
        <f>+C84</f>
        <v>80000</v>
      </c>
      <c r="E84" s="564"/>
    </row>
    <row r="85" spans="1:6" x14ac:dyDescent="0.35">
      <c r="A85" s="772" t="s">
        <v>200</v>
      </c>
      <c r="B85" s="258"/>
      <c r="C85" s="227">
        <v>50000</v>
      </c>
      <c r="D85" s="598">
        <f>+C85</f>
        <v>50000</v>
      </c>
      <c r="E85" s="564" t="s">
        <v>710</v>
      </c>
    </row>
    <row r="86" spans="1:6" x14ac:dyDescent="0.35">
      <c r="A86" s="772" t="s">
        <v>1032</v>
      </c>
      <c r="B86" s="258">
        <v>4.5</v>
      </c>
      <c r="C86" s="227">
        <f>+C82*1.5</f>
        <v>4690.5</v>
      </c>
      <c r="D86" s="811">
        <f>+B86*C86</f>
        <v>21107.25</v>
      </c>
      <c r="E86" s="564"/>
    </row>
    <row r="87" spans="1:6" x14ac:dyDescent="0.35">
      <c r="A87" s="772" t="s">
        <v>757</v>
      </c>
      <c r="B87" s="258"/>
      <c r="C87" s="227">
        <f>+C82*2</f>
        <v>6254</v>
      </c>
      <c r="D87" s="598">
        <f>+B87*C87</f>
        <v>0</v>
      </c>
    </row>
    <row r="88" spans="1:6" x14ac:dyDescent="0.35">
      <c r="A88" s="772" t="s">
        <v>1059</v>
      </c>
      <c r="B88" s="258">
        <f>7*8</f>
        <v>56</v>
      </c>
      <c r="C88" s="227">
        <f>+C82</f>
        <v>3127</v>
      </c>
      <c r="D88" s="598">
        <f>+B88*C88</f>
        <v>175112</v>
      </c>
    </row>
    <row r="89" spans="1:6" x14ac:dyDescent="0.35">
      <c r="A89" s="772" t="s">
        <v>1060</v>
      </c>
      <c r="B89" s="258"/>
      <c r="C89" s="227">
        <f>+D82+D83+D84+D85+D86+D88+D87</f>
        <v>895333.25</v>
      </c>
      <c r="D89" s="598">
        <f>+C89/2</f>
        <v>447666.625</v>
      </c>
    </row>
    <row r="90" spans="1:6" s="90" customFormat="1" x14ac:dyDescent="0.35">
      <c r="A90" s="141"/>
      <c r="B90" s="274"/>
      <c r="C90" s="195"/>
      <c r="D90" s="1017"/>
      <c r="E90" s="1042"/>
    </row>
    <row r="91" spans="1:6" x14ac:dyDescent="0.35">
      <c r="A91" s="1036" t="s">
        <v>389</v>
      </c>
      <c r="B91" s="681"/>
      <c r="C91" s="1037"/>
      <c r="D91" s="1038">
        <f>+D82+D83+D84+D85+D86+D87+D88+D89+D90</f>
        <v>1342999.875</v>
      </c>
      <c r="E91" s="553"/>
    </row>
    <row r="92" spans="1:6" x14ac:dyDescent="0.35">
      <c r="A92" s="1036" t="s">
        <v>1033</v>
      </c>
      <c r="B92" s="681"/>
      <c r="C92" s="1037"/>
      <c r="D92" s="675">
        <v>300000</v>
      </c>
      <c r="F92" s="774"/>
    </row>
    <row r="93" spans="1:6" x14ac:dyDescent="0.35">
      <c r="A93" s="772" t="s">
        <v>19</v>
      </c>
      <c r="B93" s="258"/>
      <c r="C93" s="227"/>
      <c r="D93" s="731">
        <v>-800000</v>
      </c>
      <c r="F93" s="774"/>
    </row>
    <row r="94" spans="1:6" x14ac:dyDescent="0.35">
      <c r="A94" s="889"/>
      <c r="B94" s="890"/>
      <c r="C94" s="814"/>
      <c r="D94" s="731"/>
    </row>
    <row r="95" spans="1:6" ht="15.5" x14ac:dyDescent="0.35">
      <c r="A95" s="1460" t="s">
        <v>11</v>
      </c>
      <c r="B95" s="1461"/>
      <c r="C95" s="1462"/>
      <c r="D95" s="603">
        <f>+D91+D92+D93+D94</f>
        <v>842999.875</v>
      </c>
      <c r="E95" s="553" t="s">
        <v>63</v>
      </c>
    </row>
    <row r="96" spans="1:6" ht="15.5" x14ac:dyDescent="0.35">
      <c r="A96" s="723" t="s">
        <v>631</v>
      </c>
      <c r="B96" s="723"/>
      <c r="C96" s="723"/>
      <c r="D96" s="832">
        <v>-160000</v>
      </c>
      <c r="E96" s="553"/>
    </row>
    <row r="97" spans="1:5" ht="15.5" x14ac:dyDescent="0.35">
      <c r="A97" s="611" t="s">
        <v>1010</v>
      </c>
      <c r="B97" s="611"/>
      <c r="C97" s="611"/>
      <c r="D97" s="603">
        <f>+D95+D96</f>
        <v>682999.875</v>
      </c>
      <c r="E97" s="553"/>
    </row>
    <row r="98" spans="1:5" s="90" customFormat="1" x14ac:dyDescent="0.35">
      <c r="B98" s="1042"/>
      <c r="C98" s="553"/>
      <c r="D98" s="1051" t="s">
        <v>63</v>
      </c>
      <c r="E98" s="1042"/>
    </row>
    <row r="100" spans="1:5" ht="23.5" x14ac:dyDescent="0.35">
      <c r="A100" s="1431" t="s">
        <v>1052</v>
      </c>
      <c r="B100" s="1431"/>
      <c r="C100" s="1431"/>
      <c r="D100" s="1431"/>
    </row>
    <row r="101" spans="1:5" x14ac:dyDescent="0.35">
      <c r="A101" s="2" t="s">
        <v>7</v>
      </c>
      <c r="B101" s="270" t="s">
        <v>8</v>
      </c>
      <c r="C101" s="217" t="s">
        <v>4</v>
      </c>
      <c r="D101" s="597" t="s">
        <v>9</v>
      </c>
    </row>
    <row r="102" spans="1:5" x14ac:dyDescent="0.35">
      <c r="A102" s="772" t="s">
        <v>3</v>
      </c>
      <c r="B102" s="258">
        <v>158</v>
      </c>
      <c r="C102" s="227">
        <v>3147</v>
      </c>
      <c r="D102" s="598">
        <f>+B102*C102</f>
        <v>497226</v>
      </c>
      <c r="E102" s="564" t="s">
        <v>1064</v>
      </c>
    </row>
    <row r="103" spans="1:5" x14ac:dyDescent="0.35">
      <c r="A103" s="772" t="s">
        <v>452</v>
      </c>
      <c r="B103" s="258">
        <v>24</v>
      </c>
      <c r="C103" s="227">
        <f>+C102</f>
        <v>3147</v>
      </c>
      <c r="D103" s="598">
        <f>+B103*C103</f>
        <v>75528</v>
      </c>
      <c r="E103" s="564"/>
    </row>
    <row r="104" spans="1:5" x14ac:dyDescent="0.35">
      <c r="A104" s="772" t="s">
        <v>200</v>
      </c>
      <c r="B104" s="258"/>
      <c r="C104" s="227">
        <v>50000</v>
      </c>
      <c r="D104" s="598">
        <f>+C104</f>
        <v>50000</v>
      </c>
      <c r="E104" s="564" t="s">
        <v>710</v>
      </c>
    </row>
    <row r="105" spans="1:5" x14ac:dyDescent="0.35">
      <c r="A105" s="772" t="s">
        <v>6</v>
      </c>
      <c r="B105" s="258"/>
      <c r="C105" s="194">
        <v>100000</v>
      </c>
      <c r="D105" s="598">
        <f>+C105</f>
        <v>100000</v>
      </c>
      <c r="E105" s="564" t="s">
        <v>710</v>
      </c>
    </row>
    <row r="106" spans="1:5" x14ac:dyDescent="0.35">
      <c r="A106" s="772" t="s">
        <v>1032</v>
      </c>
      <c r="B106" s="258">
        <v>6</v>
      </c>
      <c r="C106" s="194">
        <f>+C102*1.5</f>
        <v>4720.5</v>
      </c>
      <c r="D106" s="598">
        <f>+B106*C106</f>
        <v>28323</v>
      </c>
      <c r="E106" s="564"/>
    </row>
    <row r="107" spans="1:5" x14ac:dyDescent="0.35">
      <c r="A107" s="772" t="s">
        <v>281</v>
      </c>
      <c r="B107" s="258"/>
      <c r="C107" s="194">
        <f>+C102*2</f>
        <v>6294</v>
      </c>
      <c r="D107" s="598">
        <f>+B107*C107</f>
        <v>0</v>
      </c>
    </row>
    <row r="108" spans="1:5" s="90" customFormat="1" x14ac:dyDescent="0.35">
      <c r="A108" s="141"/>
      <c r="B108" s="274"/>
      <c r="C108" s="195"/>
      <c r="D108" s="1017">
        <f>+C108</f>
        <v>0</v>
      </c>
      <c r="E108" s="1042"/>
    </row>
    <row r="109" spans="1:5" x14ac:dyDescent="0.35">
      <c r="A109" s="1463" t="s">
        <v>389</v>
      </c>
      <c r="B109" s="1464"/>
      <c r="C109" s="1465"/>
      <c r="D109" s="599">
        <f>+D102+D103+D104+D105+D106+D107+D108</f>
        <v>751077</v>
      </c>
      <c r="E109" s="553"/>
    </row>
    <row r="110" spans="1:5" x14ac:dyDescent="0.35">
      <c r="A110" s="1188" t="s">
        <v>1003</v>
      </c>
      <c r="B110" s="1185"/>
      <c r="C110" s="1186"/>
      <c r="D110" s="599">
        <v>130000</v>
      </c>
      <c r="E110" s="553"/>
    </row>
    <row r="111" spans="1:5" x14ac:dyDescent="0.35">
      <c r="A111" s="724" t="s">
        <v>1053</v>
      </c>
      <c r="B111" s="729" t="s">
        <v>63</v>
      </c>
      <c r="C111" s="730" t="s">
        <v>63</v>
      </c>
      <c r="D111" s="731">
        <v>-150000</v>
      </c>
      <c r="E111" s="553"/>
    </row>
    <row r="112" spans="1:5" x14ac:dyDescent="0.35">
      <c r="A112" s="724" t="s">
        <v>374</v>
      </c>
      <c r="B112" s="729"/>
      <c r="C112" s="730"/>
      <c r="D112" s="731">
        <v>-50000</v>
      </c>
      <c r="E112" s="553"/>
    </row>
    <row r="113" spans="1:5" s="997" customFormat="1" ht="15.5" x14ac:dyDescent="0.35">
      <c r="A113" s="992" t="s">
        <v>11</v>
      </c>
      <c r="B113" s="1181"/>
      <c r="C113" s="994"/>
      <c r="D113" s="995">
        <f>+D109+D110+D111+D112</f>
        <v>681077</v>
      </c>
      <c r="E113" s="1046"/>
    </row>
    <row r="114" spans="1:5" s="90" customFormat="1" x14ac:dyDescent="0.35">
      <c r="B114" s="1042"/>
      <c r="C114" s="553"/>
      <c r="D114" s="1051"/>
      <c r="E114" s="1042"/>
    </row>
    <row r="116" spans="1:5" ht="23.5" x14ac:dyDescent="0.35">
      <c r="A116" s="1442" t="s">
        <v>1054</v>
      </c>
      <c r="B116" s="1443"/>
      <c r="C116" s="1443"/>
      <c r="D116" s="1444"/>
    </row>
    <row r="117" spans="1:5" x14ac:dyDescent="0.35">
      <c r="A117" s="2" t="s">
        <v>7</v>
      </c>
      <c r="B117" s="270" t="s">
        <v>388</v>
      </c>
      <c r="C117" s="217" t="s">
        <v>629</v>
      </c>
      <c r="D117" s="597" t="s">
        <v>9</v>
      </c>
    </row>
    <row r="118" spans="1:5" x14ac:dyDescent="0.35">
      <c r="A118" s="772" t="s">
        <v>3</v>
      </c>
      <c r="B118" s="258">
        <v>158</v>
      </c>
      <c r="C118" s="194">
        <v>4230</v>
      </c>
      <c r="D118" s="598">
        <f>+B118*C118</f>
        <v>668340</v>
      </c>
      <c r="E118" s="1042" t="s">
        <v>1064</v>
      </c>
    </row>
    <row r="119" spans="1:5" x14ac:dyDescent="0.35">
      <c r="A119" s="772" t="s">
        <v>444</v>
      </c>
      <c r="B119" s="258">
        <v>24</v>
      </c>
      <c r="C119" s="194">
        <f>+C118</f>
        <v>4230</v>
      </c>
      <c r="D119" s="609">
        <f>+B119*C119</f>
        <v>101520</v>
      </c>
    </row>
    <row r="120" spans="1:5" x14ac:dyDescent="0.35">
      <c r="A120" s="772" t="s">
        <v>556</v>
      </c>
      <c r="B120" s="258"/>
      <c r="C120" s="194">
        <v>50000</v>
      </c>
      <c r="D120" s="609">
        <f>+C120</f>
        <v>50000</v>
      </c>
    </row>
    <row r="121" spans="1:5" x14ac:dyDescent="0.35">
      <c r="A121" s="772" t="s">
        <v>6</v>
      </c>
      <c r="B121" s="258"/>
      <c r="C121" s="194">
        <v>60000</v>
      </c>
      <c r="D121" s="609">
        <f>+C121</f>
        <v>60000</v>
      </c>
    </row>
    <row r="122" spans="1:5" x14ac:dyDescent="0.35">
      <c r="A122" s="614" t="s">
        <v>628</v>
      </c>
      <c r="B122" s="617">
        <v>8</v>
      </c>
      <c r="C122" s="227">
        <f>+C118*1.5</f>
        <v>6345</v>
      </c>
      <c r="D122" s="609">
        <f>+B122*C122</f>
        <v>50760</v>
      </c>
    </row>
    <row r="123" spans="1:5" x14ac:dyDescent="0.35">
      <c r="A123" s="614" t="s">
        <v>823</v>
      </c>
      <c r="B123" s="617"/>
      <c r="C123" s="227"/>
      <c r="D123" s="609">
        <v>120000</v>
      </c>
    </row>
    <row r="124" spans="1:5" x14ac:dyDescent="0.35">
      <c r="A124" s="614"/>
      <c r="B124" s="617"/>
      <c r="C124" s="227"/>
      <c r="D124" s="609"/>
    </row>
    <row r="125" spans="1:5" s="90" customFormat="1" x14ac:dyDescent="0.35">
      <c r="A125" s="1071" t="s">
        <v>389</v>
      </c>
      <c r="B125" s="1074"/>
      <c r="C125" s="1172"/>
      <c r="D125" s="1173">
        <f>+D118+D119+D120+D121+D122+D123+D124</f>
        <v>1050620</v>
      </c>
      <c r="E125" s="1042"/>
    </row>
    <row r="126" spans="1:5" x14ac:dyDescent="0.35">
      <c r="A126" s="614" t="s">
        <v>1055</v>
      </c>
      <c r="B126" s="617"/>
      <c r="C126" s="227"/>
      <c r="D126" s="609">
        <v>47750</v>
      </c>
    </row>
    <row r="127" spans="1:5" x14ac:dyDescent="0.35">
      <c r="A127" s="614" t="s">
        <v>1056</v>
      </c>
      <c r="B127" s="617"/>
      <c r="C127" s="227"/>
      <c r="D127" s="609">
        <v>32300</v>
      </c>
    </row>
    <row r="128" spans="1:5" ht="15.5" x14ac:dyDescent="0.35">
      <c r="A128" s="1059" t="s">
        <v>11</v>
      </c>
      <c r="B128" s="1060"/>
      <c r="C128" s="1061"/>
      <c r="D128" s="1167">
        <f>+D125+D126+D127</f>
        <v>1130670</v>
      </c>
    </row>
    <row r="131" spans="1:5" ht="23.5" x14ac:dyDescent="0.35">
      <c r="A131" s="1442" t="s">
        <v>1057</v>
      </c>
      <c r="B131" s="1443"/>
      <c r="C131" s="1443"/>
      <c r="D131" s="1444"/>
    </row>
    <row r="132" spans="1:5" x14ac:dyDescent="0.35">
      <c r="A132" s="2" t="s">
        <v>7</v>
      </c>
      <c r="B132" s="270" t="s">
        <v>8</v>
      </c>
      <c r="C132" s="217" t="s">
        <v>4</v>
      </c>
      <c r="D132" s="597" t="s">
        <v>9</v>
      </c>
    </row>
    <row r="133" spans="1:5" x14ac:dyDescent="0.35">
      <c r="A133" s="772" t="s">
        <v>3</v>
      </c>
      <c r="B133" s="258">
        <v>94.5</v>
      </c>
      <c r="C133" s="194">
        <v>4230</v>
      </c>
      <c r="D133" s="598">
        <f>+B133*C133</f>
        <v>399735</v>
      </c>
      <c r="E133" s="553" t="s">
        <v>1064</v>
      </c>
    </row>
    <row r="134" spans="1:5" x14ac:dyDescent="0.35">
      <c r="A134" s="772" t="s">
        <v>444</v>
      </c>
      <c r="B134" s="258">
        <v>21</v>
      </c>
      <c r="C134" s="194">
        <f>+C133</f>
        <v>4230</v>
      </c>
      <c r="D134" s="609">
        <f>+B134*C134</f>
        <v>88830</v>
      </c>
    </row>
    <row r="135" spans="1:5" x14ac:dyDescent="0.35">
      <c r="A135" s="772" t="s">
        <v>347</v>
      </c>
      <c r="B135" s="258">
        <f>7*7</f>
        <v>49</v>
      </c>
      <c r="C135" s="194">
        <f>+C133</f>
        <v>4230</v>
      </c>
      <c r="D135" s="609">
        <f>+B135*C135</f>
        <v>207270</v>
      </c>
    </row>
    <row r="136" spans="1:5" x14ac:dyDescent="0.35">
      <c r="A136" s="772" t="s">
        <v>6</v>
      </c>
      <c r="B136" s="258"/>
      <c r="C136" s="194">
        <v>60000</v>
      </c>
      <c r="D136" s="609">
        <f>+C136</f>
        <v>60000</v>
      </c>
    </row>
    <row r="137" spans="1:5" x14ac:dyDescent="0.35">
      <c r="A137" s="614" t="s">
        <v>556</v>
      </c>
      <c r="B137" s="617"/>
      <c r="C137" s="227">
        <v>50000</v>
      </c>
      <c r="D137" s="609">
        <f>+C137</f>
        <v>50000</v>
      </c>
    </row>
    <row r="138" spans="1:5" x14ac:dyDescent="0.35">
      <c r="A138" s="614" t="s">
        <v>1035</v>
      </c>
      <c r="B138" s="617">
        <v>7</v>
      </c>
      <c r="C138" s="227">
        <f>+C133*1.5</f>
        <v>6345</v>
      </c>
      <c r="D138" s="609">
        <f>+B138*C138</f>
        <v>44415</v>
      </c>
    </row>
    <row r="139" spans="1:5" x14ac:dyDescent="0.35">
      <c r="A139" s="614" t="s">
        <v>823</v>
      </c>
      <c r="B139" s="617"/>
      <c r="C139" s="227">
        <v>120000</v>
      </c>
      <c r="D139" s="609">
        <f>+C139</f>
        <v>120000</v>
      </c>
      <c r="E139" s="553"/>
    </row>
    <row r="140" spans="1:5" x14ac:dyDescent="0.35">
      <c r="A140" s="614"/>
      <c r="B140" s="617"/>
      <c r="C140" s="227"/>
      <c r="D140" s="609"/>
    </row>
    <row r="141" spans="1:5" x14ac:dyDescent="0.35">
      <c r="A141" s="882" t="s">
        <v>389</v>
      </c>
      <c r="B141" s="883"/>
      <c r="C141" s="884"/>
      <c r="D141" s="1058">
        <f>+D133+D134+D135+D136+D137+D138+D139+D140</f>
        <v>970250</v>
      </c>
    </row>
    <row r="142" spans="1:5" x14ac:dyDescent="0.35">
      <c r="A142" s="724" t="s">
        <v>1065</v>
      </c>
      <c r="B142" s="729"/>
      <c r="C142" s="729"/>
      <c r="D142" s="731">
        <v>-150000</v>
      </c>
    </row>
    <row r="143" spans="1:5" x14ac:dyDescent="0.35">
      <c r="A143" s="1071" t="s">
        <v>11</v>
      </c>
      <c r="B143" s="1074"/>
      <c r="C143" s="1074"/>
      <c r="D143" s="1075">
        <f>+D141+D142</f>
        <v>820250</v>
      </c>
    </row>
    <row r="147" spans="1:19" s="1042" customFormat="1" ht="23.5" x14ac:dyDescent="0.35">
      <c r="A147" s="1442" t="s">
        <v>1058</v>
      </c>
      <c r="B147" s="1443"/>
      <c r="C147" s="1443"/>
      <c r="D147" s="1444"/>
      <c r="F147" s="771"/>
      <c r="G147" s="771"/>
      <c r="H147" s="771"/>
      <c r="I147" s="771"/>
      <c r="J147" s="771"/>
      <c r="K147" s="771"/>
      <c r="L147" s="771"/>
      <c r="M147" s="771"/>
      <c r="N147" s="771"/>
      <c r="O147" s="771"/>
      <c r="P147" s="771"/>
      <c r="Q147" s="771"/>
      <c r="R147" s="771"/>
      <c r="S147" s="771"/>
    </row>
    <row r="148" spans="1:19" s="1042" customFormat="1" x14ac:dyDescent="0.35">
      <c r="A148" s="2" t="s">
        <v>7</v>
      </c>
      <c r="B148" s="270" t="s">
        <v>388</v>
      </c>
      <c r="C148" s="217" t="s">
        <v>1037</v>
      </c>
      <c r="D148" s="597" t="s">
        <v>9</v>
      </c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</row>
    <row r="149" spans="1:19" s="1042" customFormat="1" x14ac:dyDescent="0.35">
      <c r="A149" s="772" t="s">
        <v>3</v>
      </c>
      <c r="B149" s="258">
        <v>158</v>
      </c>
      <c r="C149" s="194">
        <v>3400</v>
      </c>
      <c r="D149" s="598">
        <f>+B149*C149</f>
        <v>537200</v>
      </c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042" customFormat="1" x14ac:dyDescent="0.35">
      <c r="A150" s="772" t="s">
        <v>444</v>
      </c>
      <c r="B150" s="258">
        <v>24</v>
      </c>
      <c r="C150" s="194">
        <f>+C149</f>
        <v>3400</v>
      </c>
      <c r="D150" s="609">
        <f>+B150*C150</f>
        <v>81600</v>
      </c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772" t="s">
        <v>200</v>
      </c>
      <c r="B151" s="258"/>
      <c r="C151" s="194">
        <v>50000</v>
      </c>
      <c r="D151" s="609">
        <f>+C151</f>
        <v>50000</v>
      </c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614" t="s">
        <v>6</v>
      </c>
      <c r="B152" s="617"/>
      <c r="C152" s="227">
        <v>100000</v>
      </c>
      <c r="D152" s="609">
        <f>+C152</f>
        <v>100000</v>
      </c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614" t="s">
        <v>1035</v>
      </c>
      <c r="B153" s="617">
        <v>4.5</v>
      </c>
      <c r="C153" s="227">
        <f>+C149*1.5</f>
        <v>5100</v>
      </c>
      <c r="D153" s="609">
        <f>+B153*C153</f>
        <v>22950</v>
      </c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614" t="s">
        <v>1036</v>
      </c>
      <c r="B154" s="617"/>
      <c r="C154" s="227"/>
      <c r="D154" s="609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882" t="s">
        <v>389</v>
      </c>
      <c r="B155" s="883"/>
      <c r="C155" s="884"/>
      <c r="D155" s="1058">
        <f>+D149+D150+D151+D152+D153+D154</f>
        <v>791750</v>
      </c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882" t="s">
        <v>823</v>
      </c>
      <c r="B156" s="883"/>
      <c r="C156" s="884"/>
      <c r="D156" s="1058">
        <v>80000</v>
      </c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724"/>
      <c r="B157" s="729"/>
      <c r="C157" s="729"/>
      <c r="D157" s="731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042" customFormat="1" x14ac:dyDescent="0.35">
      <c r="A158" s="1071" t="s">
        <v>11</v>
      </c>
      <c r="B158" s="1074"/>
      <c r="C158" s="1074"/>
      <c r="D158" s="1075">
        <f>+D155+D156+D157</f>
        <v>871750</v>
      </c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62" spans="1:5" ht="23.5" x14ac:dyDescent="0.35">
      <c r="A162" s="1442" t="s">
        <v>1062</v>
      </c>
      <c r="B162" s="1443"/>
      <c r="C162" s="1443"/>
      <c r="D162" s="1444"/>
      <c r="E162" s="1042" t="s">
        <v>1063</v>
      </c>
    </row>
    <row r="163" spans="1:5" x14ac:dyDescent="0.35">
      <c r="A163" s="2" t="s">
        <v>7</v>
      </c>
      <c r="B163" s="270" t="s">
        <v>425</v>
      </c>
      <c r="C163" s="217" t="s">
        <v>272</v>
      </c>
      <c r="D163" s="597" t="s">
        <v>9</v>
      </c>
    </row>
    <row r="164" spans="1:5" x14ac:dyDescent="0.35">
      <c r="A164" s="772" t="s">
        <v>3</v>
      </c>
      <c r="B164" s="258">
        <v>70</v>
      </c>
      <c r="C164" s="194">
        <v>2622.13</v>
      </c>
      <c r="D164" s="598">
        <f>+B164*C164</f>
        <v>183549.1</v>
      </c>
    </row>
    <row r="165" spans="1:5" x14ac:dyDescent="0.35">
      <c r="A165" s="772" t="s">
        <v>394</v>
      </c>
      <c r="B165" s="258">
        <v>8</v>
      </c>
      <c r="C165" s="194">
        <f>+C164</f>
        <v>2622.13</v>
      </c>
      <c r="D165" s="609">
        <f>+B165*C165</f>
        <v>20977.040000000001</v>
      </c>
    </row>
    <row r="166" spans="1:5" x14ac:dyDescent="0.35">
      <c r="A166" s="772" t="s">
        <v>1067</v>
      </c>
      <c r="B166" s="258">
        <v>8</v>
      </c>
      <c r="C166" s="194">
        <f>+C164</f>
        <v>2622.13</v>
      </c>
      <c r="D166" s="609">
        <f>+B166*C166</f>
        <v>20977.040000000001</v>
      </c>
    </row>
    <row r="167" spans="1:5" x14ac:dyDescent="0.35">
      <c r="A167" s="772" t="s">
        <v>200</v>
      </c>
      <c r="B167" s="258">
        <v>0</v>
      </c>
      <c r="C167" s="194">
        <f>+B167</f>
        <v>0</v>
      </c>
      <c r="D167" s="609">
        <f>+B167*C167</f>
        <v>0</v>
      </c>
    </row>
    <row r="168" spans="1:5" x14ac:dyDescent="0.35">
      <c r="A168" s="614" t="s">
        <v>6</v>
      </c>
      <c r="B168" s="617">
        <v>40000</v>
      </c>
      <c r="C168" s="227">
        <f>+B168</f>
        <v>40000</v>
      </c>
      <c r="D168" s="609">
        <f>+C168</f>
        <v>40000</v>
      </c>
    </row>
    <row r="169" spans="1:5" x14ac:dyDescent="0.35">
      <c r="A169" s="614" t="s">
        <v>1035</v>
      </c>
      <c r="B169" s="617">
        <v>4.5</v>
      </c>
      <c r="C169" s="227">
        <f>+C164*1.5</f>
        <v>3933.1950000000002</v>
      </c>
      <c r="D169" s="609">
        <f>+B169*C169</f>
        <v>17699.377500000002</v>
      </c>
    </row>
    <row r="170" spans="1:5" x14ac:dyDescent="0.35">
      <c r="A170" s="614" t="s">
        <v>1036</v>
      </c>
      <c r="B170" s="617"/>
      <c r="C170" s="227"/>
      <c r="D170" s="609"/>
    </row>
    <row r="171" spans="1:5" x14ac:dyDescent="0.35">
      <c r="A171" s="882" t="s">
        <v>389</v>
      </c>
      <c r="B171" s="883"/>
      <c r="C171" s="884"/>
      <c r="D171" s="1058">
        <f>+D164+D165+D166+D167+D168+D169+D170</f>
        <v>283202.55750000005</v>
      </c>
    </row>
    <row r="172" spans="1:5" x14ac:dyDescent="0.35">
      <c r="A172" s="882" t="s">
        <v>823</v>
      </c>
      <c r="B172" s="883"/>
      <c r="C172" s="884"/>
      <c r="D172" s="1058">
        <v>60000</v>
      </c>
    </row>
    <row r="173" spans="1:5" x14ac:dyDescent="0.35">
      <c r="A173" s="724"/>
      <c r="B173" s="729"/>
      <c r="C173" s="729"/>
      <c r="D173" s="731"/>
    </row>
    <row r="174" spans="1:5" x14ac:dyDescent="0.35">
      <c r="A174" s="1071" t="s">
        <v>11</v>
      </c>
      <c r="B174" s="1074"/>
      <c r="C174" s="1074"/>
      <c r="D174" s="1075">
        <f>+D171+D172</f>
        <v>343202.55750000005</v>
      </c>
    </row>
  </sheetData>
  <mergeCells count="20">
    <mergeCell ref="A80:D80"/>
    <mergeCell ref="A95:C95"/>
    <mergeCell ref="A77:C77"/>
    <mergeCell ref="A3:D3"/>
    <mergeCell ref="A12:C12"/>
    <mergeCell ref="A16:C16"/>
    <mergeCell ref="A19:D19"/>
    <mergeCell ref="A27:C27"/>
    <mergeCell ref="A34:D34"/>
    <mergeCell ref="A42:C42"/>
    <mergeCell ref="A50:D50"/>
    <mergeCell ref="A58:C58"/>
    <mergeCell ref="A64:D64"/>
    <mergeCell ref="A73:C73"/>
    <mergeCell ref="A100:D100"/>
    <mergeCell ref="A109:C109"/>
    <mergeCell ref="A116:D116"/>
    <mergeCell ref="A131:D131"/>
    <mergeCell ref="A162:D162"/>
    <mergeCell ref="A147:D147"/>
  </mergeCells>
  <pageMargins left="0.31496062992125984" right="0.11811023622047245" top="0" bottom="0" header="0.31496062992125984" footer="0.31496062992125984"/>
  <pageSetup paperSize="9" scale="2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589F-230B-4FDC-916E-2C09A4354677}">
  <sheetPr>
    <pageSetUpPr fitToPage="1"/>
  </sheetPr>
  <dimension ref="A1:E43"/>
  <sheetViews>
    <sheetView workbookViewId="0">
      <selection activeCell="C6" sqref="C6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1043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+C15+C21</f>
        <v>8684000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>
        <v>720000</v>
      </c>
      <c r="E5" s="774"/>
    </row>
    <row r="6" spans="1:5" x14ac:dyDescent="0.35">
      <c r="B6" s="258" t="s">
        <v>16</v>
      </c>
      <c r="C6" s="194">
        <v>859000</v>
      </c>
    </row>
    <row r="7" spans="1:5" x14ac:dyDescent="0.35">
      <c r="B7" s="258" t="s">
        <v>0</v>
      </c>
      <c r="C7" s="194">
        <v>852000</v>
      </c>
    </row>
    <row r="8" spans="1:5" x14ac:dyDescent="0.35">
      <c r="B8" s="258" t="s">
        <v>245</v>
      </c>
      <c r="C8" s="194">
        <v>618000</v>
      </c>
    </row>
    <row r="9" spans="1:5" x14ac:dyDescent="0.35">
      <c r="B9" s="258" t="s">
        <v>463</v>
      </c>
      <c r="C9" s="194">
        <v>843000</v>
      </c>
    </row>
    <row r="10" spans="1:5" x14ac:dyDescent="0.35">
      <c r="B10" s="258" t="s">
        <v>553</v>
      </c>
      <c r="C10" s="194">
        <v>682000</v>
      </c>
    </row>
    <row r="11" spans="1:5" x14ac:dyDescent="0.35">
      <c r="B11" s="258" t="s">
        <v>260</v>
      </c>
      <c r="C11" s="194">
        <v>821000</v>
      </c>
    </row>
    <row r="12" spans="1:5" x14ac:dyDescent="0.35">
      <c r="B12" s="617" t="s">
        <v>613</v>
      </c>
      <c r="C12" s="227">
        <v>1131000</v>
      </c>
    </row>
    <row r="13" spans="1:5" x14ac:dyDescent="0.35">
      <c r="B13" s="315" t="s">
        <v>1068</v>
      </c>
      <c r="C13" s="194">
        <v>344000</v>
      </c>
      <c r="E13" s="774"/>
    </row>
    <row r="14" spans="1:5" x14ac:dyDescent="0.35">
      <c r="B14" s="315"/>
      <c r="C14" s="194"/>
    </row>
    <row r="15" spans="1:5" x14ac:dyDescent="0.35">
      <c r="B15" s="1016" t="s">
        <v>872</v>
      </c>
      <c r="C15" s="195">
        <f>SUM(C5:C14)</f>
        <v>6870000</v>
      </c>
    </row>
    <row r="16" spans="1:5" x14ac:dyDescent="0.35">
      <c r="B16" s="261"/>
    </row>
    <row r="17" spans="1:4" x14ac:dyDescent="0.35">
      <c r="B17" s="261"/>
    </row>
    <row r="18" spans="1:4" x14ac:dyDescent="0.35">
      <c r="B18" s="261"/>
    </row>
    <row r="19" spans="1:4" x14ac:dyDescent="0.35">
      <c r="B19" s="258" t="s">
        <v>267</v>
      </c>
      <c r="C19" s="194">
        <v>942000</v>
      </c>
    </row>
    <row r="20" spans="1:4" x14ac:dyDescent="0.35">
      <c r="B20" s="258" t="s">
        <v>1038</v>
      </c>
      <c r="C20" s="194">
        <v>872000</v>
      </c>
    </row>
    <row r="21" spans="1:4" s="90" customFormat="1" x14ac:dyDescent="0.35">
      <c r="B21" s="274" t="s">
        <v>972</v>
      </c>
      <c r="C21" s="195">
        <f>+C19+C20</f>
        <v>1814000</v>
      </c>
      <c r="D21" s="553"/>
    </row>
    <row r="24" spans="1:4" x14ac:dyDescent="0.35">
      <c r="B24" s="274" t="s">
        <v>7</v>
      </c>
      <c r="C24" s="1052" t="s">
        <v>272</v>
      </c>
      <c r="D24" s="1109" t="s">
        <v>200</v>
      </c>
    </row>
    <row r="25" spans="1:4" x14ac:dyDescent="0.35">
      <c r="A25" s="771">
        <v>1</v>
      </c>
      <c r="B25" s="258" t="s">
        <v>10</v>
      </c>
      <c r="C25" s="194">
        <f>2852.06*1.15</f>
        <v>3279.8689999999997</v>
      </c>
      <c r="D25" s="598">
        <v>30000</v>
      </c>
    </row>
    <row r="26" spans="1:4" x14ac:dyDescent="0.35">
      <c r="A26" s="771">
        <v>2</v>
      </c>
      <c r="B26" s="258" t="s">
        <v>16</v>
      </c>
      <c r="C26" s="194">
        <f>2554.7*1.1</f>
        <v>2810.17</v>
      </c>
      <c r="D26" s="598">
        <v>30000</v>
      </c>
    </row>
    <row r="27" spans="1:4" x14ac:dyDescent="0.35">
      <c r="A27" s="771">
        <v>3</v>
      </c>
      <c r="B27" s="258" t="s">
        <v>0</v>
      </c>
      <c r="C27" s="194">
        <v>3945.6</v>
      </c>
      <c r="D27" s="598">
        <v>30000</v>
      </c>
    </row>
    <row r="28" spans="1:4" x14ac:dyDescent="0.35">
      <c r="A28" s="176">
        <v>4</v>
      </c>
      <c r="B28" s="258" t="s">
        <v>267</v>
      </c>
      <c r="C28" s="194">
        <v>2754</v>
      </c>
      <c r="D28" s="598">
        <v>30000</v>
      </c>
    </row>
    <row r="29" spans="1:4" x14ac:dyDescent="0.35">
      <c r="A29" s="176">
        <v>5</v>
      </c>
      <c r="B29" s="258" t="s">
        <v>245</v>
      </c>
      <c r="C29" s="194">
        <f>2383.75*1.1</f>
        <v>2622.125</v>
      </c>
      <c r="D29" s="598">
        <v>30000</v>
      </c>
    </row>
    <row r="30" spans="1:4" x14ac:dyDescent="0.35">
      <c r="A30" s="176">
        <v>6</v>
      </c>
      <c r="B30" s="258" t="s">
        <v>463</v>
      </c>
      <c r="C30" s="194">
        <v>2718.75</v>
      </c>
      <c r="D30" s="598">
        <v>30000</v>
      </c>
    </row>
    <row r="31" spans="1:4" x14ac:dyDescent="0.35">
      <c r="A31" s="176">
        <v>7</v>
      </c>
      <c r="B31" s="258" t="s">
        <v>553</v>
      </c>
      <c r="C31" s="194">
        <f>2383.75*1.1</f>
        <v>2622.125</v>
      </c>
      <c r="D31" s="598">
        <v>30000</v>
      </c>
    </row>
    <row r="32" spans="1:4" x14ac:dyDescent="0.35">
      <c r="A32" s="176">
        <v>8</v>
      </c>
      <c r="B32" s="258" t="s">
        <v>260</v>
      </c>
      <c r="C32" s="194">
        <v>3204.3</v>
      </c>
      <c r="D32" s="598">
        <v>50000</v>
      </c>
    </row>
    <row r="33" spans="1:4" x14ac:dyDescent="0.35">
      <c r="A33" s="176">
        <v>9</v>
      </c>
      <c r="B33" s="258" t="s">
        <v>613</v>
      </c>
      <c r="C33" s="194">
        <v>3204.3</v>
      </c>
      <c r="D33" s="598">
        <v>50000</v>
      </c>
    </row>
    <row r="34" spans="1:4" x14ac:dyDescent="0.35">
      <c r="A34" s="176">
        <v>10</v>
      </c>
      <c r="B34" s="258"/>
      <c r="C34" s="194"/>
      <c r="D34" s="598"/>
    </row>
    <row r="35" spans="1:4" x14ac:dyDescent="0.35">
      <c r="A35" s="176">
        <v>11</v>
      </c>
      <c r="B35" s="315"/>
      <c r="C35" s="194">
        <v>2175</v>
      </c>
      <c r="D35" s="598">
        <v>30000</v>
      </c>
    </row>
    <row r="36" spans="1:4" x14ac:dyDescent="0.35">
      <c r="A36" s="176">
        <v>12</v>
      </c>
      <c r="B36" s="1108" t="s">
        <v>15</v>
      </c>
      <c r="C36" s="204"/>
      <c r="D36" s="205"/>
    </row>
    <row r="37" spans="1:4" x14ac:dyDescent="0.35">
      <c r="B37" s="1121"/>
      <c r="C37" s="204"/>
      <c r="D37" s="205"/>
    </row>
    <row r="39" spans="1:4" x14ac:dyDescent="0.35">
      <c r="A39" s="701" t="s">
        <v>106</v>
      </c>
      <c r="B39" s="702" t="s">
        <v>873</v>
      </c>
      <c r="C39" s="1013" t="s">
        <v>803</v>
      </c>
      <c r="D39" s="1092" t="s">
        <v>7</v>
      </c>
    </row>
    <row r="40" spans="1:4" x14ac:dyDescent="0.35">
      <c r="A40" s="703">
        <v>16</v>
      </c>
      <c r="B40" s="703">
        <v>9</v>
      </c>
      <c r="C40" s="964">
        <f>+A40*B40</f>
        <v>144</v>
      </c>
      <c r="D40" s="593" t="s">
        <v>874</v>
      </c>
    </row>
    <row r="41" spans="1:4" x14ac:dyDescent="0.35">
      <c r="A41" s="703">
        <v>4</v>
      </c>
      <c r="B41" s="703">
        <v>8</v>
      </c>
      <c r="C41" s="964">
        <f>+A41*B41</f>
        <v>32</v>
      </c>
      <c r="D41" s="593" t="s">
        <v>117</v>
      </c>
    </row>
    <row r="42" spans="1:4" x14ac:dyDescent="0.35">
      <c r="A42" s="703">
        <v>0</v>
      </c>
      <c r="B42" s="703">
        <v>8</v>
      </c>
      <c r="C42" s="964">
        <f>+A42*B42</f>
        <v>0</v>
      </c>
      <c r="D42" s="593" t="s">
        <v>111</v>
      </c>
    </row>
    <row r="43" spans="1:4" x14ac:dyDescent="0.35">
      <c r="A43" s="568"/>
      <c r="B43" s="773"/>
      <c r="C43" s="964">
        <f>+C40+C41+C42</f>
        <v>176</v>
      </c>
      <c r="D43" s="593" t="s">
        <v>1026</v>
      </c>
    </row>
  </sheetData>
  <pageMargins left="0.7" right="0.7" top="0.75" bottom="0.75" header="0.3" footer="0.3"/>
  <pageSetup paperSize="9" scale="94" fitToHeight="0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833E-537C-4B48-B94B-C6C6F3477E01}">
  <sheetPr>
    <pageSetUpPr fitToPage="1"/>
  </sheetPr>
  <dimension ref="A1:S183"/>
  <sheetViews>
    <sheetView topLeftCell="A112" zoomScaleNormal="100" workbookViewId="0">
      <selection activeCell="F26" sqref="F26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45748</v>
      </c>
    </row>
    <row r="3" spans="1:18" ht="25.5" customHeight="1" x14ac:dyDescent="0.35">
      <c r="A3" s="1466" t="s">
        <v>1090</v>
      </c>
      <c r="B3" s="1431"/>
      <c r="C3" s="1431"/>
      <c r="D3" s="1431"/>
    </row>
    <row r="4" spans="1:18" s="1189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177</v>
      </c>
      <c r="C5" s="227">
        <v>3936</v>
      </c>
      <c r="D5" s="598">
        <f>+B5*C5</f>
        <v>696672</v>
      </c>
      <c r="E5" s="564"/>
      <c r="Q5" s="1189"/>
    </row>
    <row r="6" spans="1:18" ht="18" customHeight="1" x14ac:dyDescent="0.35">
      <c r="A6" s="772" t="s">
        <v>1069</v>
      </c>
      <c r="B6" s="258">
        <v>16</v>
      </c>
      <c r="C6" s="227">
        <f>+C5</f>
        <v>3936</v>
      </c>
      <c r="D6" s="598">
        <f>+B6*C6</f>
        <v>62976</v>
      </c>
      <c r="E6" s="564"/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f>+C7</f>
        <v>50000</v>
      </c>
      <c r="E7" s="564"/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E8" s="564"/>
      <c r="F8" s="176"/>
    </row>
    <row r="9" spans="1:18" ht="18" customHeight="1" x14ac:dyDescent="0.35">
      <c r="A9" s="772" t="s">
        <v>467</v>
      </c>
      <c r="B9" s="258">
        <v>0.5</v>
      </c>
      <c r="C9" s="194">
        <f>+C5*1.5</f>
        <v>5904</v>
      </c>
      <c r="D9" s="598">
        <f>+B9*C9</f>
        <v>2952</v>
      </c>
      <c r="E9" s="564"/>
      <c r="F9" s="176"/>
    </row>
    <row r="10" spans="1:18" ht="18" customHeight="1" x14ac:dyDescent="0.35">
      <c r="A10" s="772" t="s">
        <v>281</v>
      </c>
      <c r="B10" s="258"/>
      <c r="C10" s="194">
        <f>+C5*2</f>
        <v>7872</v>
      </c>
      <c r="D10" s="598">
        <f>+B10*C10</f>
        <v>0</v>
      </c>
      <c r="E10" s="564"/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>
        <v>250000</v>
      </c>
      <c r="E11" s="1190"/>
      <c r="F11" s="1191"/>
      <c r="R11" s="1193"/>
    </row>
    <row r="12" spans="1:18" ht="18" customHeight="1" x14ac:dyDescent="0.35">
      <c r="A12" s="1470" t="s">
        <v>389</v>
      </c>
      <c r="B12" s="1470"/>
      <c r="C12" s="1470"/>
      <c r="D12" s="599">
        <f>+D5+D6+D7+D8+D9+D10+D11</f>
        <v>1162600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189"/>
    </row>
    <row r="13" spans="1:18" ht="18" customHeight="1" x14ac:dyDescent="0.35">
      <c r="A13" s="800" t="s">
        <v>1070</v>
      </c>
      <c r="B13" s="720"/>
      <c r="C13" s="720"/>
      <c r="D13" s="722">
        <v>-420613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189"/>
    </row>
    <row r="14" spans="1:18" ht="18" customHeight="1" x14ac:dyDescent="0.35">
      <c r="A14" s="1141"/>
      <c r="B14" s="721"/>
      <c r="C14" s="905"/>
      <c r="D14" s="722"/>
      <c r="E14" s="553"/>
      <c r="F14" s="248"/>
      <c r="G14" s="248"/>
      <c r="H14" s="248"/>
      <c r="I14" s="248"/>
      <c r="J14" s="248"/>
      <c r="K14" s="248"/>
      <c r="L14" s="248"/>
      <c r="M14" s="248"/>
      <c r="O14" s="1189"/>
    </row>
    <row r="15" spans="1:18" ht="18" customHeight="1" x14ac:dyDescent="0.35">
      <c r="A15" s="1433" t="s">
        <v>11</v>
      </c>
      <c r="B15" s="1433"/>
      <c r="C15" s="1433"/>
      <c r="D15" s="603">
        <f>+D12+D13</f>
        <v>741987</v>
      </c>
      <c r="E15" s="553"/>
      <c r="F15" s="321"/>
      <c r="G15" s="321"/>
      <c r="H15" s="473"/>
      <c r="I15" s="321"/>
      <c r="J15" s="321"/>
      <c r="Q15" s="1189"/>
    </row>
    <row r="16" spans="1:18" ht="18" customHeight="1" x14ac:dyDescent="0.35">
      <c r="A16" s="1053"/>
      <c r="B16" s="1054"/>
      <c r="C16" s="1054"/>
      <c r="D16" s="1055"/>
      <c r="F16" s="321"/>
      <c r="G16" s="321"/>
      <c r="H16" s="473"/>
      <c r="I16" s="321"/>
      <c r="J16" s="321"/>
      <c r="Q16" s="1189"/>
    </row>
    <row r="17" spans="1:19" s="908" customFormat="1" ht="18" customHeight="1" x14ac:dyDescent="0.35">
      <c r="A17" s="689"/>
      <c r="B17" s="689"/>
      <c r="C17" s="689"/>
      <c r="D17" s="688"/>
      <c r="E17" s="1044"/>
      <c r="I17" s="910"/>
      <c r="J17" s="911"/>
      <c r="K17" s="912"/>
      <c r="L17" s="912"/>
      <c r="M17" s="910"/>
      <c r="N17" s="910"/>
      <c r="O17" s="910"/>
      <c r="P17" s="764"/>
      <c r="S17" s="764"/>
    </row>
    <row r="18" spans="1:19" ht="18" customHeight="1" x14ac:dyDescent="0.45">
      <c r="A18" s="1450" t="s">
        <v>1071</v>
      </c>
      <c r="B18" s="1451"/>
      <c r="C18" s="1451"/>
      <c r="D18" s="1452"/>
      <c r="E18" s="1045"/>
      <c r="J18" s="185"/>
      <c r="K18" s="181"/>
      <c r="L18" s="181"/>
      <c r="M18" s="181"/>
      <c r="N18" s="181"/>
    </row>
    <row r="19" spans="1:19" ht="18" customHeight="1" x14ac:dyDescent="0.35">
      <c r="A19" s="604" t="s">
        <v>7</v>
      </c>
      <c r="B19" s="605" t="s">
        <v>8</v>
      </c>
      <c r="C19" s="606" t="s">
        <v>4</v>
      </c>
      <c r="D19" s="606" t="s">
        <v>9</v>
      </c>
      <c r="E19" s="564"/>
      <c r="J19" s="185"/>
      <c r="K19" s="181"/>
      <c r="L19" s="181"/>
      <c r="M19" s="184"/>
    </row>
    <row r="20" spans="1:19" ht="18" customHeight="1" x14ac:dyDescent="0.35">
      <c r="A20" s="607" t="s">
        <v>3</v>
      </c>
      <c r="B20" s="267">
        <v>177</v>
      </c>
      <c r="C20" s="211">
        <v>3375</v>
      </c>
      <c r="D20" s="211">
        <f>+B20*C20</f>
        <v>597375</v>
      </c>
      <c r="E20" s="564"/>
      <c r="J20" s="182"/>
    </row>
    <row r="21" spans="1:19" ht="18" customHeight="1" x14ac:dyDescent="0.35">
      <c r="A21" s="607" t="s">
        <v>369</v>
      </c>
      <c r="B21" s="267">
        <v>16</v>
      </c>
      <c r="C21" s="211">
        <f>+C20</f>
        <v>3375</v>
      </c>
      <c r="D21" s="211">
        <f>+B21*C21</f>
        <v>54000</v>
      </c>
      <c r="E21" s="564"/>
      <c r="J21" s="182"/>
    </row>
    <row r="22" spans="1:19" ht="18" customHeight="1" x14ac:dyDescent="0.35">
      <c r="A22" s="772" t="s">
        <v>196</v>
      </c>
      <c r="B22" s="267"/>
      <c r="C22" s="211">
        <v>50000</v>
      </c>
      <c r="D22" s="211">
        <f>+C22</f>
        <v>50000</v>
      </c>
      <c r="E22" s="564"/>
      <c r="I22" s="1189"/>
    </row>
    <row r="23" spans="1:19" ht="18" customHeight="1" x14ac:dyDescent="0.35">
      <c r="A23" s="772" t="s">
        <v>6</v>
      </c>
      <c r="B23" s="267"/>
      <c r="C23" s="211">
        <v>100000</v>
      </c>
      <c r="D23" s="211">
        <f>+C23</f>
        <v>100000</v>
      </c>
      <c r="E23" s="564"/>
      <c r="I23" s="1189"/>
    </row>
    <row r="24" spans="1:19" ht="18" customHeight="1" x14ac:dyDescent="0.35">
      <c r="A24" s="772" t="s">
        <v>1028</v>
      </c>
      <c r="B24" s="267">
        <v>11.4</v>
      </c>
      <c r="C24" s="211">
        <f>+C20*1.5</f>
        <v>5062.5</v>
      </c>
      <c r="D24" s="211">
        <f>B24*C24</f>
        <v>57712.5</v>
      </c>
      <c r="E24" s="1043"/>
      <c r="F24" s="181"/>
      <c r="G24" s="187"/>
      <c r="H24" s="188"/>
      <c r="I24" s="1189"/>
      <c r="L24" s="1189"/>
    </row>
    <row r="25" spans="1:19" ht="18" customHeight="1" x14ac:dyDescent="0.35">
      <c r="A25" s="772" t="s">
        <v>281</v>
      </c>
      <c r="B25" s="267">
        <v>10</v>
      </c>
      <c r="C25" s="211">
        <f>+C20*2</f>
        <v>6750</v>
      </c>
      <c r="D25" s="211">
        <f>+B25*C25</f>
        <v>67500</v>
      </c>
      <c r="E25" s="1043"/>
      <c r="F25" s="181"/>
      <c r="G25" s="187"/>
      <c r="H25" s="188"/>
      <c r="I25" s="1189"/>
      <c r="L25" s="1189"/>
    </row>
    <row r="26" spans="1:19" s="1192" customFormat="1" ht="18" customHeight="1" x14ac:dyDescent="0.35">
      <c r="A26" s="1149" t="s">
        <v>1040</v>
      </c>
      <c r="B26" s="1196"/>
      <c r="C26" s="1197"/>
      <c r="D26" s="1197">
        <v>250000</v>
      </c>
      <c r="E26" s="1194"/>
      <c r="F26" s="1198"/>
      <c r="G26" s="1195"/>
      <c r="H26" s="1195"/>
      <c r="I26" s="1193"/>
      <c r="L26" s="1193"/>
    </row>
    <row r="27" spans="1:19" s="1189" customFormat="1" ht="18" customHeight="1" x14ac:dyDescent="0.35">
      <c r="A27" s="1463" t="s">
        <v>389</v>
      </c>
      <c r="B27" s="1464"/>
      <c r="C27" s="1465"/>
      <c r="D27" s="599">
        <f>+D20+D21+D22+D23+D24+D25+D26</f>
        <v>1176587.5</v>
      </c>
      <c r="E27" s="553"/>
      <c r="F27" s="181"/>
      <c r="G27" s="181"/>
      <c r="H27" s="184"/>
      <c r="I27" s="771"/>
      <c r="K27" s="771"/>
      <c r="L27" s="771"/>
    </row>
    <row r="28" spans="1:19" s="1189" customFormat="1" ht="18" customHeight="1" x14ac:dyDescent="0.35">
      <c r="A28" s="825" t="s">
        <v>374</v>
      </c>
      <c r="B28" s="824" t="s">
        <v>63</v>
      </c>
      <c r="C28" s="823"/>
      <c r="D28" s="930">
        <v>-300000</v>
      </c>
      <c r="E28" s="553"/>
      <c r="F28" s="181"/>
      <c r="G28" s="181"/>
      <c r="H28" s="184"/>
      <c r="I28" s="771"/>
      <c r="K28" s="771"/>
      <c r="L28" s="771"/>
    </row>
    <row r="29" spans="1:19" s="1189" customFormat="1" ht="18" customHeight="1" x14ac:dyDescent="0.35">
      <c r="A29" s="825"/>
      <c r="B29" s="824"/>
      <c r="C29" s="823"/>
      <c r="D29" s="930"/>
      <c r="E29" s="1042"/>
      <c r="F29" s="181"/>
      <c r="G29" s="181"/>
      <c r="H29" s="184"/>
      <c r="I29" s="771"/>
      <c r="K29" s="771"/>
      <c r="L29" s="771"/>
    </row>
    <row r="30" spans="1:19" ht="18" customHeight="1" x14ac:dyDescent="0.35">
      <c r="A30" s="786" t="s">
        <v>11</v>
      </c>
      <c r="B30" s="783"/>
      <c r="C30" s="783"/>
      <c r="D30" s="784">
        <f>+D27+D28</f>
        <v>876587.5</v>
      </c>
      <c r="E30" s="553"/>
      <c r="F30" s="181"/>
      <c r="G30" s="181"/>
      <c r="H30" s="184"/>
    </row>
    <row r="31" spans="1:19" ht="18" customHeight="1" x14ac:dyDescent="0.35">
      <c r="A31" s="1047"/>
      <c r="B31" s="594"/>
      <c r="C31" s="594"/>
      <c r="D31" s="595"/>
      <c r="F31" s="181"/>
      <c r="G31" s="181"/>
      <c r="H31" s="184"/>
    </row>
    <row r="32" spans="1:19" ht="18" customHeight="1" x14ac:dyDescent="0.35">
      <c r="A32" s="594"/>
      <c r="B32" s="594"/>
      <c r="C32" s="594"/>
      <c r="D32" s="595"/>
      <c r="F32" s="181"/>
      <c r="G32" s="181"/>
      <c r="H32" s="184"/>
    </row>
    <row r="33" spans="1:19" ht="18" customHeight="1" x14ac:dyDescent="0.35">
      <c r="A33" s="1442" t="s">
        <v>1072</v>
      </c>
      <c r="B33" s="1443"/>
      <c r="C33" s="1443"/>
      <c r="D33" s="1444"/>
      <c r="F33" s="181"/>
      <c r="G33" s="181"/>
      <c r="H33" s="184"/>
    </row>
    <row r="34" spans="1:19" ht="18" customHeight="1" x14ac:dyDescent="0.35">
      <c r="A34" s="2"/>
      <c r="B34" s="270" t="s">
        <v>8</v>
      </c>
      <c r="C34" s="217" t="s">
        <v>4</v>
      </c>
      <c r="D34" s="597" t="s">
        <v>9</v>
      </c>
      <c r="F34" s="181"/>
      <c r="G34" s="181"/>
      <c r="H34" s="184"/>
    </row>
    <row r="35" spans="1:19" ht="18" customHeight="1" x14ac:dyDescent="0.35">
      <c r="A35" s="772" t="s">
        <v>253</v>
      </c>
      <c r="B35" s="258">
        <v>177</v>
      </c>
      <c r="C35" s="194">
        <v>4735</v>
      </c>
      <c r="D35" s="598">
        <f>+B35*C35</f>
        <v>838095</v>
      </c>
      <c r="E35" s="564"/>
      <c r="F35" s="181"/>
      <c r="G35" s="181"/>
      <c r="H35" s="184"/>
    </row>
    <row r="36" spans="1:19" ht="18" customHeight="1" x14ac:dyDescent="0.35">
      <c r="A36" s="772" t="s">
        <v>379</v>
      </c>
      <c r="B36" s="258">
        <v>16</v>
      </c>
      <c r="C36" s="194">
        <f>+C35</f>
        <v>4735</v>
      </c>
      <c r="D36" s="598">
        <f>+B36*C36</f>
        <v>75760</v>
      </c>
      <c r="E36" s="564"/>
      <c r="F36" s="181"/>
      <c r="G36" s="181"/>
      <c r="H36" s="184"/>
    </row>
    <row r="37" spans="1:19" ht="15" customHeight="1" x14ac:dyDescent="0.35">
      <c r="A37" s="772" t="s">
        <v>196</v>
      </c>
      <c r="B37" s="258"/>
      <c r="C37" s="194">
        <v>50000</v>
      </c>
      <c r="D37" s="598">
        <f>+C37</f>
        <v>50000</v>
      </c>
      <c r="E37" s="564"/>
      <c r="F37" s="181"/>
      <c r="G37" s="181"/>
      <c r="H37" s="184"/>
      <c r="I37" s="1189"/>
    </row>
    <row r="38" spans="1:19" ht="15" customHeight="1" x14ac:dyDescent="0.35">
      <c r="A38" s="772" t="s">
        <v>6</v>
      </c>
      <c r="B38" s="258"/>
      <c r="C38" s="194">
        <v>100000</v>
      </c>
      <c r="D38" s="598">
        <f>+C38</f>
        <v>100000</v>
      </c>
      <c r="E38" s="564"/>
      <c r="F38" s="181"/>
      <c r="G38" s="181"/>
      <c r="H38" s="184"/>
      <c r="I38" s="1189"/>
    </row>
    <row r="39" spans="1:19" ht="15" customHeight="1" x14ac:dyDescent="0.35">
      <c r="A39" s="772" t="s">
        <v>1029</v>
      </c>
      <c r="B39" s="315">
        <v>5</v>
      </c>
      <c r="C39" s="194">
        <f>+C35*1.5</f>
        <v>7102.5</v>
      </c>
      <c r="D39" s="598">
        <f>+B39*C39</f>
        <v>35512.5</v>
      </c>
      <c r="F39" s="181"/>
      <c r="G39" s="181"/>
      <c r="H39" s="184"/>
      <c r="I39" s="1189"/>
    </row>
    <row r="40" spans="1:19" ht="15" customHeight="1" x14ac:dyDescent="0.35">
      <c r="A40" s="772" t="s">
        <v>449</v>
      </c>
      <c r="B40" s="315"/>
      <c r="C40" s="194">
        <f>+C35*2</f>
        <v>9470</v>
      </c>
      <c r="D40" s="598">
        <f>+B40*C40</f>
        <v>0</v>
      </c>
      <c r="E40" s="553"/>
      <c r="F40" s="181"/>
      <c r="G40" s="416"/>
      <c r="H40" s="184"/>
      <c r="I40" s="1189"/>
    </row>
    <row r="41" spans="1:19" s="1192" customFormat="1" ht="15" customHeight="1" x14ac:dyDescent="0.35">
      <c r="A41" s="1200" t="s">
        <v>1040</v>
      </c>
      <c r="B41" s="1201"/>
      <c r="C41" s="1202"/>
      <c r="D41" s="1152">
        <v>250000</v>
      </c>
      <c r="E41" s="1199"/>
      <c r="F41" s="1198"/>
      <c r="G41" s="1203"/>
      <c r="H41" s="1198"/>
      <c r="I41" s="1193"/>
    </row>
    <row r="42" spans="1:19" ht="15" customHeight="1" x14ac:dyDescent="0.35">
      <c r="A42" s="1463" t="s">
        <v>389</v>
      </c>
      <c r="B42" s="1464"/>
      <c r="C42" s="1465"/>
      <c r="D42" s="599">
        <f>+D35+D36+D37+D38+D39+D40+D41</f>
        <v>1349367.5</v>
      </c>
      <c r="E42" s="553"/>
      <c r="J42" s="176"/>
      <c r="K42" s="176"/>
      <c r="L42" s="176"/>
      <c r="M42" s="181"/>
      <c r="N42" s="181"/>
      <c r="O42" s="184"/>
      <c r="Q42" s="1189"/>
    </row>
    <row r="43" spans="1:19" s="1189" customFormat="1" ht="15" customHeight="1" x14ac:dyDescent="0.35">
      <c r="A43" s="921" t="s">
        <v>1073</v>
      </c>
      <c r="B43" s="727" t="s">
        <v>63</v>
      </c>
      <c r="C43" s="727" t="s">
        <v>63</v>
      </c>
      <c r="D43" s="722">
        <v>-428151</v>
      </c>
      <c r="E43" s="1043"/>
      <c r="F43" s="774"/>
      <c r="G43" s="771"/>
      <c r="H43" s="771"/>
      <c r="I43" s="771"/>
      <c r="J43" s="176"/>
      <c r="K43" s="176"/>
      <c r="L43" s="176"/>
      <c r="M43" s="176"/>
      <c r="N43" s="176"/>
      <c r="O43" s="176"/>
      <c r="P43" s="771"/>
      <c r="Q43" s="771"/>
      <c r="R43" s="771"/>
      <c r="S43" s="771"/>
    </row>
    <row r="44" spans="1:19" s="1207" customFormat="1" ht="15" customHeight="1" x14ac:dyDescent="0.35">
      <c r="A44" s="1204" t="s">
        <v>1085</v>
      </c>
      <c r="B44" s="1205"/>
      <c r="C44" s="1205">
        <v>200000</v>
      </c>
      <c r="D44" s="844"/>
      <c r="E44" s="1043"/>
      <c r="F44" s="1069"/>
      <c r="G44" s="1069"/>
      <c r="H44" s="1069"/>
      <c r="I44" s="1069"/>
      <c r="J44" s="1206"/>
      <c r="K44" s="1206"/>
      <c r="L44" s="1206"/>
      <c r="M44" s="1206"/>
      <c r="N44" s="1206"/>
      <c r="O44" s="1206"/>
      <c r="P44" s="1069"/>
      <c r="Q44" s="1069"/>
      <c r="R44" s="1069"/>
      <c r="S44" s="1069"/>
    </row>
    <row r="45" spans="1:19" s="1189" customFormat="1" ht="15" customHeight="1" x14ac:dyDescent="0.35">
      <c r="A45" s="1103" t="s">
        <v>11</v>
      </c>
      <c r="B45" s="1104"/>
      <c r="C45" s="197"/>
      <c r="D45" s="675">
        <f>+D42+D43</f>
        <v>921216.5</v>
      </c>
      <c r="E45" s="1025"/>
      <c r="F45" s="771"/>
      <c r="G45" s="771"/>
      <c r="H45" s="771"/>
      <c r="I45" s="771"/>
      <c r="J45" s="176"/>
      <c r="K45" s="176"/>
      <c r="L45" s="176"/>
      <c r="M45" s="176"/>
      <c r="N45" s="176"/>
      <c r="O45" s="176"/>
      <c r="P45" s="771"/>
      <c r="Q45" s="771"/>
      <c r="R45" s="771"/>
      <c r="S45" s="771"/>
    </row>
    <row r="46" spans="1:19" s="1189" customFormat="1" ht="15" customHeight="1" x14ac:dyDescent="0.35">
      <c r="A46" s="1164"/>
      <c r="B46" s="1165"/>
      <c r="C46" s="1163"/>
      <c r="D46" s="1090"/>
      <c r="E46" s="1025"/>
      <c r="F46" s="771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ht="15" customHeight="1" x14ac:dyDescent="0.35">
      <c r="A47" s="90"/>
      <c r="B47" s="771"/>
      <c r="C47" s="771"/>
      <c r="D47" s="771"/>
      <c r="K47" s="183"/>
      <c r="L47" s="183"/>
      <c r="M47" s="176"/>
      <c r="N47" s="176"/>
      <c r="O47" s="176"/>
      <c r="Q47" s="1189"/>
    </row>
    <row r="48" spans="1:19" ht="15" customHeight="1" x14ac:dyDescent="0.35">
      <c r="B48" s="771"/>
      <c r="C48" s="771"/>
      <c r="D48" s="774" t="s">
        <v>63</v>
      </c>
    </row>
    <row r="49" spans="1:19" ht="15" customHeight="1" x14ac:dyDescent="0.35">
      <c r="A49" s="1442" t="s">
        <v>1074</v>
      </c>
      <c r="B49" s="1443"/>
      <c r="C49" s="1443"/>
      <c r="D49" s="1444"/>
      <c r="S49" s="1189"/>
    </row>
    <row r="50" spans="1:19" x14ac:dyDescent="0.35">
      <c r="A50" s="2" t="s">
        <v>7</v>
      </c>
      <c r="B50" s="270" t="s">
        <v>8</v>
      </c>
      <c r="C50" s="217" t="s">
        <v>4</v>
      </c>
      <c r="D50" s="597" t="s">
        <v>9</v>
      </c>
    </row>
    <row r="51" spans="1:19" x14ac:dyDescent="0.35">
      <c r="A51" s="772" t="s">
        <v>253</v>
      </c>
      <c r="B51" s="258">
        <v>177</v>
      </c>
      <c r="C51" s="227">
        <v>3400</v>
      </c>
      <c r="D51" s="598">
        <f>+B51*C51</f>
        <v>601800</v>
      </c>
      <c r="E51" s="564"/>
    </row>
    <row r="52" spans="1:19" x14ac:dyDescent="0.35">
      <c r="A52" s="772" t="s">
        <v>369</v>
      </c>
      <c r="B52" s="258">
        <v>16</v>
      </c>
      <c r="C52" s="227">
        <f>+C51</f>
        <v>3400</v>
      </c>
      <c r="D52" s="598">
        <f>+B52*C52</f>
        <v>54400</v>
      </c>
      <c r="E52" s="564"/>
    </row>
    <row r="53" spans="1:19" x14ac:dyDescent="0.35">
      <c r="A53" s="772" t="s">
        <v>266</v>
      </c>
      <c r="B53" s="258"/>
      <c r="C53" s="227">
        <v>50000</v>
      </c>
      <c r="D53" s="598">
        <f>+C53</f>
        <v>50000</v>
      </c>
      <c r="E53" s="564"/>
    </row>
    <row r="54" spans="1:19" x14ac:dyDescent="0.35">
      <c r="A54" s="772" t="s">
        <v>6</v>
      </c>
      <c r="B54" s="258"/>
      <c r="C54" s="227">
        <v>100000</v>
      </c>
      <c r="D54" s="598">
        <f>+C54</f>
        <v>100000</v>
      </c>
      <c r="E54" s="564"/>
    </row>
    <row r="55" spans="1:19" x14ac:dyDescent="0.35">
      <c r="A55" s="772" t="s">
        <v>1030</v>
      </c>
      <c r="B55" s="258">
        <v>8.5</v>
      </c>
      <c r="C55" s="194">
        <f>+C51*1.5</f>
        <v>5100</v>
      </c>
      <c r="D55" s="598">
        <f>+B55*C55</f>
        <v>43350</v>
      </c>
      <c r="E55" s="564"/>
    </row>
    <row r="56" spans="1:19" x14ac:dyDescent="0.35">
      <c r="A56" s="772" t="s">
        <v>449</v>
      </c>
      <c r="B56" s="258"/>
      <c r="C56" s="194">
        <f>+C51*2</f>
        <v>6800</v>
      </c>
      <c r="D56" s="598">
        <f>+B56*C56</f>
        <v>0</v>
      </c>
    </row>
    <row r="57" spans="1:19" s="1192" customFormat="1" x14ac:dyDescent="0.35">
      <c r="A57" s="1200" t="s">
        <v>823</v>
      </c>
      <c r="B57" s="1208"/>
      <c r="C57" s="1202"/>
      <c r="D57" s="1152">
        <v>150000</v>
      </c>
      <c r="E57" s="1190"/>
    </row>
    <row r="58" spans="1:19" x14ac:dyDescent="0.35">
      <c r="A58" s="1463" t="s">
        <v>389</v>
      </c>
      <c r="B58" s="1464"/>
      <c r="C58" s="1465"/>
      <c r="D58" s="599">
        <f>+D51+D52+D53+D54+D55+D56+D57</f>
        <v>999550</v>
      </c>
      <c r="E58" s="553"/>
      <c r="F58" s="774"/>
    </row>
    <row r="59" spans="1:19" x14ac:dyDescent="0.35">
      <c r="A59" s="921"/>
      <c r="B59" s="922"/>
      <c r="C59" s="720"/>
      <c r="D59" s="722"/>
      <c r="E59" s="553"/>
    </row>
    <row r="60" spans="1:19" x14ac:dyDescent="0.35">
      <c r="A60" s="672" t="s">
        <v>11</v>
      </c>
      <c r="B60" s="1209"/>
      <c r="C60" s="674"/>
      <c r="D60" s="675">
        <f>+D58+D59</f>
        <v>999550</v>
      </c>
      <c r="E60" s="553"/>
    </row>
    <row r="61" spans="1:19" x14ac:dyDescent="0.35">
      <c r="B61" s="771"/>
      <c r="C61" s="771"/>
      <c r="D61" s="771"/>
    </row>
    <row r="63" spans="1:19" ht="14.5" customHeight="1" x14ac:dyDescent="0.35">
      <c r="A63" s="1442" t="s">
        <v>1075</v>
      </c>
      <c r="B63" s="1443"/>
      <c r="C63" s="1443"/>
      <c r="D63" s="1444"/>
    </row>
    <row r="64" spans="1:19" ht="14.5" customHeight="1" x14ac:dyDescent="0.35">
      <c r="A64" s="2" t="s">
        <v>7</v>
      </c>
      <c r="B64" s="270" t="s">
        <v>8</v>
      </c>
      <c r="C64" s="217" t="s">
        <v>4</v>
      </c>
      <c r="D64" s="597" t="s">
        <v>63</v>
      </c>
    </row>
    <row r="65" spans="1:6" ht="14.5" customHeight="1" x14ac:dyDescent="0.35">
      <c r="A65" s="772" t="s">
        <v>3</v>
      </c>
      <c r="B65" s="258">
        <v>177</v>
      </c>
      <c r="C65" s="227">
        <v>3147</v>
      </c>
      <c r="D65" s="598">
        <f>+B65*C65</f>
        <v>557019</v>
      </c>
      <c r="E65" s="564"/>
    </row>
    <row r="66" spans="1:6" ht="14.5" customHeight="1" x14ac:dyDescent="0.35">
      <c r="A66" s="772" t="s">
        <v>369</v>
      </c>
      <c r="B66" s="258">
        <v>16</v>
      </c>
      <c r="C66" s="227">
        <f>+C65</f>
        <v>3147</v>
      </c>
      <c r="D66" s="598">
        <f>+B66*C66</f>
        <v>50352</v>
      </c>
      <c r="E66" s="564"/>
    </row>
    <row r="67" spans="1:6" x14ac:dyDescent="0.35">
      <c r="A67" s="772" t="s">
        <v>266</v>
      </c>
      <c r="B67" s="258"/>
      <c r="C67" s="227">
        <v>50000</v>
      </c>
      <c r="D67" s="598">
        <f>+C67</f>
        <v>50000</v>
      </c>
    </row>
    <row r="68" spans="1:6" x14ac:dyDescent="0.35">
      <c r="A68" s="772" t="s">
        <v>6</v>
      </c>
      <c r="B68" s="258"/>
      <c r="C68" s="227">
        <v>100000</v>
      </c>
      <c r="D68" s="598">
        <v>100000</v>
      </c>
      <c r="E68" s="564"/>
    </row>
    <row r="69" spans="1:6" s="1069" customFormat="1" x14ac:dyDescent="0.35">
      <c r="A69" s="614" t="s">
        <v>270</v>
      </c>
      <c r="B69" s="617">
        <v>6.5</v>
      </c>
      <c r="C69" s="227">
        <f>+C65*1.5</f>
        <v>4720.5</v>
      </c>
      <c r="D69" s="598">
        <f>+B69*C69</f>
        <v>30683.25</v>
      </c>
      <c r="E69" s="564"/>
    </row>
    <row r="70" spans="1:6" x14ac:dyDescent="0.35">
      <c r="A70" s="772" t="s">
        <v>281</v>
      </c>
      <c r="B70" s="258"/>
      <c r="C70" s="227">
        <f>+C65*2</f>
        <v>6294</v>
      </c>
      <c r="D70" s="598">
        <f>+B70*C70</f>
        <v>0</v>
      </c>
    </row>
    <row r="71" spans="1:6" s="1192" customFormat="1" x14ac:dyDescent="0.35">
      <c r="A71" s="1200" t="s">
        <v>1040</v>
      </c>
      <c r="B71" s="1208"/>
      <c r="C71" s="1202"/>
      <c r="D71" s="1152">
        <v>130000</v>
      </c>
      <c r="E71" s="1190"/>
    </row>
    <row r="72" spans="1:6" x14ac:dyDescent="0.35">
      <c r="A72" s="1463" t="s">
        <v>389</v>
      </c>
      <c r="B72" s="1464"/>
      <c r="C72" s="1465"/>
      <c r="D72" s="599">
        <f>+D65+D66+D67+D68+D69+D70+D71</f>
        <v>918054.25</v>
      </c>
      <c r="E72" s="553"/>
      <c r="F72" s="774"/>
    </row>
    <row r="73" spans="1:6" x14ac:dyDescent="0.35">
      <c r="A73" s="723" t="s">
        <v>1086</v>
      </c>
      <c r="B73" s="721"/>
      <c r="C73" s="721"/>
      <c r="D73" s="722">
        <v>-200000</v>
      </c>
      <c r="E73" s="553"/>
    </row>
    <row r="74" spans="1:6" x14ac:dyDescent="0.35">
      <c r="A74" s="723"/>
      <c r="B74" s="721"/>
      <c r="C74" s="721"/>
      <c r="D74" s="722"/>
      <c r="E74" s="553"/>
    </row>
    <row r="75" spans="1:6" ht="15.5" x14ac:dyDescent="0.35">
      <c r="A75" s="1460" t="s">
        <v>11</v>
      </c>
      <c r="B75" s="1461"/>
      <c r="C75" s="1462"/>
      <c r="D75" s="603">
        <f>+D72+D73+D74</f>
        <v>718054.25</v>
      </c>
      <c r="E75" s="553"/>
    </row>
    <row r="76" spans="1:6" s="90" customFormat="1" x14ac:dyDescent="0.35">
      <c r="A76" s="1035"/>
      <c r="B76" s="1042"/>
      <c r="C76" s="553"/>
      <c r="D76" s="1051"/>
      <c r="E76" s="1042"/>
    </row>
    <row r="78" spans="1:6" ht="23.5" x14ac:dyDescent="0.35">
      <c r="A78" s="1442" t="s">
        <v>1076</v>
      </c>
      <c r="B78" s="1443"/>
      <c r="C78" s="1443"/>
      <c r="D78" s="1444"/>
    </row>
    <row r="79" spans="1:6" x14ac:dyDescent="0.35">
      <c r="A79" s="2" t="s">
        <v>7</v>
      </c>
      <c r="B79" s="270" t="s">
        <v>388</v>
      </c>
      <c r="C79" s="217" t="s">
        <v>272</v>
      </c>
      <c r="D79" s="597" t="s">
        <v>9</v>
      </c>
    </row>
    <row r="80" spans="1:6" x14ac:dyDescent="0.35">
      <c r="A80" s="772" t="s">
        <v>3</v>
      </c>
      <c r="B80" s="258">
        <v>177</v>
      </c>
      <c r="C80" s="227">
        <v>3127</v>
      </c>
      <c r="D80" s="598">
        <f>+B80*C80</f>
        <v>553479</v>
      </c>
      <c r="E80" s="564"/>
    </row>
    <row r="81" spans="1:6" x14ac:dyDescent="0.35">
      <c r="A81" s="772" t="s">
        <v>379</v>
      </c>
      <c r="B81" s="258">
        <v>16</v>
      </c>
      <c r="C81" s="227">
        <f>+C80</f>
        <v>3127</v>
      </c>
      <c r="D81" s="598">
        <f>+B81*C81</f>
        <v>50032</v>
      </c>
      <c r="E81" s="564"/>
    </row>
    <row r="82" spans="1:6" x14ac:dyDescent="0.35">
      <c r="A82" s="772" t="s">
        <v>6</v>
      </c>
      <c r="B82" s="258"/>
      <c r="C82" s="227">
        <v>80000</v>
      </c>
      <c r="D82" s="598">
        <f>+C82</f>
        <v>80000</v>
      </c>
      <c r="E82" s="564"/>
    </row>
    <row r="83" spans="1:6" x14ac:dyDescent="0.35">
      <c r="A83" s="772" t="s">
        <v>200</v>
      </c>
      <c r="B83" s="258"/>
      <c r="C83" s="227">
        <v>50000</v>
      </c>
      <c r="D83" s="598">
        <f>+C83</f>
        <v>50000</v>
      </c>
      <c r="E83" s="564"/>
    </row>
    <row r="84" spans="1:6" x14ac:dyDescent="0.35">
      <c r="A84" s="772" t="s">
        <v>1032</v>
      </c>
      <c r="B84" s="258">
        <v>11.4</v>
      </c>
      <c r="C84" s="227">
        <f>+C80*1.5</f>
        <v>4690.5</v>
      </c>
      <c r="D84" s="811">
        <f>+B84*C84</f>
        <v>53471.700000000004</v>
      </c>
      <c r="E84" s="564"/>
    </row>
    <row r="85" spans="1:6" x14ac:dyDescent="0.35">
      <c r="A85" s="772" t="s">
        <v>757</v>
      </c>
      <c r="B85" s="258">
        <v>10</v>
      </c>
      <c r="C85" s="227">
        <f>+C80*2</f>
        <v>6254</v>
      </c>
      <c r="D85" s="598">
        <f>+B85*C85</f>
        <v>62540</v>
      </c>
    </row>
    <row r="86" spans="1:6" s="1192" customFormat="1" x14ac:dyDescent="0.35">
      <c r="A86" s="1149" t="s">
        <v>1033</v>
      </c>
      <c r="B86" s="1150"/>
      <c r="C86" s="1151"/>
      <c r="D86" s="1152">
        <v>300000</v>
      </c>
      <c r="E86" s="1190"/>
    </row>
    <row r="87" spans="1:6" x14ac:dyDescent="0.35">
      <c r="A87" s="1036" t="s">
        <v>389</v>
      </c>
      <c r="B87" s="681"/>
      <c r="C87" s="1037"/>
      <c r="D87" s="1038">
        <f>+D80+D81+D82+D83+D84+D85+D86</f>
        <v>1149522.7</v>
      </c>
      <c r="E87" s="553"/>
    </row>
    <row r="88" spans="1:6" x14ac:dyDescent="0.35">
      <c r="A88" s="772" t="s">
        <v>19</v>
      </c>
      <c r="B88" s="258"/>
      <c r="C88" s="227"/>
      <c r="D88" s="731">
        <v>-310000</v>
      </c>
      <c r="F88" s="774"/>
    </row>
    <row r="89" spans="1:6" x14ac:dyDescent="0.35">
      <c r="A89" s="889"/>
      <c r="B89" s="890"/>
      <c r="C89" s="814"/>
      <c r="D89" s="731"/>
    </row>
    <row r="90" spans="1:6" ht="15.5" x14ac:dyDescent="0.35">
      <c r="A90" s="1460" t="s">
        <v>11</v>
      </c>
      <c r="B90" s="1461"/>
      <c r="C90" s="1462"/>
      <c r="D90" s="603">
        <f>+D87+D88+D89</f>
        <v>839522.7</v>
      </c>
      <c r="E90" s="553"/>
    </row>
    <row r="91" spans="1:6" ht="15.5" x14ac:dyDescent="0.35">
      <c r="A91" s="723" t="s">
        <v>631</v>
      </c>
      <c r="B91" s="723"/>
      <c r="C91" s="723"/>
      <c r="D91" s="832">
        <v>-160000</v>
      </c>
      <c r="E91" s="553"/>
    </row>
    <row r="92" spans="1:6" ht="15.5" x14ac:dyDescent="0.35">
      <c r="A92" s="611" t="s">
        <v>1010</v>
      </c>
      <c r="B92" s="611"/>
      <c r="C92" s="611"/>
      <c r="D92" s="603">
        <f>+D90+D91</f>
        <v>679522.7</v>
      </c>
      <c r="E92" s="553"/>
    </row>
    <row r="93" spans="1:6" s="90" customFormat="1" x14ac:dyDescent="0.35">
      <c r="B93" s="1042"/>
      <c r="C93" s="553"/>
      <c r="D93" s="1051" t="s">
        <v>63</v>
      </c>
      <c r="E93" s="1042"/>
    </row>
    <row r="95" spans="1:6" ht="23.5" x14ac:dyDescent="0.35">
      <c r="A95" s="1431" t="s">
        <v>1077</v>
      </c>
      <c r="B95" s="1431"/>
      <c r="C95" s="1431"/>
      <c r="D95" s="1431"/>
    </row>
    <row r="96" spans="1:6" x14ac:dyDescent="0.35">
      <c r="A96" s="2" t="s">
        <v>7</v>
      </c>
      <c r="B96" s="270" t="s">
        <v>8</v>
      </c>
      <c r="C96" s="217" t="s">
        <v>4</v>
      </c>
      <c r="D96" s="597" t="s">
        <v>9</v>
      </c>
    </row>
    <row r="97" spans="1:5" x14ac:dyDescent="0.35">
      <c r="A97" s="772" t="s">
        <v>3</v>
      </c>
      <c r="B97" s="258">
        <v>177</v>
      </c>
      <c r="C97" s="227">
        <v>3147</v>
      </c>
      <c r="D97" s="598">
        <f>+B97*C97</f>
        <v>557019</v>
      </c>
      <c r="E97" s="564"/>
    </row>
    <row r="98" spans="1:5" x14ac:dyDescent="0.35">
      <c r="A98" s="772" t="s">
        <v>379</v>
      </c>
      <c r="B98" s="258">
        <v>16</v>
      </c>
      <c r="C98" s="227">
        <f>+C97</f>
        <v>3147</v>
      </c>
      <c r="D98" s="598">
        <f>+B98*C98</f>
        <v>50352</v>
      </c>
      <c r="E98" s="564"/>
    </row>
    <row r="99" spans="1:5" x14ac:dyDescent="0.35">
      <c r="A99" s="772" t="s">
        <v>200</v>
      </c>
      <c r="B99" s="258"/>
      <c r="C99" s="227">
        <v>50000</v>
      </c>
      <c r="D99" s="598">
        <f>+C99</f>
        <v>50000</v>
      </c>
      <c r="E99" s="564"/>
    </row>
    <row r="100" spans="1:5" x14ac:dyDescent="0.35">
      <c r="A100" s="772" t="s">
        <v>6</v>
      </c>
      <c r="B100" s="258"/>
      <c r="C100" s="194">
        <v>100000</v>
      </c>
      <c r="D100" s="598">
        <f>+C100</f>
        <v>100000</v>
      </c>
      <c r="E100" s="564"/>
    </row>
    <row r="101" spans="1:5" x14ac:dyDescent="0.35">
      <c r="A101" s="772" t="s">
        <v>1032</v>
      </c>
      <c r="B101" s="258">
        <v>0.5</v>
      </c>
      <c r="C101" s="194">
        <f>+C97*1.5</f>
        <v>4720.5</v>
      </c>
      <c r="D101" s="598">
        <f>+B101*C101</f>
        <v>2360.25</v>
      </c>
      <c r="E101" s="564"/>
    </row>
    <row r="102" spans="1:5" x14ac:dyDescent="0.35">
      <c r="A102" s="772" t="s">
        <v>281</v>
      </c>
      <c r="B102" s="258"/>
      <c r="C102" s="194">
        <f>+C97*2</f>
        <v>6294</v>
      </c>
      <c r="D102" s="598">
        <f>+B102*C102</f>
        <v>0</v>
      </c>
    </row>
    <row r="103" spans="1:5" s="90" customFormat="1" x14ac:dyDescent="0.35">
      <c r="A103" s="141" t="s">
        <v>1033</v>
      </c>
      <c r="B103" s="274"/>
      <c r="C103" s="195"/>
      <c r="D103" s="1017">
        <v>130000</v>
      </c>
      <c r="E103" s="1042"/>
    </row>
    <row r="104" spans="1:5" x14ac:dyDescent="0.35">
      <c r="A104" s="1463" t="s">
        <v>389</v>
      </c>
      <c r="B104" s="1464"/>
      <c r="C104" s="1465"/>
      <c r="D104" s="599">
        <f>+D97+D98+D99+D100+D101+D102+D103</f>
        <v>889731.25</v>
      </c>
      <c r="E104" s="553"/>
    </row>
    <row r="105" spans="1:5" x14ac:dyDescent="0.35">
      <c r="A105" s="724" t="s">
        <v>374</v>
      </c>
      <c r="B105" s="729"/>
      <c r="C105" s="730"/>
      <c r="D105" s="731">
        <v>-120000</v>
      </c>
      <c r="E105" s="553"/>
    </row>
    <row r="106" spans="1:5" x14ac:dyDescent="0.35">
      <c r="A106" s="724"/>
      <c r="B106" s="729"/>
      <c r="C106" s="730"/>
      <c r="D106" s="731"/>
      <c r="E106" s="553"/>
    </row>
    <row r="107" spans="1:5" s="997" customFormat="1" ht="15.5" x14ac:dyDescent="0.35">
      <c r="A107" s="992" t="s">
        <v>11</v>
      </c>
      <c r="B107" s="1181"/>
      <c r="C107" s="994"/>
      <c r="D107" s="995">
        <f>+D104+D105+D106</f>
        <v>769731.25</v>
      </c>
      <c r="E107" s="1046"/>
    </row>
    <row r="108" spans="1:5" s="90" customFormat="1" x14ac:dyDescent="0.35">
      <c r="B108" s="1042"/>
      <c r="C108" s="553"/>
      <c r="D108" s="1051"/>
      <c r="E108" s="1042"/>
    </row>
    <row r="110" spans="1:5" ht="23.5" x14ac:dyDescent="0.35">
      <c r="A110" s="1442" t="s">
        <v>1078</v>
      </c>
      <c r="B110" s="1443"/>
      <c r="C110" s="1443"/>
      <c r="D110" s="1444"/>
    </row>
    <row r="111" spans="1:5" x14ac:dyDescent="0.35">
      <c r="A111" s="2" t="s">
        <v>7</v>
      </c>
      <c r="B111" s="270" t="s">
        <v>388</v>
      </c>
      <c r="C111" s="217" t="s">
        <v>629</v>
      </c>
      <c r="D111" s="597" t="s">
        <v>9</v>
      </c>
    </row>
    <row r="112" spans="1:5" x14ac:dyDescent="0.35">
      <c r="A112" s="772" t="s">
        <v>3</v>
      </c>
      <c r="B112" s="258">
        <v>170.45</v>
      </c>
      <c r="C112" s="194">
        <v>4230</v>
      </c>
      <c r="D112" s="598">
        <f>+B112*C112</f>
        <v>721003.5</v>
      </c>
    </row>
    <row r="113" spans="1:5" x14ac:dyDescent="0.35">
      <c r="A113" s="772" t="s">
        <v>369</v>
      </c>
      <c r="B113" s="258">
        <v>16</v>
      </c>
      <c r="C113" s="194">
        <f>+C112</f>
        <v>4230</v>
      </c>
      <c r="D113" s="609">
        <f>+B113*C113</f>
        <v>67680</v>
      </c>
    </row>
    <row r="114" spans="1:5" x14ac:dyDescent="0.35">
      <c r="A114" s="772" t="s">
        <v>556</v>
      </c>
      <c r="B114" s="258"/>
      <c r="C114" s="194">
        <v>50000</v>
      </c>
      <c r="D114" s="609">
        <f>+C114</f>
        <v>50000</v>
      </c>
    </row>
    <row r="115" spans="1:5" x14ac:dyDescent="0.35">
      <c r="A115" s="772" t="s">
        <v>6</v>
      </c>
      <c r="B115" s="258"/>
      <c r="C115" s="194">
        <v>60000</v>
      </c>
      <c r="D115" s="609">
        <f>+C115</f>
        <v>60000</v>
      </c>
    </row>
    <row r="116" spans="1:5" x14ac:dyDescent="0.35">
      <c r="A116" s="614" t="s">
        <v>628</v>
      </c>
      <c r="B116" s="617">
        <v>6.5</v>
      </c>
      <c r="C116" s="227">
        <f>+C112*1.5</f>
        <v>6345</v>
      </c>
      <c r="D116" s="609">
        <f>+B116*C116</f>
        <v>41242.5</v>
      </c>
    </row>
    <row r="117" spans="1:5" x14ac:dyDescent="0.35">
      <c r="A117" s="614" t="s">
        <v>823</v>
      </c>
      <c r="B117" s="617"/>
      <c r="C117" s="227"/>
      <c r="D117" s="609">
        <v>120000</v>
      </c>
    </row>
    <row r="118" spans="1:5" x14ac:dyDescent="0.35">
      <c r="A118" s="614"/>
      <c r="B118" s="617"/>
      <c r="C118" s="227"/>
      <c r="D118" s="609"/>
    </row>
    <row r="119" spans="1:5" s="90" customFormat="1" x14ac:dyDescent="0.35">
      <c r="A119" s="1071" t="s">
        <v>389</v>
      </c>
      <c r="B119" s="1074"/>
      <c r="C119" s="1172"/>
      <c r="D119" s="1173">
        <f>+D112+D113+D114+D115+D116+D117+D118</f>
        <v>1059926</v>
      </c>
      <c r="E119" s="1042"/>
    </row>
    <row r="120" spans="1:5" x14ac:dyDescent="0.35">
      <c r="A120" s="614" t="s">
        <v>1079</v>
      </c>
      <c r="B120" s="617"/>
      <c r="C120" s="227"/>
      <c r="D120" s="609">
        <v>57100</v>
      </c>
    </row>
    <row r="121" spans="1:5" x14ac:dyDescent="0.35">
      <c r="A121" s="614" t="s">
        <v>1080</v>
      </c>
      <c r="B121" s="617"/>
      <c r="C121" s="227"/>
      <c r="D121" s="609">
        <v>32300</v>
      </c>
    </row>
    <row r="122" spans="1:5" ht="15.5" x14ac:dyDescent="0.35">
      <c r="A122" s="1059" t="s">
        <v>11</v>
      </c>
      <c r="B122" s="1060"/>
      <c r="C122" s="1061"/>
      <c r="D122" s="1167">
        <f>+D119+D120+D121</f>
        <v>1149326</v>
      </c>
    </row>
    <row r="125" spans="1:5" ht="23.5" x14ac:dyDescent="0.35">
      <c r="A125" s="1442" t="s">
        <v>1081</v>
      </c>
      <c r="B125" s="1443"/>
      <c r="C125" s="1443"/>
      <c r="D125" s="1444"/>
    </row>
    <row r="126" spans="1:5" x14ac:dyDescent="0.35">
      <c r="A126" s="2" t="s">
        <v>7</v>
      </c>
      <c r="B126" s="270" t="s">
        <v>8</v>
      </c>
      <c r="C126" s="217" t="s">
        <v>4</v>
      </c>
      <c r="D126" s="597" t="s">
        <v>9</v>
      </c>
    </row>
    <row r="127" spans="1:5" x14ac:dyDescent="0.35">
      <c r="A127" s="772" t="s">
        <v>3</v>
      </c>
      <c r="B127" s="258">
        <v>146.5</v>
      </c>
      <c r="C127" s="194">
        <v>4230</v>
      </c>
      <c r="D127" s="598">
        <f>+B127*C127</f>
        <v>619695</v>
      </c>
      <c r="E127" s="553"/>
    </row>
    <row r="128" spans="1:5" x14ac:dyDescent="0.35">
      <c r="A128" s="772" t="s">
        <v>369</v>
      </c>
      <c r="B128" s="258">
        <v>14</v>
      </c>
      <c r="C128" s="194">
        <f>+C127</f>
        <v>4230</v>
      </c>
      <c r="D128" s="609">
        <f>+B128*C128</f>
        <v>59220</v>
      </c>
    </row>
    <row r="129" spans="1:19" x14ac:dyDescent="0.35">
      <c r="A129" s="772" t="s">
        <v>6</v>
      </c>
      <c r="B129" s="258"/>
      <c r="C129" s="194">
        <v>60000</v>
      </c>
      <c r="D129" s="609">
        <f>+C129</f>
        <v>60000</v>
      </c>
    </row>
    <row r="130" spans="1:19" x14ac:dyDescent="0.35">
      <c r="A130" s="614" t="s">
        <v>556</v>
      </c>
      <c r="B130" s="617"/>
      <c r="C130" s="227">
        <v>50000</v>
      </c>
      <c r="D130" s="609">
        <f>+C130</f>
        <v>50000</v>
      </c>
    </row>
    <row r="131" spans="1:19" x14ac:dyDescent="0.35">
      <c r="A131" s="614" t="s">
        <v>1035</v>
      </c>
      <c r="B131" s="617">
        <v>7</v>
      </c>
      <c r="C131" s="227">
        <f>+C127*1.5</f>
        <v>6345</v>
      </c>
      <c r="D131" s="609">
        <f>+B131*C131</f>
        <v>44415</v>
      </c>
    </row>
    <row r="132" spans="1:19" s="1192" customFormat="1" x14ac:dyDescent="0.35">
      <c r="A132" s="1149" t="s">
        <v>823</v>
      </c>
      <c r="B132" s="1150"/>
      <c r="C132" s="1151">
        <v>120000</v>
      </c>
      <c r="D132" s="1210">
        <f>+C132</f>
        <v>120000</v>
      </c>
      <c r="E132" s="1199"/>
    </row>
    <row r="133" spans="1:19" x14ac:dyDescent="0.35">
      <c r="A133" s="614"/>
      <c r="B133" s="617"/>
      <c r="C133" s="227"/>
      <c r="D133" s="609"/>
    </row>
    <row r="134" spans="1:19" x14ac:dyDescent="0.35">
      <c r="A134" s="882" t="s">
        <v>389</v>
      </c>
      <c r="B134" s="883"/>
      <c r="C134" s="884"/>
      <c r="D134" s="1058">
        <f>+D127+D128+D129+D130+D131+D132</f>
        <v>953330</v>
      </c>
      <c r="E134" s="553"/>
    </row>
    <row r="135" spans="1:19" x14ac:dyDescent="0.35">
      <c r="A135" s="724" t="s">
        <v>50</v>
      </c>
      <c r="B135" s="729"/>
      <c r="C135" s="729"/>
      <c r="D135" s="731">
        <v>-150000</v>
      </c>
    </row>
    <row r="136" spans="1:19" x14ac:dyDescent="0.35">
      <c r="A136" s="1071" t="s">
        <v>11</v>
      </c>
      <c r="B136" s="1074"/>
      <c r="C136" s="1074"/>
      <c r="D136" s="1075">
        <f>+D134+D135</f>
        <v>803330</v>
      </c>
    </row>
    <row r="140" spans="1:19" s="1042" customFormat="1" ht="23.5" x14ac:dyDescent="0.35">
      <c r="A140" s="1442" t="s">
        <v>1082</v>
      </c>
      <c r="B140" s="1443"/>
      <c r="C140" s="1443"/>
      <c r="D140" s="1444"/>
      <c r="F140" s="771"/>
      <c r="G140" s="771"/>
      <c r="H140" s="771"/>
      <c r="I140" s="771"/>
      <c r="J140" s="771"/>
      <c r="K140" s="771"/>
      <c r="L140" s="771"/>
      <c r="M140" s="771"/>
      <c r="N140" s="771"/>
      <c r="O140" s="771"/>
      <c r="P140" s="771"/>
      <c r="Q140" s="771"/>
      <c r="R140" s="771"/>
      <c r="S140" s="771"/>
    </row>
    <row r="141" spans="1:19" s="1042" customFormat="1" x14ac:dyDescent="0.35">
      <c r="A141" s="2" t="s">
        <v>7</v>
      </c>
      <c r="B141" s="270" t="s">
        <v>388</v>
      </c>
      <c r="C141" s="217" t="s">
        <v>1037</v>
      </c>
      <c r="D141" s="597" t="s">
        <v>9</v>
      </c>
      <c r="F141" s="771"/>
      <c r="G141" s="771"/>
      <c r="H141" s="771"/>
      <c r="I141" s="771"/>
      <c r="J141" s="771"/>
      <c r="K141" s="771"/>
      <c r="L141" s="771"/>
      <c r="M141" s="771"/>
      <c r="N141" s="771"/>
      <c r="O141" s="771"/>
      <c r="P141" s="771"/>
      <c r="Q141" s="771"/>
      <c r="R141" s="771"/>
      <c r="S141" s="771"/>
    </row>
    <row r="142" spans="1:19" s="1042" customFormat="1" x14ac:dyDescent="0.35">
      <c r="A142" s="772" t="s">
        <v>3</v>
      </c>
      <c r="B142" s="258">
        <v>177</v>
      </c>
      <c r="C142" s="194">
        <v>3400</v>
      </c>
      <c r="D142" s="598">
        <f>+B142*C142</f>
        <v>601800</v>
      </c>
      <c r="F142" s="771"/>
      <c r="G142" s="771"/>
      <c r="H142" s="771"/>
      <c r="I142" s="771"/>
      <c r="J142" s="771"/>
      <c r="K142" s="771"/>
      <c r="L142" s="771"/>
      <c r="M142" s="771"/>
      <c r="N142" s="771"/>
      <c r="O142" s="771"/>
      <c r="P142" s="771"/>
      <c r="Q142" s="771"/>
      <c r="R142" s="771"/>
      <c r="S142" s="771"/>
    </row>
    <row r="143" spans="1:19" s="1042" customFormat="1" x14ac:dyDescent="0.35">
      <c r="A143" s="772" t="s">
        <v>369</v>
      </c>
      <c r="B143" s="258">
        <v>16</v>
      </c>
      <c r="C143" s="194">
        <f>+C142</f>
        <v>3400</v>
      </c>
      <c r="D143" s="609">
        <f>+B143*C143</f>
        <v>54400</v>
      </c>
      <c r="F143" s="771"/>
      <c r="G143" s="771"/>
      <c r="H143" s="771"/>
      <c r="I143" s="771"/>
      <c r="J143" s="771"/>
      <c r="K143" s="771"/>
      <c r="L143" s="771"/>
      <c r="M143" s="771"/>
      <c r="N143" s="771"/>
      <c r="O143" s="771"/>
      <c r="P143" s="771"/>
      <c r="Q143" s="771"/>
      <c r="R143" s="771"/>
      <c r="S143" s="771"/>
    </row>
    <row r="144" spans="1:19" s="1042" customFormat="1" x14ac:dyDescent="0.35">
      <c r="A144" s="772" t="s">
        <v>200</v>
      </c>
      <c r="B144" s="258"/>
      <c r="C144" s="194">
        <v>50000</v>
      </c>
      <c r="D144" s="609">
        <f>+C144</f>
        <v>50000</v>
      </c>
      <c r="F144" s="771"/>
      <c r="G144" s="771"/>
      <c r="H144" s="771"/>
      <c r="I144" s="771"/>
      <c r="J144" s="771"/>
      <c r="K144" s="771"/>
      <c r="L144" s="771"/>
      <c r="M144" s="771"/>
      <c r="N144" s="771"/>
      <c r="O144" s="771"/>
      <c r="P144" s="771"/>
      <c r="Q144" s="771"/>
      <c r="R144" s="771"/>
      <c r="S144" s="771"/>
    </row>
    <row r="145" spans="1:19" s="1042" customFormat="1" x14ac:dyDescent="0.35">
      <c r="A145" s="614" t="s">
        <v>6</v>
      </c>
      <c r="B145" s="617"/>
      <c r="C145" s="227">
        <v>100000</v>
      </c>
      <c r="D145" s="609">
        <f>+C145</f>
        <v>100000</v>
      </c>
      <c r="F145" s="771"/>
      <c r="G145" s="771"/>
      <c r="H145" s="771"/>
      <c r="I145" s="771"/>
      <c r="J145" s="771"/>
      <c r="K145" s="771"/>
      <c r="L145" s="771"/>
      <c r="M145" s="771"/>
      <c r="N145" s="771"/>
      <c r="O145" s="771"/>
      <c r="P145" s="771"/>
      <c r="Q145" s="771"/>
      <c r="R145" s="771"/>
      <c r="S145" s="771"/>
    </row>
    <row r="146" spans="1:19" s="1042" customFormat="1" x14ac:dyDescent="0.35">
      <c r="A146" s="614" t="s">
        <v>1035</v>
      </c>
      <c r="B146" s="617">
        <v>8.5</v>
      </c>
      <c r="C146" s="227">
        <f>+C142*1.5</f>
        <v>5100</v>
      </c>
      <c r="D146" s="609">
        <f>+B146*C146</f>
        <v>43350</v>
      </c>
      <c r="F146" s="771"/>
      <c r="G146" s="771"/>
      <c r="H146" s="771"/>
      <c r="I146" s="771"/>
      <c r="J146" s="771"/>
      <c r="K146" s="771"/>
      <c r="L146" s="771"/>
      <c r="M146" s="771"/>
      <c r="N146" s="771"/>
      <c r="O146" s="771"/>
      <c r="P146" s="771"/>
      <c r="Q146" s="771"/>
      <c r="R146" s="771"/>
      <c r="S146" s="771"/>
    </row>
    <row r="147" spans="1:19" s="1042" customFormat="1" x14ac:dyDescent="0.35">
      <c r="A147" s="614" t="s">
        <v>1036</v>
      </c>
      <c r="B147" s="617"/>
      <c r="C147" s="227"/>
      <c r="D147" s="609"/>
      <c r="F147" s="771"/>
      <c r="G147" s="771"/>
      <c r="H147" s="771"/>
      <c r="I147" s="771"/>
      <c r="J147" s="771"/>
      <c r="K147" s="771"/>
      <c r="L147" s="771"/>
      <c r="M147" s="771"/>
      <c r="N147" s="771"/>
      <c r="O147" s="771"/>
      <c r="P147" s="771"/>
      <c r="Q147" s="771"/>
      <c r="R147" s="771"/>
      <c r="S147" s="771"/>
    </row>
    <row r="148" spans="1:19" s="1190" customFormat="1" x14ac:dyDescent="0.35">
      <c r="A148" s="1149" t="s">
        <v>823</v>
      </c>
      <c r="B148" s="1150"/>
      <c r="C148" s="1151"/>
      <c r="D148" s="1210">
        <v>80000</v>
      </c>
      <c r="F148" s="1192"/>
      <c r="G148" s="1192"/>
      <c r="H148" s="1192"/>
      <c r="I148" s="1192"/>
      <c r="J148" s="1192"/>
      <c r="K148" s="1192"/>
      <c r="L148" s="1192"/>
      <c r="M148" s="1192"/>
      <c r="N148" s="1192"/>
      <c r="O148" s="1192"/>
      <c r="P148" s="1192"/>
      <c r="Q148" s="1192"/>
      <c r="R148" s="1192"/>
      <c r="S148" s="1192"/>
    </row>
    <row r="149" spans="1:19" s="1042" customFormat="1" x14ac:dyDescent="0.35">
      <c r="A149" s="882" t="s">
        <v>389</v>
      </c>
      <c r="B149" s="883"/>
      <c r="C149" s="884"/>
      <c r="D149" s="1058">
        <f>+D142+D143+D144+D145+D146+D147+D148</f>
        <v>929550</v>
      </c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042" customFormat="1" x14ac:dyDescent="0.35">
      <c r="A150" s="1211"/>
      <c r="B150" s="1212"/>
      <c r="C150" s="1213"/>
      <c r="D150" s="1214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724"/>
      <c r="B151" s="729"/>
      <c r="C151" s="729"/>
      <c r="D151" s="731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1071" t="s">
        <v>11</v>
      </c>
      <c r="B152" s="1074"/>
      <c r="C152" s="1074"/>
      <c r="D152" s="1075">
        <f>+D149+D150+D151</f>
        <v>929550</v>
      </c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6" spans="1:19" ht="23.5" x14ac:dyDescent="0.35">
      <c r="A156" s="1442" t="s">
        <v>1083</v>
      </c>
      <c r="B156" s="1443"/>
      <c r="C156" s="1443"/>
      <c r="D156" s="1444"/>
    </row>
    <row r="157" spans="1:19" x14ac:dyDescent="0.35">
      <c r="A157" s="2" t="s">
        <v>7</v>
      </c>
      <c r="B157" s="270" t="s">
        <v>425</v>
      </c>
      <c r="C157" s="217" t="s">
        <v>272</v>
      </c>
      <c r="D157" s="597" t="s">
        <v>9</v>
      </c>
    </row>
    <row r="158" spans="1:19" x14ac:dyDescent="0.35">
      <c r="A158" s="772" t="s">
        <v>3</v>
      </c>
      <c r="B158" s="258">
        <v>177</v>
      </c>
      <c r="C158" s="194">
        <v>2622.13</v>
      </c>
      <c r="D158" s="598">
        <f>+B158*C158</f>
        <v>464117.01</v>
      </c>
    </row>
    <row r="159" spans="1:19" x14ac:dyDescent="0.35">
      <c r="A159" s="772" t="s">
        <v>369</v>
      </c>
      <c r="B159" s="258">
        <v>16</v>
      </c>
      <c r="C159" s="194">
        <f>+C158</f>
        <v>2622.13</v>
      </c>
      <c r="D159" s="609">
        <f>+B159*C159</f>
        <v>41954.080000000002</v>
      </c>
    </row>
    <row r="160" spans="1:19" x14ac:dyDescent="0.35">
      <c r="A160" s="772" t="s">
        <v>200</v>
      </c>
      <c r="B160" s="258"/>
      <c r="C160" s="194">
        <v>50000</v>
      </c>
      <c r="D160" s="609">
        <f>+C160</f>
        <v>50000</v>
      </c>
    </row>
    <row r="161" spans="1:5" x14ac:dyDescent="0.35">
      <c r="A161" s="614" t="s">
        <v>6</v>
      </c>
      <c r="B161" s="617">
        <v>40000</v>
      </c>
      <c r="C161" s="227">
        <f>+B161</f>
        <v>40000</v>
      </c>
      <c r="D161" s="609">
        <f>+C161</f>
        <v>40000</v>
      </c>
    </row>
    <row r="162" spans="1:5" x14ac:dyDescent="0.35">
      <c r="A162" s="614" t="s">
        <v>1035</v>
      </c>
      <c r="B162" s="617">
        <v>11.4</v>
      </c>
      <c r="C162" s="227">
        <f>+C158*1.5</f>
        <v>3933.1950000000002</v>
      </c>
      <c r="D162" s="609">
        <f>+B162*C162</f>
        <v>44838.423000000003</v>
      </c>
    </row>
    <row r="163" spans="1:5" x14ac:dyDescent="0.35">
      <c r="A163" s="614" t="s">
        <v>1036</v>
      </c>
      <c r="B163" s="617">
        <v>10</v>
      </c>
      <c r="C163" s="227">
        <f>+C158*2</f>
        <v>5244.26</v>
      </c>
      <c r="D163" s="609">
        <f>+B163*C163</f>
        <v>52442.600000000006</v>
      </c>
    </row>
    <row r="164" spans="1:5" s="1192" customFormat="1" x14ac:dyDescent="0.35">
      <c r="A164" s="1149" t="s">
        <v>823</v>
      </c>
      <c r="B164" s="1150"/>
      <c r="C164" s="1151"/>
      <c r="D164" s="1210">
        <v>60000</v>
      </c>
      <c r="E164" s="1190"/>
    </row>
    <row r="165" spans="1:5" x14ac:dyDescent="0.35">
      <c r="A165" s="882" t="s">
        <v>389</v>
      </c>
      <c r="B165" s="883"/>
      <c r="C165" s="884"/>
      <c r="D165" s="1058">
        <f>+D158+D159+D160+D161+D162+D163+D164</f>
        <v>753352.11300000001</v>
      </c>
    </row>
    <row r="166" spans="1:5" s="1070" customFormat="1" x14ac:dyDescent="0.35">
      <c r="A166" s="739" t="s">
        <v>19</v>
      </c>
      <c r="B166" s="1215"/>
      <c r="C166" s="1216"/>
      <c r="D166" s="736">
        <v>-200000</v>
      </c>
      <c r="E166" s="1073"/>
    </row>
    <row r="167" spans="1:5" x14ac:dyDescent="0.35">
      <c r="A167" s="724"/>
      <c r="B167" s="729"/>
      <c r="C167" s="729"/>
      <c r="D167" s="731"/>
    </row>
    <row r="168" spans="1:5" x14ac:dyDescent="0.35">
      <c r="A168" s="1071" t="s">
        <v>11</v>
      </c>
      <c r="B168" s="1074"/>
      <c r="C168" s="1074"/>
      <c r="D168" s="1075">
        <f>+D165+D166+D167</f>
        <v>553352.11300000001</v>
      </c>
    </row>
    <row r="171" spans="1:5" ht="23.5" x14ac:dyDescent="0.35">
      <c r="A171" s="1442" t="s">
        <v>1084</v>
      </c>
      <c r="B171" s="1443"/>
      <c r="C171" s="1443"/>
      <c r="D171" s="1444"/>
    </row>
    <row r="172" spans="1:5" x14ac:dyDescent="0.35">
      <c r="A172" s="2"/>
      <c r="B172" s="270"/>
      <c r="C172" s="217"/>
      <c r="D172" s="597"/>
    </row>
    <row r="173" spans="1:5" x14ac:dyDescent="0.35">
      <c r="A173" s="772" t="s">
        <v>3</v>
      </c>
      <c r="B173" s="258">
        <v>71</v>
      </c>
      <c r="C173" s="194">
        <v>3400</v>
      </c>
      <c r="D173" s="598">
        <f>+B173*C173</f>
        <v>241400</v>
      </c>
    </row>
    <row r="174" spans="1:5" x14ac:dyDescent="0.35">
      <c r="A174" s="772" t="s">
        <v>111</v>
      </c>
      <c r="B174" s="258"/>
      <c r="C174" s="194"/>
      <c r="D174" s="609"/>
    </row>
    <row r="175" spans="1:5" x14ac:dyDescent="0.35">
      <c r="A175" s="772" t="s">
        <v>1087</v>
      </c>
      <c r="B175" s="258"/>
      <c r="C175" s="194">
        <v>50000</v>
      </c>
      <c r="D175" s="609">
        <f>+C175/2</f>
        <v>25000</v>
      </c>
    </row>
    <row r="176" spans="1:5" x14ac:dyDescent="0.35">
      <c r="A176" s="614" t="s">
        <v>6</v>
      </c>
      <c r="B176" s="617"/>
      <c r="C176" s="227"/>
      <c r="D176" s="609"/>
    </row>
    <row r="177" spans="1:4" x14ac:dyDescent="0.35">
      <c r="A177" s="614" t="s">
        <v>1035</v>
      </c>
      <c r="B177" s="617"/>
      <c r="C177" s="227"/>
      <c r="D177" s="609"/>
    </row>
    <row r="178" spans="1:4" x14ac:dyDescent="0.35">
      <c r="A178" s="614" t="s">
        <v>1036</v>
      </c>
      <c r="B178" s="617"/>
      <c r="C178" s="227"/>
      <c r="D178" s="609"/>
    </row>
    <row r="179" spans="1:4" x14ac:dyDescent="0.35">
      <c r="A179" s="614" t="s">
        <v>823</v>
      </c>
      <c r="B179" s="617"/>
      <c r="C179" s="227"/>
      <c r="D179" s="609">
        <v>100000</v>
      </c>
    </row>
    <row r="180" spans="1:4" x14ac:dyDescent="0.35">
      <c r="A180" s="882" t="s">
        <v>389</v>
      </c>
      <c r="B180" s="883"/>
      <c r="C180" s="884"/>
      <c r="D180" s="1058">
        <f>+D173+D174+D175+D176+D177+D178+D179</f>
        <v>366400</v>
      </c>
    </row>
    <row r="181" spans="1:4" x14ac:dyDescent="0.35">
      <c r="A181" s="1211"/>
      <c r="B181" s="1212"/>
      <c r="C181" s="1213"/>
      <c r="D181" s="1214"/>
    </row>
    <row r="182" spans="1:4" x14ac:dyDescent="0.35">
      <c r="A182" s="724"/>
      <c r="B182" s="729"/>
      <c r="C182" s="729"/>
      <c r="D182" s="731"/>
    </row>
    <row r="183" spans="1:4" x14ac:dyDescent="0.35">
      <c r="A183" s="1071" t="s">
        <v>11</v>
      </c>
      <c r="B183" s="1074"/>
      <c r="C183" s="1074"/>
      <c r="D183" s="1075">
        <f>+D180+D181+D182</f>
        <v>366400</v>
      </c>
    </row>
  </sheetData>
  <mergeCells count="21">
    <mergeCell ref="A171:D171"/>
    <mergeCell ref="A140:D140"/>
    <mergeCell ref="A156:D156"/>
    <mergeCell ref="A78:D78"/>
    <mergeCell ref="A90:C90"/>
    <mergeCell ref="A95:D95"/>
    <mergeCell ref="A104:C104"/>
    <mergeCell ref="A110:D110"/>
    <mergeCell ref="A125:D125"/>
    <mergeCell ref="A75:C75"/>
    <mergeCell ref="A3:D3"/>
    <mergeCell ref="A12:C12"/>
    <mergeCell ref="A15:C15"/>
    <mergeCell ref="A18:D18"/>
    <mergeCell ref="A27:C27"/>
    <mergeCell ref="A33:D33"/>
    <mergeCell ref="A42:C42"/>
    <mergeCell ref="A49:D49"/>
    <mergeCell ref="A58:C58"/>
    <mergeCell ref="A63:D63"/>
    <mergeCell ref="A72:C72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5372-083C-4267-9F1D-AE708EBA8F1A}">
  <sheetPr>
    <pageSetUpPr fitToPage="1"/>
  </sheetPr>
  <dimension ref="A1:E43"/>
  <sheetViews>
    <sheetView topLeftCell="A22" workbookViewId="0">
      <selection activeCell="D11" sqref="D11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1088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+C15+C21</f>
        <v>9575000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>
        <v>742000</v>
      </c>
      <c r="E5" s="774"/>
    </row>
    <row r="6" spans="1:5" x14ac:dyDescent="0.35">
      <c r="B6" s="258" t="s">
        <v>16</v>
      </c>
      <c r="C6" s="194">
        <v>877000</v>
      </c>
    </row>
    <row r="7" spans="1:5" x14ac:dyDescent="0.35">
      <c r="B7" s="258" t="s">
        <v>0</v>
      </c>
      <c r="C7" s="194">
        <v>922000</v>
      </c>
    </row>
    <row r="8" spans="1:5" x14ac:dyDescent="0.35">
      <c r="B8" s="258" t="s">
        <v>245</v>
      </c>
      <c r="C8" s="194">
        <v>719000</v>
      </c>
    </row>
    <row r="9" spans="1:5" x14ac:dyDescent="0.35">
      <c r="B9" s="258" t="s">
        <v>463</v>
      </c>
      <c r="C9" s="194">
        <v>840000</v>
      </c>
    </row>
    <row r="10" spans="1:5" x14ac:dyDescent="0.35">
      <c r="B10" s="258" t="s">
        <v>553</v>
      </c>
      <c r="C10" s="194">
        <v>770000</v>
      </c>
    </row>
    <row r="11" spans="1:5" x14ac:dyDescent="0.35">
      <c r="B11" s="258" t="s">
        <v>260</v>
      </c>
      <c r="C11" s="194">
        <v>804000</v>
      </c>
    </row>
    <row r="12" spans="1:5" x14ac:dyDescent="0.35">
      <c r="B12" s="617" t="s">
        <v>613</v>
      </c>
      <c r="C12" s="227">
        <v>1150000</v>
      </c>
    </row>
    <row r="13" spans="1:5" x14ac:dyDescent="0.35">
      <c r="B13" s="315" t="s">
        <v>1068</v>
      </c>
      <c r="C13" s="194">
        <v>554000</v>
      </c>
      <c r="E13" s="774"/>
    </row>
    <row r="14" spans="1:5" x14ac:dyDescent="0.35">
      <c r="B14" s="315" t="s">
        <v>1089</v>
      </c>
      <c r="C14" s="194">
        <v>267000</v>
      </c>
    </row>
    <row r="15" spans="1:5" x14ac:dyDescent="0.35">
      <c r="B15" s="1016" t="s">
        <v>872</v>
      </c>
      <c r="C15" s="195">
        <f>SUM(C5:C14)</f>
        <v>7645000</v>
      </c>
    </row>
    <row r="16" spans="1:5" x14ac:dyDescent="0.35">
      <c r="B16" s="261"/>
    </row>
    <row r="17" spans="1:4" x14ac:dyDescent="0.35">
      <c r="B17" s="261"/>
    </row>
    <row r="18" spans="1:4" x14ac:dyDescent="0.35">
      <c r="B18" s="261"/>
    </row>
    <row r="19" spans="1:4" x14ac:dyDescent="0.35">
      <c r="B19" s="258" t="s">
        <v>267</v>
      </c>
      <c r="C19" s="194">
        <v>1000000</v>
      </c>
    </row>
    <row r="20" spans="1:4" x14ac:dyDescent="0.35">
      <c r="B20" s="258" t="s">
        <v>1038</v>
      </c>
      <c r="C20" s="194">
        <v>930000</v>
      </c>
    </row>
    <row r="21" spans="1:4" s="90" customFormat="1" x14ac:dyDescent="0.35">
      <c r="B21" s="274" t="s">
        <v>972</v>
      </c>
      <c r="C21" s="195">
        <f>+C19+C20</f>
        <v>1930000</v>
      </c>
      <c r="D21" s="553"/>
    </row>
    <row r="24" spans="1:4" x14ac:dyDescent="0.35">
      <c r="B24" s="274" t="s">
        <v>7</v>
      </c>
      <c r="C24" s="1052" t="s">
        <v>272</v>
      </c>
      <c r="D24" s="1109" t="s">
        <v>200</v>
      </c>
    </row>
    <row r="25" spans="1:4" x14ac:dyDescent="0.35">
      <c r="A25" s="771">
        <v>1</v>
      </c>
      <c r="B25" s="258" t="s">
        <v>10</v>
      </c>
      <c r="C25" s="194">
        <v>3936</v>
      </c>
      <c r="D25" s="598">
        <v>50000</v>
      </c>
    </row>
    <row r="26" spans="1:4" x14ac:dyDescent="0.35">
      <c r="A26" s="771">
        <v>2</v>
      </c>
      <c r="B26" s="258" t="s">
        <v>16</v>
      </c>
      <c r="C26" s="194">
        <v>3375</v>
      </c>
      <c r="D26" s="598">
        <v>50000</v>
      </c>
    </row>
    <row r="27" spans="1:4" x14ac:dyDescent="0.35">
      <c r="A27" s="771">
        <v>3</v>
      </c>
      <c r="B27" s="258" t="s">
        <v>0</v>
      </c>
      <c r="C27" s="194">
        <v>4735</v>
      </c>
      <c r="D27" s="598">
        <v>50000</v>
      </c>
    </row>
    <row r="28" spans="1:4" x14ac:dyDescent="0.35">
      <c r="A28" s="176">
        <v>4</v>
      </c>
      <c r="B28" s="258" t="s">
        <v>267</v>
      </c>
      <c r="C28" s="194">
        <v>3400</v>
      </c>
      <c r="D28" s="598">
        <v>50000</v>
      </c>
    </row>
    <row r="29" spans="1:4" x14ac:dyDescent="0.35">
      <c r="A29" s="176">
        <v>5</v>
      </c>
      <c r="B29" s="258" t="s">
        <v>245</v>
      </c>
      <c r="C29" s="194">
        <v>3147</v>
      </c>
      <c r="D29" s="598">
        <v>50000</v>
      </c>
    </row>
    <row r="30" spans="1:4" x14ac:dyDescent="0.35">
      <c r="A30" s="176">
        <v>6</v>
      </c>
      <c r="B30" s="258" t="s">
        <v>463</v>
      </c>
      <c r="C30" s="194">
        <v>3127</v>
      </c>
      <c r="D30" s="598">
        <v>50000</v>
      </c>
    </row>
    <row r="31" spans="1:4" x14ac:dyDescent="0.35">
      <c r="A31" s="176">
        <v>7</v>
      </c>
      <c r="B31" s="258" t="s">
        <v>553</v>
      </c>
      <c r="C31" s="194">
        <v>3147</v>
      </c>
      <c r="D31" s="598">
        <v>50000</v>
      </c>
    </row>
    <row r="32" spans="1:4" x14ac:dyDescent="0.35">
      <c r="A32" s="176">
        <v>8</v>
      </c>
      <c r="B32" s="258" t="s">
        <v>260</v>
      </c>
      <c r="C32" s="194">
        <v>4230</v>
      </c>
      <c r="D32" s="598">
        <v>50000</v>
      </c>
    </row>
    <row r="33" spans="1:4" x14ac:dyDescent="0.35">
      <c r="A33" s="176">
        <v>9</v>
      </c>
      <c r="B33" s="258" t="s">
        <v>613</v>
      </c>
      <c r="C33" s="194">
        <v>4230</v>
      </c>
      <c r="D33" s="598">
        <v>50000</v>
      </c>
    </row>
    <row r="34" spans="1:4" x14ac:dyDescent="0.35">
      <c r="A34" s="176">
        <v>10</v>
      </c>
      <c r="B34" s="258" t="s">
        <v>1038</v>
      </c>
      <c r="C34" s="194">
        <v>3400</v>
      </c>
      <c r="D34" s="598">
        <v>50000</v>
      </c>
    </row>
    <row r="35" spans="1:4" x14ac:dyDescent="0.35">
      <c r="A35" s="176">
        <v>11</v>
      </c>
      <c r="B35" s="315" t="s">
        <v>1068</v>
      </c>
      <c r="C35" s="194">
        <v>2622</v>
      </c>
      <c r="D35" s="598">
        <v>50000</v>
      </c>
    </row>
    <row r="36" spans="1:4" x14ac:dyDescent="0.35">
      <c r="A36" s="176">
        <v>12</v>
      </c>
      <c r="B36" s="315" t="s">
        <v>1089</v>
      </c>
      <c r="C36" s="194">
        <v>3400</v>
      </c>
      <c r="D36" s="598">
        <v>50000</v>
      </c>
    </row>
    <row r="37" spans="1:4" x14ac:dyDescent="0.35">
      <c r="B37" s="315"/>
      <c r="C37" s="194"/>
      <c r="D37" s="598"/>
    </row>
    <row r="39" spans="1:4" x14ac:dyDescent="0.35">
      <c r="A39" s="701" t="s">
        <v>106</v>
      </c>
      <c r="B39" s="702" t="s">
        <v>873</v>
      </c>
      <c r="C39" s="1013" t="s">
        <v>803</v>
      </c>
      <c r="D39" s="1092" t="s">
        <v>7</v>
      </c>
    </row>
    <row r="40" spans="1:4" x14ac:dyDescent="0.35">
      <c r="A40" s="703">
        <v>17</v>
      </c>
      <c r="B40" s="703">
        <v>9</v>
      </c>
      <c r="C40" s="964">
        <f>+A40*B40</f>
        <v>153</v>
      </c>
      <c r="D40" s="593" t="s">
        <v>874</v>
      </c>
    </row>
    <row r="41" spans="1:4" x14ac:dyDescent="0.35">
      <c r="A41" s="703">
        <v>3</v>
      </c>
      <c r="B41" s="703">
        <v>8</v>
      </c>
      <c r="C41" s="964">
        <f>+A41*B41</f>
        <v>24</v>
      </c>
      <c r="D41" s="593" t="s">
        <v>117</v>
      </c>
    </row>
    <row r="42" spans="1:4" x14ac:dyDescent="0.35">
      <c r="A42" s="703">
        <v>2</v>
      </c>
      <c r="B42" s="703">
        <v>8</v>
      </c>
      <c r="C42" s="964">
        <f>+A42*B42</f>
        <v>16</v>
      </c>
      <c r="D42" s="593" t="s">
        <v>111</v>
      </c>
    </row>
    <row r="43" spans="1:4" x14ac:dyDescent="0.35">
      <c r="A43" s="568"/>
      <c r="B43" s="773"/>
      <c r="C43" s="964">
        <f>+C40+C41+C42</f>
        <v>193</v>
      </c>
      <c r="D43" s="593" t="s">
        <v>1091</v>
      </c>
    </row>
  </sheetData>
  <pageMargins left="0.7" right="0.7" top="0.75" bottom="0.75" header="0.3" footer="0.3"/>
  <pageSetup paperSize="9" scale="94" fitToHeight="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CB5D-34C8-4477-967A-1C6735C9B76B}">
  <sheetPr>
    <pageSetUpPr fitToPage="1"/>
  </sheetPr>
  <dimension ref="A1:S201"/>
  <sheetViews>
    <sheetView topLeftCell="A115" zoomScaleNormal="100" workbookViewId="0">
      <selection activeCell="F43" sqref="F43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1042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45778</v>
      </c>
    </row>
    <row r="3" spans="1:18" ht="25.5" customHeight="1" x14ac:dyDescent="0.35">
      <c r="A3" s="1466" t="s">
        <v>1092</v>
      </c>
      <c r="B3" s="1431"/>
      <c r="C3" s="1431"/>
      <c r="D3" s="1431"/>
    </row>
    <row r="4" spans="1:18" s="1217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64"/>
      <c r="Q4" s="771"/>
      <c r="R4" s="771"/>
    </row>
    <row r="5" spans="1:18" ht="18" customHeight="1" x14ac:dyDescent="0.35">
      <c r="A5" s="772" t="s">
        <v>3</v>
      </c>
      <c r="B5" s="258">
        <v>184</v>
      </c>
      <c r="C5" s="227">
        <v>3936</v>
      </c>
      <c r="D5" s="598">
        <f>+B5*C5</f>
        <v>724224</v>
      </c>
      <c r="E5" s="564"/>
      <c r="Q5" s="1217"/>
    </row>
    <row r="6" spans="1:18" ht="18" customHeight="1" x14ac:dyDescent="0.35">
      <c r="A6" s="772" t="s">
        <v>403</v>
      </c>
      <c r="B6" s="258">
        <v>8</v>
      </c>
      <c r="C6" s="227">
        <f>+C5</f>
        <v>3936</v>
      </c>
      <c r="D6" s="598">
        <f>+B6*C6</f>
        <v>31488</v>
      </c>
      <c r="E6" s="564"/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f>+C7</f>
        <v>50000</v>
      </c>
      <c r="E7" s="564"/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E8" s="564"/>
      <c r="F8" s="176"/>
    </row>
    <row r="9" spans="1:18" ht="18" customHeight="1" x14ac:dyDescent="0.35">
      <c r="A9" s="772" t="s">
        <v>467</v>
      </c>
      <c r="B9" s="258"/>
      <c r="C9" s="194">
        <f>+C5*1.5</f>
        <v>5904</v>
      </c>
      <c r="D9" s="598">
        <f>+B9*C9</f>
        <v>0</v>
      </c>
      <c r="E9" s="564"/>
      <c r="F9" s="176"/>
    </row>
    <row r="10" spans="1:18" ht="18" customHeight="1" x14ac:dyDescent="0.35">
      <c r="A10" s="772" t="s">
        <v>281</v>
      </c>
      <c r="B10" s="258"/>
      <c r="C10" s="194">
        <f>+C5*2</f>
        <v>7872</v>
      </c>
      <c r="D10" s="598">
        <f>+B10*C10</f>
        <v>0</v>
      </c>
      <c r="E10" s="564"/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>
        <v>250000</v>
      </c>
      <c r="E11" s="1190"/>
      <c r="F11" s="1191"/>
      <c r="R11" s="1193"/>
    </row>
    <row r="12" spans="1:18" ht="18" customHeight="1" x14ac:dyDescent="0.35">
      <c r="A12" s="1470" t="s">
        <v>389</v>
      </c>
      <c r="B12" s="1470"/>
      <c r="C12" s="1470"/>
      <c r="D12" s="599">
        <f>+D5+D6+D7+D8+D9+D10+D11</f>
        <v>1155712</v>
      </c>
      <c r="E12" s="553"/>
      <c r="F12" s="248"/>
      <c r="G12" s="248"/>
      <c r="H12" s="248"/>
      <c r="I12" s="248"/>
      <c r="J12" s="248"/>
      <c r="K12" s="248"/>
      <c r="L12" s="248"/>
      <c r="M12" s="248"/>
      <c r="O12" s="1217"/>
    </row>
    <row r="13" spans="1:18" ht="18" customHeight="1" x14ac:dyDescent="0.35">
      <c r="A13" s="800" t="s">
        <v>1108</v>
      </c>
      <c r="B13" s="720"/>
      <c r="C13" s="720"/>
      <c r="D13" s="722">
        <v>-420613.17</v>
      </c>
      <c r="E13" s="553"/>
      <c r="F13" s="248"/>
      <c r="G13" s="248"/>
      <c r="H13" s="248"/>
      <c r="I13" s="248"/>
      <c r="J13" s="248"/>
      <c r="K13" s="248"/>
      <c r="L13" s="248"/>
      <c r="M13" s="248"/>
      <c r="O13" s="1217"/>
    </row>
    <row r="14" spans="1:18" ht="18" customHeight="1" x14ac:dyDescent="0.35">
      <c r="A14" s="1141"/>
      <c r="B14" s="721"/>
      <c r="C14" s="905"/>
      <c r="D14" s="722"/>
      <c r="E14" s="553"/>
      <c r="F14" s="248"/>
      <c r="G14" s="248"/>
      <c r="H14" s="248"/>
      <c r="I14" s="248"/>
      <c r="J14" s="248"/>
      <c r="K14" s="248"/>
      <c r="L14" s="248"/>
      <c r="M14" s="248"/>
      <c r="O14" s="1217"/>
    </row>
    <row r="15" spans="1:18" ht="18" customHeight="1" x14ac:dyDescent="0.35">
      <c r="A15" s="1433" t="s">
        <v>11</v>
      </c>
      <c r="B15" s="1433"/>
      <c r="C15" s="1433"/>
      <c r="D15" s="603">
        <f>+D12+D13</f>
        <v>735098.83000000007</v>
      </c>
      <c r="E15" s="553"/>
      <c r="F15" s="321"/>
      <c r="G15" s="321"/>
      <c r="H15" s="473"/>
      <c r="I15" s="321"/>
      <c r="J15" s="321"/>
      <c r="Q15" s="1217"/>
    </row>
    <row r="16" spans="1:18" ht="18" customHeight="1" x14ac:dyDescent="0.35">
      <c r="A16" s="1053"/>
      <c r="B16" s="1054"/>
      <c r="C16" s="1054"/>
      <c r="D16" s="1055"/>
      <c r="F16" s="321"/>
      <c r="G16" s="321"/>
      <c r="H16" s="473"/>
      <c r="I16" s="321"/>
      <c r="J16" s="321"/>
      <c r="Q16" s="1217"/>
    </row>
    <row r="17" spans="1:19" s="908" customFormat="1" ht="18" customHeight="1" x14ac:dyDescent="0.35">
      <c r="A17" s="689"/>
      <c r="B17" s="689"/>
      <c r="C17" s="689"/>
      <c r="D17" s="688"/>
      <c r="E17" s="1044"/>
      <c r="I17" s="910"/>
      <c r="J17" s="911"/>
      <c r="K17" s="912"/>
      <c r="L17" s="912"/>
      <c r="M17" s="910"/>
      <c r="N17" s="910"/>
      <c r="O17" s="910"/>
      <c r="P17" s="764"/>
      <c r="S17" s="764"/>
    </row>
    <row r="18" spans="1:19" ht="18" customHeight="1" x14ac:dyDescent="0.45">
      <c r="A18" s="1450" t="s">
        <v>1093</v>
      </c>
      <c r="B18" s="1451"/>
      <c r="C18" s="1451"/>
      <c r="D18" s="1452"/>
      <c r="E18" s="1045"/>
      <c r="J18" s="185"/>
      <c r="K18" s="181"/>
      <c r="L18" s="181"/>
      <c r="M18" s="181"/>
      <c r="N18" s="181"/>
    </row>
    <row r="19" spans="1:19" ht="18" customHeight="1" x14ac:dyDescent="0.35">
      <c r="A19" s="604" t="s">
        <v>7</v>
      </c>
      <c r="B19" s="605" t="s">
        <v>8</v>
      </c>
      <c r="C19" s="606" t="s">
        <v>4</v>
      </c>
      <c r="D19" s="606" t="s">
        <v>9</v>
      </c>
      <c r="E19" s="564"/>
      <c r="J19" s="185"/>
      <c r="K19" s="181"/>
      <c r="L19" s="181"/>
      <c r="M19" s="184"/>
    </row>
    <row r="20" spans="1:19" ht="18" customHeight="1" x14ac:dyDescent="0.35">
      <c r="A20" s="607" t="s">
        <v>3</v>
      </c>
      <c r="B20" s="267">
        <v>171</v>
      </c>
      <c r="C20" s="211">
        <v>3375</v>
      </c>
      <c r="D20" s="211">
        <f>+B20*C20</f>
        <v>577125</v>
      </c>
      <c r="E20" s="564"/>
      <c r="J20" s="182"/>
    </row>
    <row r="21" spans="1:19" ht="18" customHeight="1" x14ac:dyDescent="0.35">
      <c r="A21" s="607" t="s">
        <v>394</v>
      </c>
      <c r="B21" s="267">
        <v>8</v>
      </c>
      <c r="C21" s="211">
        <f>+C20</f>
        <v>3375</v>
      </c>
      <c r="D21" s="211">
        <f>+B21*C21</f>
        <v>27000</v>
      </c>
      <c r="E21" s="564"/>
      <c r="J21" s="182"/>
    </row>
    <row r="22" spans="1:19" ht="18" customHeight="1" x14ac:dyDescent="0.35">
      <c r="A22" s="772" t="s">
        <v>196</v>
      </c>
      <c r="B22" s="267"/>
      <c r="C22" s="211">
        <v>50000</v>
      </c>
      <c r="D22" s="211">
        <f>+C22</f>
        <v>50000</v>
      </c>
      <c r="E22" s="564"/>
      <c r="I22" s="1217"/>
    </row>
    <row r="23" spans="1:19" ht="18" customHeight="1" x14ac:dyDescent="0.35">
      <c r="A23" s="772" t="s">
        <v>6</v>
      </c>
      <c r="B23" s="267"/>
      <c r="C23" s="211">
        <v>100000</v>
      </c>
      <c r="D23" s="211">
        <f>+C23</f>
        <v>100000</v>
      </c>
      <c r="E23" s="564"/>
      <c r="I23" s="1217"/>
    </row>
    <row r="24" spans="1:19" ht="18" customHeight="1" x14ac:dyDescent="0.35">
      <c r="A24" s="772" t="s">
        <v>1028</v>
      </c>
      <c r="B24" s="267">
        <v>19</v>
      </c>
      <c r="C24" s="211">
        <f>+C20*1.5</f>
        <v>5062.5</v>
      </c>
      <c r="D24" s="211">
        <f>B24*C24</f>
        <v>96187.5</v>
      </c>
      <c r="E24" s="1043"/>
      <c r="F24" s="181"/>
      <c r="G24" s="187"/>
      <c r="H24" s="188"/>
      <c r="I24" s="1217"/>
      <c r="L24" s="1217"/>
    </row>
    <row r="25" spans="1:19" ht="18" customHeight="1" x14ac:dyDescent="0.35">
      <c r="A25" s="772" t="s">
        <v>281</v>
      </c>
      <c r="B25" s="267"/>
      <c r="C25" s="211">
        <f>+C20*2</f>
        <v>6750</v>
      </c>
      <c r="D25" s="211">
        <f>+B25*C25</f>
        <v>0</v>
      </c>
      <c r="E25" s="1043"/>
      <c r="F25" s="181"/>
      <c r="G25" s="187"/>
      <c r="H25" s="188"/>
      <c r="I25" s="1217"/>
      <c r="L25" s="1217"/>
    </row>
    <row r="26" spans="1:19" s="1192" customFormat="1" ht="18" customHeight="1" x14ac:dyDescent="0.35">
      <c r="A26" s="1149" t="s">
        <v>1040</v>
      </c>
      <c r="B26" s="1196"/>
      <c r="C26" s="1197"/>
      <c r="D26" s="1197">
        <v>250000</v>
      </c>
      <c r="E26" s="1194"/>
      <c r="F26" s="1198"/>
      <c r="G26" s="1195"/>
      <c r="H26" s="1195"/>
      <c r="I26" s="1193"/>
      <c r="L26" s="1193"/>
    </row>
    <row r="27" spans="1:19" s="1217" customFormat="1" ht="18" customHeight="1" x14ac:dyDescent="0.35">
      <c r="A27" s="1463" t="s">
        <v>389</v>
      </c>
      <c r="B27" s="1464"/>
      <c r="C27" s="1465"/>
      <c r="D27" s="599">
        <f>+D20+D21+D22+D23+D24+D25+D26</f>
        <v>1100312.5</v>
      </c>
      <c r="E27" s="553"/>
      <c r="F27" s="181"/>
      <c r="G27" s="181"/>
      <c r="H27" s="184"/>
      <c r="I27" s="771"/>
      <c r="K27" s="771"/>
      <c r="L27" s="771"/>
    </row>
    <row r="28" spans="1:19" s="1217" customFormat="1" ht="18" customHeight="1" x14ac:dyDescent="0.35">
      <c r="A28" s="825" t="s">
        <v>374</v>
      </c>
      <c r="B28" s="824" t="s">
        <v>63</v>
      </c>
      <c r="C28" s="823"/>
      <c r="D28" s="930">
        <v>-300000</v>
      </c>
      <c r="E28" s="553"/>
      <c r="F28" s="181"/>
      <c r="G28" s="181"/>
      <c r="H28" s="184"/>
      <c r="I28" s="771"/>
      <c r="K28" s="771"/>
      <c r="L28" s="771"/>
    </row>
    <row r="29" spans="1:19" s="1217" customFormat="1" ht="18" customHeight="1" x14ac:dyDescent="0.35">
      <c r="A29" s="825"/>
      <c r="B29" s="824"/>
      <c r="C29" s="823"/>
      <c r="D29" s="930"/>
      <c r="E29" s="1042"/>
      <c r="F29" s="181"/>
      <c r="G29" s="181"/>
      <c r="H29" s="184"/>
      <c r="I29" s="771"/>
      <c r="K29" s="771"/>
      <c r="L29" s="771"/>
    </row>
    <row r="30" spans="1:19" ht="18" customHeight="1" x14ac:dyDescent="0.35">
      <c r="A30" s="786" t="s">
        <v>11</v>
      </c>
      <c r="B30" s="783"/>
      <c r="C30" s="783"/>
      <c r="D30" s="784">
        <f>+D27+D28</f>
        <v>800312.5</v>
      </c>
      <c r="E30" s="553"/>
      <c r="F30" s="181"/>
      <c r="G30" s="181"/>
      <c r="H30" s="184"/>
    </row>
    <row r="31" spans="1:19" ht="18" customHeight="1" x14ac:dyDescent="0.35">
      <c r="A31" s="1047"/>
      <c r="B31" s="594"/>
      <c r="C31" s="594"/>
      <c r="D31" s="595"/>
      <c r="F31" s="181"/>
      <c r="G31" s="181"/>
      <c r="H31" s="184"/>
    </row>
    <row r="32" spans="1:19" ht="18" customHeight="1" x14ac:dyDescent="0.35">
      <c r="A32" s="594"/>
      <c r="B32" s="594"/>
      <c r="C32" s="594"/>
      <c r="D32" s="595"/>
      <c r="F32" s="181"/>
      <c r="G32" s="181"/>
      <c r="H32" s="184"/>
    </row>
    <row r="33" spans="1:19" ht="18" customHeight="1" x14ac:dyDescent="0.35">
      <c r="A33" s="1442" t="s">
        <v>1094</v>
      </c>
      <c r="B33" s="1443"/>
      <c r="C33" s="1443"/>
      <c r="D33" s="1444"/>
      <c r="F33" s="181"/>
      <c r="G33" s="181"/>
      <c r="H33" s="184"/>
    </row>
    <row r="34" spans="1:19" ht="18" customHeight="1" x14ac:dyDescent="0.35">
      <c r="A34" s="2"/>
      <c r="B34" s="270" t="s">
        <v>8</v>
      </c>
      <c r="C34" s="217" t="s">
        <v>4</v>
      </c>
      <c r="D34" s="597" t="s">
        <v>9</v>
      </c>
      <c r="F34" s="181"/>
      <c r="G34" s="181"/>
      <c r="H34" s="184"/>
    </row>
    <row r="35" spans="1:19" ht="18" customHeight="1" x14ac:dyDescent="0.35">
      <c r="A35" s="772" t="s">
        <v>253</v>
      </c>
      <c r="B35" s="258">
        <v>184</v>
      </c>
      <c r="C35" s="194">
        <v>4735</v>
      </c>
      <c r="D35" s="598">
        <f>+B35*C35</f>
        <v>871240</v>
      </c>
      <c r="E35" s="564"/>
      <c r="F35" s="181"/>
      <c r="G35" s="181"/>
      <c r="H35" s="184"/>
    </row>
    <row r="36" spans="1:19" ht="18" customHeight="1" x14ac:dyDescent="0.35">
      <c r="A36" s="772" t="s">
        <v>1110</v>
      </c>
      <c r="B36" s="258">
        <v>8</v>
      </c>
      <c r="C36" s="194">
        <f>+C35</f>
        <v>4735</v>
      </c>
      <c r="D36" s="598">
        <f>+B36*C36</f>
        <v>37880</v>
      </c>
      <c r="E36" s="564"/>
      <c r="F36" s="181"/>
      <c r="G36" s="181"/>
      <c r="H36" s="184"/>
    </row>
    <row r="37" spans="1:19" ht="15" customHeight="1" x14ac:dyDescent="0.35">
      <c r="A37" s="772" t="s">
        <v>196</v>
      </c>
      <c r="B37" s="258"/>
      <c r="C37" s="194">
        <v>50000</v>
      </c>
      <c r="D37" s="598">
        <f>+C37</f>
        <v>50000</v>
      </c>
      <c r="E37" s="564"/>
      <c r="F37" s="181"/>
      <c r="G37" s="181"/>
      <c r="H37" s="184"/>
      <c r="I37" s="1217"/>
    </row>
    <row r="38" spans="1:19" ht="15" customHeight="1" x14ac:dyDescent="0.35">
      <c r="A38" s="772" t="s">
        <v>6</v>
      </c>
      <c r="B38" s="258"/>
      <c r="C38" s="194">
        <v>100000</v>
      </c>
      <c r="D38" s="598">
        <f>+C38</f>
        <v>100000</v>
      </c>
      <c r="E38" s="564"/>
      <c r="F38" s="181"/>
      <c r="G38" s="181"/>
      <c r="H38" s="184"/>
      <c r="I38" s="1217"/>
    </row>
    <row r="39" spans="1:19" ht="15" customHeight="1" x14ac:dyDescent="0.35">
      <c r="A39" s="772" t="s">
        <v>1029</v>
      </c>
      <c r="B39" s="315">
        <v>2.5</v>
      </c>
      <c r="C39" s="194">
        <f>+C35*1.5</f>
        <v>7102.5</v>
      </c>
      <c r="D39" s="598">
        <f>+B39*C39</f>
        <v>17756.25</v>
      </c>
      <c r="F39" s="181"/>
      <c r="G39" s="181"/>
      <c r="H39" s="184"/>
      <c r="I39" s="1217"/>
    </row>
    <row r="40" spans="1:19" ht="15" customHeight="1" x14ac:dyDescent="0.35">
      <c r="A40" s="772" t="s">
        <v>449</v>
      </c>
      <c r="B40" s="315">
        <v>1</v>
      </c>
      <c r="C40" s="194">
        <f>+C35*2</f>
        <v>9470</v>
      </c>
      <c r="D40" s="598">
        <f>+B40*C40</f>
        <v>9470</v>
      </c>
      <c r="E40" s="553"/>
      <c r="F40" s="181"/>
      <c r="G40" s="416"/>
      <c r="H40" s="184"/>
      <c r="I40" s="1217"/>
    </row>
    <row r="41" spans="1:19" s="1192" customFormat="1" ht="15" customHeight="1" x14ac:dyDescent="0.35">
      <c r="A41" s="1200" t="s">
        <v>1040</v>
      </c>
      <c r="B41" s="1201"/>
      <c r="C41" s="1202"/>
      <c r="D41" s="1152">
        <v>500000</v>
      </c>
      <c r="E41" s="1199"/>
      <c r="F41" s="1198"/>
      <c r="G41" s="1203"/>
      <c r="H41" s="1198"/>
      <c r="I41" s="1193"/>
    </row>
    <row r="42" spans="1:19" ht="15" customHeight="1" x14ac:dyDescent="0.35">
      <c r="A42" s="1463" t="s">
        <v>389</v>
      </c>
      <c r="B42" s="1464"/>
      <c r="C42" s="1465"/>
      <c r="D42" s="599">
        <f>+D35+D36+D37+D38+D39+D40+D41</f>
        <v>1586346.25</v>
      </c>
      <c r="E42" s="553"/>
      <c r="F42" s="771">
        <f>1586346.25-250000</f>
        <v>1336346.25</v>
      </c>
      <c r="J42" s="176"/>
      <c r="K42" s="176"/>
      <c r="L42" s="176"/>
      <c r="M42" s="181"/>
      <c r="N42" s="181"/>
      <c r="O42" s="184"/>
      <c r="Q42" s="1217"/>
    </row>
    <row r="43" spans="1:19" s="1217" customFormat="1" ht="15" customHeight="1" x14ac:dyDescent="0.35">
      <c r="A43" s="921" t="s">
        <v>1095</v>
      </c>
      <c r="B43" s="727" t="s">
        <v>63</v>
      </c>
      <c r="C43" s="727" t="s">
        <v>63</v>
      </c>
      <c r="D43" s="722">
        <v>-428151.74</v>
      </c>
      <c r="E43" s="1043"/>
      <c r="F43" s="774"/>
      <c r="G43" s="771"/>
      <c r="H43" s="771"/>
      <c r="I43" s="771"/>
      <c r="J43" s="176"/>
      <c r="K43" s="176"/>
      <c r="L43" s="176"/>
      <c r="M43" s="176"/>
      <c r="N43" s="176"/>
      <c r="O43" s="176"/>
      <c r="P43" s="771"/>
      <c r="Q43" s="771"/>
      <c r="R43" s="771"/>
      <c r="S43" s="771"/>
    </row>
    <row r="44" spans="1:19" s="1207" customFormat="1" ht="15" customHeight="1" x14ac:dyDescent="0.35">
      <c r="A44" s="1204" t="s">
        <v>1085</v>
      </c>
      <c r="B44" s="1205"/>
      <c r="C44" s="1205"/>
      <c r="D44" s="722">
        <v>-250000</v>
      </c>
      <c r="E44" s="1043"/>
      <c r="F44" s="1069"/>
      <c r="G44" s="1069"/>
      <c r="H44" s="1069"/>
      <c r="I44" s="1069"/>
      <c r="J44" s="1206"/>
      <c r="K44" s="1206"/>
      <c r="L44" s="1206"/>
      <c r="M44" s="1206"/>
      <c r="N44" s="1206"/>
      <c r="O44" s="1206"/>
      <c r="P44" s="1069"/>
      <c r="Q44" s="1069"/>
      <c r="R44" s="1069"/>
      <c r="S44" s="1069"/>
    </row>
    <row r="45" spans="1:19" s="1217" customFormat="1" ht="15" customHeight="1" x14ac:dyDescent="0.35">
      <c r="A45" s="1103" t="s">
        <v>11</v>
      </c>
      <c r="B45" s="1104"/>
      <c r="C45" s="197"/>
      <c r="D45" s="675">
        <f>+D42+D43+D44</f>
        <v>908194.51</v>
      </c>
      <c r="E45" s="1025"/>
      <c r="F45" s="771"/>
      <c r="G45" s="771"/>
      <c r="H45" s="771"/>
      <c r="I45" s="771"/>
      <c r="J45" s="176"/>
      <c r="K45" s="176"/>
      <c r="L45" s="176"/>
      <c r="M45" s="176"/>
      <c r="N45" s="176"/>
      <c r="O45" s="176"/>
      <c r="P45" s="771"/>
      <c r="Q45" s="771"/>
      <c r="R45" s="771"/>
      <c r="S45" s="771"/>
    </row>
    <row r="46" spans="1:19" s="1217" customFormat="1" ht="15" customHeight="1" x14ac:dyDescent="0.35">
      <c r="A46" s="1164"/>
      <c r="B46" s="1165"/>
      <c r="C46" s="1163"/>
      <c r="D46" s="1090"/>
      <c r="E46" s="1025"/>
      <c r="F46" s="771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ht="15" customHeight="1" x14ac:dyDescent="0.35">
      <c r="A47" s="90"/>
      <c r="B47" s="771"/>
      <c r="C47" s="771"/>
      <c r="D47" s="771"/>
      <c r="K47" s="183"/>
      <c r="L47" s="183"/>
      <c r="M47" s="176"/>
      <c r="N47" s="176"/>
      <c r="O47" s="176"/>
      <c r="Q47" s="1217"/>
    </row>
    <row r="48" spans="1:19" ht="15" customHeight="1" x14ac:dyDescent="0.35">
      <c r="B48" s="771"/>
      <c r="C48" s="771"/>
      <c r="D48" s="774" t="s">
        <v>63</v>
      </c>
    </row>
    <row r="49" spans="1:19" ht="15" customHeight="1" x14ac:dyDescent="0.35">
      <c r="A49" s="1442" t="s">
        <v>1096</v>
      </c>
      <c r="B49" s="1443"/>
      <c r="C49" s="1443"/>
      <c r="D49" s="1444"/>
      <c r="S49" s="1217"/>
    </row>
    <row r="50" spans="1:19" x14ac:dyDescent="0.35">
      <c r="A50" s="2" t="s">
        <v>7</v>
      </c>
      <c r="B50" s="270" t="s">
        <v>8</v>
      </c>
      <c r="C50" s="217" t="s">
        <v>4</v>
      </c>
      <c r="D50" s="597" t="s">
        <v>9</v>
      </c>
    </row>
    <row r="51" spans="1:19" x14ac:dyDescent="0.35">
      <c r="A51" s="772" t="s">
        <v>253</v>
      </c>
      <c r="B51" s="258">
        <v>184</v>
      </c>
      <c r="C51" s="227">
        <v>3400</v>
      </c>
      <c r="D51" s="598">
        <f>+B51*C51</f>
        <v>625600</v>
      </c>
      <c r="E51" s="564"/>
    </row>
    <row r="52" spans="1:19" x14ac:dyDescent="0.35">
      <c r="A52" s="772" t="s">
        <v>394</v>
      </c>
      <c r="B52" s="258">
        <v>8</v>
      </c>
      <c r="C52" s="227">
        <f>+C51</f>
        <v>3400</v>
      </c>
      <c r="D52" s="598">
        <f>+B52*C52</f>
        <v>27200</v>
      </c>
      <c r="E52" s="564"/>
    </row>
    <row r="53" spans="1:19" x14ac:dyDescent="0.35">
      <c r="A53" s="772" t="s">
        <v>266</v>
      </c>
      <c r="B53" s="258"/>
      <c r="C53" s="227">
        <v>50000</v>
      </c>
      <c r="D53" s="598">
        <f>+C53</f>
        <v>50000</v>
      </c>
      <c r="E53" s="564"/>
    </row>
    <row r="54" spans="1:19" x14ac:dyDescent="0.35">
      <c r="A54" s="772" t="s">
        <v>6</v>
      </c>
      <c r="B54" s="258"/>
      <c r="C54" s="227">
        <v>100000</v>
      </c>
      <c r="D54" s="598">
        <f>+C54</f>
        <v>100000</v>
      </c>
      <c r="E54" s="564"/>
    </row>
    <row r="55" spans="1:19" x14ac:dyDescent="0.35">
      <c r="A55" s="772" t="s">
        <v>1030</v>
      </c>
      <c r="B55" s="258">
        <v>12</v>
      </c>
      <c r="C55" s="194">
        <f>+C51*1.5</f>
        <v>5100</v>
      </c>
      <c r="D55" s="598">
        <f>+B55*C55</f>
        <v>61200</v>
      </c>
      <c r="E55" s="564"/>
    </row>
    <row r="56" spans="1:19" x14ac:dyDescent="0.35">
      <c r="A56" s="772" t="s">
        <v>449</v>
      </c>
      <c r="B56" s="258"/>
      <c r="C56" s="194">
        <f>+C51*2</f>
        <v>6800</v>
      </c>
      <c r="D56" s="598">
        <f>+B56*C56</f>
        <v>0</v>
      </c>
    </row>
    <row r="57" spans="1:19" s="1192" customFormat="1" x14ac:dyDescent="0.35">
      <c r="A57" s="1200" t="s">
        <v>823</v>
      </c>
      <c r="B57" s="1208"/>
      <c r="C57" s="1202"/>
      <c r="D57" s="1152">
        <v>150000</v>
      </c>
      <c r="E57" s="1190"/>
    </row>
    <row r="58" spans="1:19" x14ac:dyDescent="0.35">
      <c r="A58" s="1463" t="s">
        <v>389</v>
      </c>
      <c r="B58" s="1464"/>
      <c r="C58" s="1465"/>
      <c r="D58" s="599">
        <f>+D51+D52+D53+D54+D55+D56+D57</f>
        <v>1014000</v>
      </c>
      <c r="E58" s="553"/>
      <c r="F58" s="774"/>
    </row>
    <row r="59" spans="1:19" x14ac:dyDescent="0.35">
      <c r="A59" s="921"/>
      <c r="B59" s="922"/>
      <c r="C59" s="720"/>
      <c r="D59" s="722"/>
      <c r="E59" s="553"/>
    </row>
    <row r="60" spans="1:19" x14ac:dyDescent="0.35">
      <c r="A60" s="672" t="s">
        <v>11</v>
      </c>
      <c r="B60" s="1209"/>
      <c r="C60" s="674"/>
      <c r="D60" s="675">
        <f>+D58+D59</f>
        <v>1014000</v>
      </c>
      <c r="E60" s="553"/>
    </row>
    <row r="61" spans="1:19" x14ac:dyDescent="0.35">
      <c r="B61" s="771"/>
      <c r="C61" s="771"/>
      <c r="D61" s="771"/>
    </row>
    <row r="63" spans="1:19" ht="14.5" customHeight="1" x14ac:dyDescent="0.35">
      <c r="A63" s="1442" t="s">
        <v>1097</v>
      </c>
      <c r="B63" s="1443"/>
      <c r="C63" s="1443"/>
      <c r="D63" s="1444"/>
    </row>
    <row r="64" spans="1:19" ht="14.5" customHeight="1" x14ac:dyDescent="0.35">
      <c r="A64" s="2" t="s">
        <v>7</v>
      </c>
      <c r="B64" s="270" t="s">
        <v>8</v>
      </c>
      <c r="C64" s="217" t="s">
        <v>4</v>
      </c>
      <c r="D64" s="597" t="s">
        <v>63</v>
      </c>
    </row>
    <row r="65" spans="1:6" ht="14.5" customHeight="1" x14ac:dyDescent="0.35">
      <c r="A65" s="772" t="s">
        <v>3</v>
      </c>
      <c r="B65" s="258">
        <v>166</v>
      </c>
      <c r="C65" s="227">
        <v>3147</v>
      </c>
      <c r="D65" s="598">
        <f>+B65*C65</f>
        <v>522402</v>
      </c>
      <c r="E65" s="564"/>
    </row>
    <row r="66" spans="1:6" ht="14.5" customHeight="1" x14ac:dyDescent="0.35">
      <c r="A66" s="772" t="s">
        <v>394</v>
      </c>
      <c r="B66" s="258">
        <v>8</v>
      </c>
      <c r="C66" s="227">
        <f>+C65</f>
        <v>3147</v>
      </c>
      <c r="D66" s="598">
        <f>+B66*C66</f>
        <v>25176</v>
      </c>
      <c r="E66" s="564"/>
    </row>
    <row r="67" spans="1:6" x14ac:dyDescent="0.35">
      <c r="A67" s="772" t="s">
        <v>266</v>
      </c>
      <c r="B67" s="258"/>
      <c r="C67" s="227"/>
      <c r="D67" s="598">
        <f>+C67</f>
        <v>0</v>
      </c>
    </row>
    <row r="68" spans="1:6" x14ac:dyDescent="0.35">
      <c r="A68" s="772" t="s">
        <v>6</v>
      </c>
      <c r="B68" s="258"/>
      <c r="C68" s="227">
        <v>100000</v>
      </c>
      <c r="D68" s="598">
        <v>100000</v>
      </c>
      <c r="E68" s="564"/>
    </row>
    <row r="69" spans="1:6" x14ac:dyDescent="0.35">
      <c r="A69" s="772" t="s">
        <v>1109</v>
      </c>
      <c r="B69" s="258">
        <v>16</v>
      </c>
      <c r="C69" s="227">
        <f>+C65</f>
        <v>3147</v>
      </c>
      <c r="D69" s="598">
        <f>+B69*C69</f>
        <v>50352</v>
      </c>
      <c r="E69" s="564"/>
    </row>
    <row r="70" spans="1:6" s="1069" customFormat="1" x14ac:dyDescent="0.35">
      <c r="A70" s="614" t="s">
        <v>270</v>
      </c>
      <c r="B70" s="617">
        <v>7.5</v>
      </c>
      <c r="C70" s="227">
        <f>+C65*1.5</f>
        <v>4720.5</v>
      </c>
      <c r="D70" s="598">
        <f>+B70*C70</f>
        <v>35403.75</v>
      </c>
      <c r="E70" s="564"/>
    </row>
    <row r="71" spans="1:6" x14ac:dyDescent="0.35">
      <c r="A71" s="772" t="s">
        <v>281</v>
      </c>
      <c r="B71" s="258"/>
      <c r="C71" s="227">
        <f>+C65*2</f>
        <v>6294</v>
      </c>
      <c r="D71" s="598">
        <f>+B71*C71</f>
        <v>0</v>
      </c>
    </row>
    <row r="72" spans="1:6" s="1192" customFormat="1" x14ac:dyDescent="0.35">
      <c r="A72" s="1200" t="s">
        <v>1040</v>
      </c>
      <c r="B72" s="1208"/>
      <c r="C72" s="1202"/>
      <c r="D72" s="1152">
        <v>130000</v>
      </c>
      <c r="E72" s="1190"/>
    </row>
    <row r="73" spans="1:6" x14ac:dyDescent="0.35">
      <c r="A73" s="1463" t="s">
        <v>389</v>
      </c>
      <c r="B73" s="1464"/>
      <c r="C73" s="1465"/>
      <c r="D73" s="599">
        <f>+D65+D66+D67+D68+D69+D70+D71+D72</f>
        <v>863333.75</v>
      </c>
      <c r="E73" s="553"/>
      <c r="F73" s="774"/>
    </row>
    <row r="74" spans="1:6" x14ac:dyDescent="0.35">
      <c r="A74" s="723" t="s">
        <v>1114</v>
      </c>
      <c r="B74" s="721"/>
      <c r="C74" s="721"/>
      <c r="D74" s="722">
        <v>-280000</v>
      </c>
      <c r="E74" s="553"/>
    </row>
    <row r="75" spans="1:6" x14ac:dyDescent="0.35">
      <c r="A75" s="723"/>
      <c r="B75" s="721"/>
      <c r="C75" s="721"/>
      <c r="D75" s="722"/>
      <c r="E75" s="553"/>
    </row>
    <row r="76" spans="1:6" ht="15.5" x14ac:dyDescent="0.35">
      <c r="A76" s="1460" t="s">
        <v>11</v>
      </c>
      <c r="B76" s="1461"/>
      <c r="C76" s="1462"/>
      <c r="D76" s="603">
        <f>+D73+D74+D75</f>
        <v>583333.75</v>
      </c>
      <c r="E76" s="553"/>
    </row>
    <row r="77" spans="1:6" s="90" customFormat="1" x14ac:dyDescent="0.35">
      <c r="A77" s="1035"/>
      <c r="B77" s="1042"/>
      <c r="C77" s="553"/>
      <c r="D77" s="1051"/>
      <c r="E77" s="1042"/>
    </row>
    <row r="79" spans="1:6" ht="23.5" x14ac:dyDescent="0.35">
      <c r="A79" s="1442" t="s">
        <v>1098</v>
      </c>
      <c r="B79" s="1443"/>
      <c r="C79" s="1443"/>
      <c r="D79" s="1444"/>
    </row>
    <row r="80" spans="1:6" x14ac:dyDescent="0.35">
      <c r="A80" s="2" t="s">
        <v>7</v>
      </c>
      <c r="B80" s="270" t="s">
        <v>388</v>
      </c>
      <c r="C80" s="217" t="s">
        <v>272</v>
      </c>
      <c r="D80" s="597" t="s">
        <v>9</v>
      </c>
    </row>
    <row r="81" spans="1:6" x14ac:dyDescent="0.35">
      <c r="A81" s="772" t="s">
        <v>3</v>
      </c>
      <c r="B81" s="258">
        <v>184</v>
      </c>
      <c r="C81" s="227">
        <v>3127</v>
      </c>
      <c r="D81" s="598">
        <f>+B81*C81</f>
        <v>575368</v>
      </c>
      <c r="E81" s="564"/>
    </row>
    <row r="82" spans="1:6" x14ac:dyDescent="0.35">
      <c r="A82" s="772" t="s">
        <v>394</v>
      </c>
      <c r="B82" s="258">
        <v>8</v>
      </c>
      <c r="C82" s="227">
        <f>+C81</f>
        <v>3127</v>
      </c>
      <c r="D82" s="598">
        <f>+B82*C82</f>
        <v>25016</v>
      </c>
      <c r="E82" s="564"/>
    </row>
    <row r="83" spans="1:6" x14ac:dyDescent="0.35">
      <c r="A83" s="772" t="s">
        <v>6</v>
      </c>
      <c r="B83" s="258"/>
      <c r="C83" s="227">
        <v>80000</v>
      </c>
      <c r="D83" s="598">
        <f>+C83</f>
        <v>80000</v>
      </c>
      <c r="E83" s="564"/>
    </row>
    <row r="84" spans="1:6" x14ac:dyDescent="0.35">
      <c r="A84" s="772" t="s">
        <v>200</v>
      </c>
      <c r="B84" s="258"/>
      <c r="C84" s="227">
        <v>50000</v>
      </c>
      <c r="D84" s="598">
        <f>+C84</f>
        <v>50000</v>
      </c>
      <c r="E84" s="564"/>
    </row>
    <row r="85" spans="1:6" x14ac:dyDescent="0.35">
      <c r="A85" s="772" t="s">
        <v>1032</v>
      </c>
      <c r="B85" s="258">
        <v>21</v>
      </c>
      <c r="C85" s="227">
        <f>+C81*1.5</f>
        <v>4690.5</v>
      </c>
      <c r="D85" s="811">
        <f>+B85*C85</f>
        <v>98500.5</v>
      </c>
      <c r="E85" s="564"/>
    </row>
    <row r="86" spans="1:6" x14ac:dyDescent="0.35">
      <c r="A86" s="772" t="s">
        <v>757</v>
      </c>
      <c r="B86" s="258"/>
      <c r="C86" s="227">
        <f>+C81*2</f>
        <v>6254</v>
      </c>
      <c r="D86" s="598">
        <f>+B86*C86</f>
        <v>0</v>
      </c>
    </row>
    <row r="87" spans="1:6" s="1192" customFormat="1" x14ac:dyDescent="0.35">
      <c r="A87" s="1149" t="s">
        <v>1033</v>
      </c>
      <c r="B87" s="1150"/>
      <c r="C87" s="1151"/>
      <c r="D87" s="1152">
        <v>300000</v>
      </c>
      <c r="E87" s="1190"/>
    </row>
    <row r="88" spans="1:6" x14ac:dyDescent="0.35">
      <c r="A88" s="1036" t="s">
        <v>389</v>
      </c>
      <c r="B88" s="681"/>
      <c r="C88" s="1037"/>
      <c r="D88" s="1038">
        <f>+D81+D82+D83+D84+D85+D86+D87</f>
        <v>1128884.5</v>
      </c>
      <c r="E88" s="553"/>
    </row>
    <row r="89" spans="1:6" x14ac:dyDescent="0.35">
      <c r="A89" s="772" t="s">
        <v>19</v>
      </c>
      <c r="B89" s="258"/>
      <c r="C89" s="227"/>
      <c r="D89" s="731">
        <v>-300000</v>
      </c>
      <c r="F89" s="774"/>
    </row>
    <row r="90" spans="1:6" x14ac:dyDescent="0.35">
      <c r="A90" s="772"/>
      <c r="B90" s="258"/>
      <c r="C90" s="227"/>
      <c r="D90" s="731"/>
    </row>
    <row r="91" spans="1:6" ht="15.5" x14ac:dyDescent="0.35">
      <c r="A91" s="1460" t="s">
        <v>11</v>
      </c>
      <c r="B91" s="1461"/>
      <c r="C91" s="1462"/>
      <c r="D91" s="603">
        <f>+D88+D89+D90</f>
        <v>828884.5</v>
      </c>
      <c r="E91" s="553"/>
    </row>
    <row r="92" spans="1:6" ht="15.5" x14ac:dyDescent="0.35">
      <c r="A92" s="723" t="s">
        <v>631</v>
      </c>
      <c r="B92" s="723"/>
      <c r="C92" s="723"/>
      <c r="D92" s="832">
        <v>-160000</v>
      </c>
      <c r="E92" s="553"/>
    </row>
    <row r="93" spans="1:6" ht="15.5" x14ac:dyDescent="0.35">
      <c r="A93" s="611" t="s">
        <v>1010</v>
      </c>
      <c r="B93" s="611"/>
      <c r="C93" s="611"/>
      <c r="D93" s="603">
        <f>+D91+D92</f>
        <v>668884.5</v>
      </c>
      <c r="E93" s="553"/>
    </row>
    <row r="94" spans="1:6" s="90" customFormat="1" x14ac:dyDescent="0.35">
      <c r="B94" s="1042"/>
      <c r="C94" s="553"/>
      <c r="D94" s="1051" t="s">
        <v>63</v>
      </c>
      <c r="E94" s="1042"/>
    </row>
    <row r="96" spans="1:6" ht="23.5" x14ac:dyDescent="0.35">
      <c r="A96" s="1431" t="s">
        <v>1099</v>
      </c>
      <c r="B96" s="1431"/>
      <c r="C96" s="1431"/>
      <c r="D96" s="1431"/>
    </row>
    <row r="97" spans="1:5" x14ac:dyDescent="0.35">
      <c r="A97" s="2" t="s">
        <v>7</v>
      </c>
      <c r="B97" s="270" t="s">
        <v>8</v>
      </c>
      <c r="C97" s="217" t="s">
        <v>4</v>
      </c>
      <c r="D97" s="597" t="s">
        <v>9</v>
      </c>
    </row>
    <row r="98" spans="1:5" x14ac:dyDescent="0.35">
      <c r="A98" s="772" t="s">
        <v>3</v>
      </c>
      <c r="B98" s="258">
        <v>184</v>
      </c>
      <c r="C98" s="227">
        <v>3147</v>
      </c>
      <c r="D98" s="598">
        <f>+B98*C98</f>
        <v>579048</v>
      </c>
      <c r="E98" s="564"/>
    </row>
    <row r="99" spans="1:5" x14ac:dyDescent="0.35">
      <c r="A99" s="772" t="s">
        <v>403</v>
      </c>
      <c r="B99" s="258">
        <v>8</v>
      </c>
      <c r="C99" s="227">
        <f>+C98</f>
        <v>3147</v>
      </c>
      <c r="D99" s="598">
        <f>+B99*C99</f>
        <v>25176</v>
      </c>
      <c r="E99" s="564"/>
    </row>
    <row r="100" spans="1:5" x14ac:dyDescent="0.35">
      <c r="A100" s="772" t="s">
        <v>200</v>
      </c>
      <c r="B100" s="258"/>
      <c r="C100" s="227">
        <v>50000</v>
      </c>
      <c r="D100" s="598">
        <f>+C100</f>
        <v>50000</v>
      </c>
      <c r="E100" s="564"/>
    </row>
    <row r="101" spans="1:5" x14ac:dyDescent="0.35">
      <c r="A101" s="772" t="s">
        <v>6</v>
      </c>
      <c r="B101" s="258"/>
      <c r="C101" s="194">
        <v>100000</v>
      </c>
      <c r="D101" s="598">
        <f>+C101</f>
        <v>100000</v>
      </c>
      <c r="E101" s="564"/>
    </row>
    <row r="102" spans="1:5" x14ac:dyDescent="0.35">
      <c r="A102" s="772" t="s">
        <v>1032</v>
      </c>
      <c r="B102" s="258">
        <v>0.5</v>
      </c>
      <c r="C102" s="194">
        <f>+C98*1.5</f>
        <v>4720.5</v>
      </c>
      <c r="D102" s="598">
        <f>+B102*C102</f>
        <v>2360.25</v>
      </c>
      <c r="E102" s="564"/>
    </row>
    <row r="103" spans="1:5" x14ac:dyDescent="0.35">
      <c r="A103" s="772" t="s">
        <v>281</v>
      </c>
      <c r="B103" s="258"/>
      <c r="C103" s="194">
        <f>+C98*2</f>
        <v>6294</v>
      </c>
      <c r="D103" s="598">
        <f>+B103*C103</f>
        <v>0</v>
      </c>
    </row>
    <row r="104" spans="1:5" s="90" customFormat="1" x14ac:dyDescent="0.35">
      <c r="A104" s="141" t="s">
        <v>1033</v>
      </c>
      <c r="B104" s="274"/>
      <c r="C104" s="195"/>
      <c r="D104" s="1017">
        <v>130000</v>
      </c>
      <c r="E104" s="1042"/>
    </row>
    <row r="105" spans="1:5" x14ac:dyDescent="0.35">
      <c r="A105" s="1463" t="s">
        <v>389</v>
      </c>
      <c r="B105" s="1464"/>
      <c r="C105" s="1465"/>
      <c r="D105" s="599">
        <f>+D98+D99+D100+D101+D102+D103+D104</f>
        <v>886584.25</v>
      </c>
      <c r="E105" s="553"/>
    </row>
    <row r="106" spans="1:5" x14ac:dyDescent="0.35">
      <c r="A106" s="724" t="s">
        <v>374</v>
      </c>
      <c r="B106" s="729"/>
      <c r="C106" s="730"/>
      <c r="D106" s="731">
        <v>-150000</v>
      </c>
      <c r="E106" s="553"/>
    </row>
    <row r="107" spans="1:5" x14ac:dyDescent="0.35">
      <c r="A107" s="724"/>
      <c r="B107" s="729"/>
      <c r="C107" s="730"/>
      <c r="D107" s="731"/>
      <c r="E107" s="553"/>
    </row>
    <row r="108" spans="1:5" s="997" customFormat="1" ht="15.5" x14ac:dyDescent="0.35">
      <c r="A108" s="992" t="s">
        <v>11</v>
      </c>
      <c r="B108" s="1181"/>
      <c r="C108" s="994"/>
      <c r="D108" s="995">
        <f>+D105+D106+D107</f>
        <v>736584.25</v>
      </c>
      <c r="E108" s="1046"/>
    </row>
    <row r="109" spans="1:5" s="90" customFormat="1" x14ac:dyDescent="0.35">
      <c r="B109" s="1042"/>
      <c r="C109" s="553"/>
      <c r="D109" s="1051"/>
      <c r="E109" s="1042"/>
    </row>
    <row r="111" spans="1:5" ht="23.5" x14ac:dyDescent="0.35">
      <c r="A111" s="1442" t="s">
        <v>1100</v>
      </c>
      <c r="B111" s="1443"/>
      <c r="C111" s="1443"/>
      <c r="D111" s="1444"/>
    </row>
    <row r="112" spans="1:5" x14ac:dyDescent="0.35">
      <c r="A112" s="2" t="s">
        <v>7</v>
      </c>
      <c r="B112" s="270" t="s">
        <v>388</v>
      </c>
      <c r="C112" s="217" t="s">
        <v>629</v>
      </c>
      <c r="D112" s="597" t="s">
        <v>9</v>
      </c>
    </row>
    <row r="113" spans="1:5" x14ac:dyDescent="0.35">
      <c r="A113" s="772" t="s">
        <v>3</v>
      </c>
      <c r="B113" s="258">
        <v>175</v>
      </c>
      <c r="C113" s="194">
        <v>4230</v>
      </c>
      <c r="D113" s="598">
        <f>+B113*C113</f>
        <v>740250</v>
      </c>
    </row>
    <row r="114" spans="1:5" x14ac:dyDescent="0.35">
      <c r="A114" s="772" t="s">
        <v>394</v>
      </c>
      <c r="B114" s="258">
        <v>8</v>
      </c>
      <c r="C114" s="194">
        <f>+C113</f>
        <v>4230</v>
      </c>
      <c r="D114" s="609">
        <f>+B114*C114</f>
        <v>33840</v>
      </c>
    </row>
    <row r="115" spans="1:5" x14ac:dyDescent="0.35">
      <c r="A115" s="772" t="s">
        <v>556</v>
      </c>
      <c r="B115" s="258"/>
      <c r="C115" s="194">
        <v>50000</v>
      </c>
      <c r="D115" s="609">
        <f>+C115</f>
        <v>50000</v>
      </c>
    </row>
    <row r="116" spans="1:5" x14ac:dyDescent="0.35">
      <c r="A116" s="772" t="s">
        <v>6</v>
      </c>
      <c r="B116" s="258"/>
      <c r="C116" s="194">
        <v>100000</v>
      </c>
      <c r="D116" s="609">
        <f>+C116</f>
        <v>100000</v>
      </c>
    </row>
    <row r="117" spans="1:5" x14ac:dyDescent="0.35">
      <c r="A117" s="772" t="s">
        <v>1111</v>
      </c>
      <c r="B117" s="258">
        <v>8</v>
      </c>
      <c r="C117" s="194">
        <f>+C113</f>
        <v>4230</v>
      </c>
      <c r="D117" s="609">
        <f>+B117*C117</f>
        <v>33840</v>
      </c>
    </row>
    <row r="118" spans="1:5" x14ac:dyDescent="0.35">
      <c r="A118" s="614" t="s">
        <v>628</v>
      </c>
      <c r="B118" s="617">
        <v>1.5</v>
      </c>
      <c r="C118" s="227">
        <f>+C113*1.5</f>
        <v>6345</v>
      </c>
      <c r="D118" s="609">
        <f>+B118*C118</f>
        <v>9517.5</v>
      </c>
    </row>
    <row r="119" spans="1:5" x14ac:dyDescent="0.35">
      <c r="A119" s="614" t="s">
        <v>823</v>
      </c>
      <c r="B119" s="617"/>
      <c r="C119" s="227"/>
      <c r="D119" s="609">
        <v>120000</v>
      </c>
    </row>
    <row r="120" spans="1:5" x14ac:dyDescent="0.35">
      <c r="A120" s="614"/>
      <c r="B120" s="617"/>
      <c r="C120" s="227"/>
      <c r="D120" s="609"/>
    </row>
    <row r="121" spans="1:5" s="90" customFormat="1" x14ac:dyDescent="0.35">
      <c r="A121" s="1071" t="s">
        <v>389</v>
      </c>
      <c r="B121" s="1074"/>
      <c r="C121" s="1172"/>
      <c r="D121" s="1173">
        <f>+D113+D114+D115+D116+D117+D118+D119+D120</f>
        <v>1087447.5</v>
      </c>
      <c r="E121" s="1042"/>
    </row>
    <row r="122" spans="1:5" x14ac:dyDescent="0.35">
      <c r="A122" s="614" t="s">
        <v>1112</v>
      </c>
      <c r="B122" s="617"/>
      <c r="C122" s="227"/>
      <c r="D122" s="609">
        <v>57100</v>
      </c>
    </row>
    <row r="123" spans="1:5" x14ac:dyDescent="0.35">
      <c r="A123" s="614" t="s">
        <v>1113</v>
      </c>
      <c r="B123" s="617"/>
      <c r="C123" s="227"/>
      <c r="D123" s="609">
        <v>32300</v>
      </c>
    </row>
    <row r="124" spans="1:5" ht="15.5" x14ac:dyDescent="0.35">
      <c r="A124" s="1059" t="s">
        <v>11</v>
      </c>
      <c r="B124" s="1060"/>
      <c r="C124" s="1061"/>
      <c r="D124" s="1167">
        <f>+D121+D122+D123</f>
        <v>1176847.5</v>
      </c>
    </row>
    <row r="127" spans="1:5" ht="23.5" x14ac:dyDescent="0.35">
      <c r="A127" s="1442" t="s">
        <v>1101</v>
      </c>
      <c r="B127" s="1443"/>
      <c r="C127" s="1443"/>
      <c r="D127" s="1444"/>
    </row>
    <row r="128" spans="1:5" x14ac:dyDescent="0.35">
      <c r="A128" s="2" t="s">
        <v>7</v>
      </c>
      <c r="B128" s="270" t="s">
        <v>8</v>
      </c>
      <c r="C128" s="217" t="s">
        <v>4</v>
      </c>
      <c r="D128" s="597" t="s">
        <v>9</v>
      </c>
    </row>
    <row r="129" spans="1:19" x14ac:dyDescent="0.35">
      <c r="A129" s="772" t="s">
        <v>3</v>
      </c>
      <c r="B129" s="258">
        <v>149</v>
      </c>
      <c r="C129" s="194">
        <v>4230</v>
      </c>
      <c r="D129" s="598">
        <f>+B129*C129</f>
        <v>630270</v>
      </c>
      <c r="E129" s="553"/>
    </row>
    <row r="130" spans="1:19" x14ac:dyDescent="0.35">
      <c r="A130" s="772" t="s">
        <v>394</v>
      </c>
      <c r="B130" s="258">
        <v>8</v>
      </c>
      <c r="C130" s="194">
        <f>+C129</f>
        <v>4230</v>
      </c>
      <c r="D130" s="609">
        <f>+B130*C130</f>
        <v>33840</v>
      </c>
    </row>
    <row r="131" spans="1:19" x14ac:dyDescent="0.35">
      <c r="A131" s="772" t="s">
        <v>6</v>
      </c>
      <c r="B131" s="258"/>
      <c r="C131" s="194">
        <v>100000</v>
      </c>
      <c r="D131" s="609">
        <f>+C131</f>
        <v>100000</v>
      </c>
    </row>
    <row r="132" spans="1:19" x14ac:dyDescent="0.35">
      <c r="A132" s="614" t="s">
        <v>556</v>
      </c>
      <c r="B132" s="617"/>
      <c r="C132" s="227">
        <v>50000</v>
      </c>
      <c r="D132" s="609">
        <f>+C132</f>
        <v>50000</v>
      </c>
    </row>
    <row r="133" spans="1:19" x14ac:dyDescent="0.35">
      <c r="A133" s="614" t="s">
        <v>1035</v>
      </c>
      <c r="B133" s="617">
        <v>1.5</v>
      </c>
      <c r="C133" s="227">
        <f>+C129*1.5</f>
        <v>6345</v>
      </c>
      <c r="D133" s="609">
        <f>+B133*C133</f>
        <v>9517.5</v>
      </c>
    </row>
    <row r="134" spans="1:19" s="1192" customFormat="1" x14ac:dyDescent="0.35">
      <c r="A134" s="1149" t="s">
        <v>823</v>
      </c>
      <c r="B134" s="1150"/>
      <c r="C134" s="1151">
        <v>120000</v>
      </c>
      <c r="D134" s="1210">
        <f>+C134</f>
        <v>120000</v>
      </c>
      <c r="E134" s="1199"/>
    </row>
    <row r="135" spans="1:19" x14ac:dyDescent="0.35">
      <c r="A135" s="614"/>
      <c r="B135" s="617"/>
      <c r="C135" s="227"/>
      <c r="D135" s="609"/>
    </row>
    <row r="136" spans="1:19" x14ac:dyDescent="0.35">
      <c r="A136" s="882" t="s">
        <v>389</v>
      </c>
      <c r="B136" s="883"/>
      <c r="C136" s="884"/>
      <c r="D136" s="1058">
        <f>+D129+D130+D131+D132+D133+D134</f>
        <v>943627.5</v>
      </c>
      <c r="E136" s="553"/>
    </row>
    <row r="137" spans="1:19" x14ac:dyDescent="0.35">
      <c r="A137" s="724" t="s">
        <v>50</v>
      </c>
      <c r="B137" s="729"/>
      <c r="C137" s="729"/>
      <c r="D137" s="731">
        <v>-250000</v>
      </c>
    </row>
    <row r="138" spans="1:19" x14ac:dyDescent="0.35">
      <c r="A138" s="1071" t="s">
        <v>11</v>
      </c>
      <c r="B138" s="1074"/>
      <c r="C138" s="1074"/>
      <c r="D138" s="1075">
        <f>+D136+D137</f>
        <v>693627.5</v>
      </c>
    </row>
    <row r="142" spans="1:19" s="1042" customFormat="1" ht="23.5" x14ac:dyDescent="0.35">
      <c r="A142" s="1442" t="s">
        <v>1102</v>
      </c>
      <c r="B142" s="1443"/>
      <c r="C142" s="1443"/>
      <c r="D142" s="1444"/>
      <c r="F142" s="771"/>
      <c r="G142" s="771"/>
      <c r="H142" s="771"/>
      <c r="I142" s="771"/>
      <c r="J142" s="771"/>
      <c r="K142" s="771"/>
      <c r="L142" s="771"/>
      <c r="M142" s="771"/>
      <c r="N142" s="771"/>
      <c r="O142" s="771"/>
      <c r="P142" s="771"/>
      <c r="Q142" s="771"/>
      <c r="R142" s="771"/>
      <c r="S142" s="771"/>
    </row>
    <row r="143" spans="1:19" s="1042" customFormat="1" x14ac:dyDescent="0.35">
      <c r="A143" s="2" t="s">
        <v>7</v>
      </c>
      <c r="B143" s="270" t="s">
        <v>388</v>
      </c>
      <c r="C143" s="217" t="s">
        <v>1037</v>
      </c>
      <c r="D143" s="597" t="s">
        <v>9</v>
      </c>
      <c r="F143" s="771"/>
      <c r="G143" s="771"/>
      <c r="H143" s="771"/>
      <c r="I143" s="771"/>
      <c r="J143" s="771"/>
      <c r="K143" s="771"/>
      <c r="L143" s="771"/>
      <c r="M143" s="771"/>
      <c r="N143" s="771"/>
      <c r="O143" s="771"/>
      <c r="P143" s="771"/>
      <c r="Q143" s="771"/>
      <c r="R143" s="771"/>
      <c r="S143" s="771"/>
    </row>
    <row r="144" spans="1:19" s="1042" customFormat="1" x14ac:dyDescent="0.35">
      <c r="A144" s="772" t="s">
        <v>3</v>
      </c>
      <c r="B144" s="258">
        <v>184</v>
      </c>
      <c r="C144" s="194">
        <v>3400</v>
      </c>
      <c r="D144" s="598">
        <f>+B144*C144</f>
        <v>625600</v>
      </c>
      <c r="F144" s="771"/>
      <c r="G144" s="771"/>
      <c r="H144" s="771"/>
      <c r="I144" s="771"/>
      <c r="J144" s="771"/>
      <c r="K144" s="771"/>
      <c r="L144" s="771"/>
      <c r="M144" s="771"/>
      <c r="N144" s="771"/>
      <c r="O144" s="771"/>
      <c r="P144" s="771"/>
      <c r="Q144" s="771"/>
      <c r="R144" s="771"/>
      <c r="S144" s="771"/>
    </row>
    <row r="145" spans="1:19" s="1042" customFormat="1" x14ac:dyDescent="0.35">
      <c r="A145" s="772" t="s">
        <v>394</v>
      </c>
      <c r="B145" s="258">
        <v>8</v>
      </c>
      <c r="C145" s="194">
        <f>+C144</f>
        <v>3400</v>
      </c>
      <c r="D145" s="609">
        <f>+B145*C145</f>
        <v>27200</v>
      </c>
      <c r="F145" s="771"/>
      <c r="G145" s="771"/>
      <c r="H145" s="771"/>
      <c r="I145" s="771"/>
      <c r="J145" s="771"/>
      <c r="K145" s="771"/>
      <c r="L145" s="771"/>
      <c r="M145" s="771"/>
      <c r="N145" s="771"/>
      <c r="O145" s="771"/>
      <c r="P145" s="771"/>
      <c r="Q145" s="771"/>
      <c r="R145" s="771"/>
      <c r="S145" s="771"/>
    </row>
    <row r="146" spans="1:19" s="1042" customFormat="1" x14ac:dyDescent="0.35">
      <c r="A146" s="772" t="s">
        <v>200</v>
      </c>
      <c r="B146" s="258"/>
      <c r="C146" s="194">
        <v>50000</v>
      </c>
      <c r="D146" s="609">
        <f>+C146</f>
        <v>50000</v>
      </c>
      <c r="F146" s="771"/>
      <c r="G146" s="771"/>
      <c r="H146" s="771"/>
      <c r="I146" s="771"/>
      <c r="J146" s="771"/>
      <c r="K146" s="771"/>
      <c r="L146" s="771"/>
      <c r="M146" s="771"/>
      <c r="N146" s="771"/>
      <c r="O146" s="771"/>
      <c r="P146" s="771"/>
      <c r="Q146" s="771"/>
      <c r="R146" s="771"/>
      <c r="S146" s="771"/>
    </row>
    <row r="147" spans="1:19" s="1042" customFormat="1" x14ac:dyDescent="0.35">
      <c r="A147" s="614" t="s">
        <v>6</v>
      </c>
      <c r="B147" s="617"/>
      <c r="C147" s="227">
        <v>100000</v>
      </c>
      <c r="D147" s="609">
        <f>+C147</f>
        <v>100000</v>
      </c>
      <c r="F147" s="771"/>
      <c r="G147" s="771"/>
      <c r="H147" s="771"/>
      <c r="I147" s="771"/>
      <c r="J147" s="771"/>
      <c r="K147" s="771"/>
      <c r="L147" s="771"/>
      <c r="M147" s="771"/>
      <c r="N147" s="771"/>
      <c r="O147" s="771"/>
      <c r="P147" s="771"/>
      <c r="Q147" s="771"/>
      <c r="R147" s="771"/>
      <c r="S147" s="771"/>
    </row>
    <row r="148" spans="1:19" s="1042" customFormat="1" x14ac:dyDescent="0.35">
      <c r="A148" s="614" t="s">
        <v>1035</v>
      </c>
      <c r="B148" s="617">
        <v>12</v>
      </c>
      <c r="C148" s="227">
        <f>+C144*1.5</f>
        <v>5100</v>
      </c>
      <c r="D148" s="609">
        <f>+B148*C148</f>
        <v>61200</v>
      </c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</row>
    <row r="149" spans="1:19" s="1042" customFormat="1" x14ac:dyDescent="0.35">
      <c r="A149" s="614" t="s">
        <v>1036</v>
      </c>
      <c r="B149" s="617"/>
      <c r="C149" s="227"/>
      <c r="D149" s="609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190" customFormat="1" x14ac:dyDescent="0.35">
      <c r="A150" s="1149" t="s">
        <v>823</v>
      </c>
      <c r="B150" s="1150"/>
      <c r="C150" s="1151"/>
      <c r="D150" s="1210">
        <v>80000</v>
      </c>
      <c r="F150" s="1192"/>
      <c r="G150" s="1192"/>
      <c r="H150" s="1192"/>
      <c r="I150" s="1192"/>
      <c r="J150" s="1192"/>
      <c r="K150" s="1192"/>
      <c r="L150" s="1192"/>
      <c r="M150" s="1192"/>
      <c r="N150" s="1192"/>
      <c r="O150" s="1192"/>
      <c r="P150" s="1192"/>
      <c r="Q150" s="1192"/>
      <c r="R150" s="1192"/>
      <c r="S150" s="1192"/>
    </row>
    <row r="151" spans="1:19" s="1042" customFormat="1" x14ac:dyDescent="0.35">
      <c r="A151" s="882" t="s">
        <v>389</v>
      </c>
      <c r="B151" s="883"/>
      <c r="C151" s="884"/>
      <c r="D151" s="1058">
        <f>+D144+D145+D146+D147+D148+D149+D150</f>
        <v>944000</v>
      </c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1211"/>
      <c r="B152" s="1212"/>
      <c r="C152" s="1213"/>
      <c r="D152" s="1214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24"/>
      <c r="B153" s="729"/>
      <c r="C153" s="729"/>
      <c r="D153" s="731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1071" t="s">
        <v>11</v>
      </c>
      <c r="B154" s="1074"/>
      <c r="C154" s="1074"/>
      <c r="D154" s="1075">
        <f>+D151+D152+D153</f>
        <v>944000</v>
      </c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8" spans="1:19" ht="23.5" x14ac:dyDescent="0.35">
      <c r="A158" s="1442" t="s">
        <v>1103</v>
      </c>
      <c r="B158" s="1443"/>
      <c r="C158" s="1443"/>
      <c r="D158" s="1444"/>
    </row>
    <row r="159" spans="1:19" x14ac:dyDescent="0.35">
      <c r="A159" s="2" t="s">
        <v>7</v>
      </c>
      <c r="B159" s="270" t="s">
        <v>425</v>
      </c>
      <c r="C159" s="217" t="s">
        <v>272</v>
      </c>
      <c r="D159" s="597" t="s">
        <v>9</v>
      </c>
    </row>
    <row r="160" spans="1:19" x14ac:dyDescent="0.35">
      <c r="A160" s="772" t="s">
        <v>3</v>
      </c>
      <c r="B160" s="258">
        <v>131</v>
      </c>
      <c r="C160" s="194">
        <v>2622.13</v>
      </c>
      <c r="D160" s="598">
        <f>+B160*C160</f>
        <v>343499.03</v>
      </c>
    </row>
    <row r="161" spans="1:5" x14ac:dyDescent="0.35">
      <c r="A161" s="772" t="s">
        <v>394</v>
      </c>
      <c r="B161" s="258">
        <v>8</v>
      </c>
      <c r="C161" s="194">
        <f>+C160</f>
        <v>2622.13</v>
      </c>
      <c r="D161" s="609">
        <f>+B161*C161</f>
        <v>20977.040000000001</v>
      </c>
    </row>
    <row r="162" spans="1:5" x14ac:dyDescent="0.35">
      <c r="A162" s="772" t="s">
        <v>200</v>
      </c>
      <c r="B162" s="258"/>
      <c r="C162" s="194">
        <v>50000</v>
      </c>
      <c r="D162" s="609">
        <f>+C162*0</f>
        <v>0</v>
      </c>
    </row>
    <row r="163" spans="1:5" x14ac:dyDescent="0.35">
      <c r="A163" s="614" t="s">
        <v>6</v>
      </c>
      <c r="B163" s="617"/>
      <c r="C163" s="227">
        <f>+B163</f>
        <v>0</v>
      </c>
      <c r="D163" s="609">
        <f>+C163</f>
        <v>0</v>
      </c>
    </row>
    <row r="164" spans="1:5" x14ac:dyDescent="0.35">
      <c r="A164" s="614" t="s">
        <v>1035</v>
      </c>
      <c r="B164" s="617">
        <v>12</v>
      </c>
      <c r="C164" s="227">
        <f>+C160*1.5</f>
        <v>3933.1950000000002</v>
      </c>
      <c r="D164" s="609">
        <f>+B164*C164</f>
        <v>47198.340000000004</v>
      </c>
    </row>
    <row r="165" spans="1:5" x14ac:dyDescent="0.35">
      <c r="A165" s="614" t="s">
        <v>1036</v>
      </c>
      <c r="B165" s="617"/>
      <c r="C165" s="227">
        <f>+C160*2</f>
        <v>5244.26</v>
      </c>
      <c r="D165" s="609">
        <f>+B165*C165</f>
        <v>0</v>
      </c>
    </row>
    <row r="166" spans="1:5" s="1192" customFormat="1" x14ac:dyDescent="0.35">
      <c r="A166" s="1149" t="s">
        <v>823</v>
      </c>
      <c r="B166" s="1150"/>
      <c r="C166" s="1151"/>
      <c r="D166" s="1210">
        <v>60000</v>
      </c>
      <c r="E166" s="1190"/>
    </row>
    <row r="167" spans="1:5" x14ac:dyDescent="0.35">
      <c r="A167" s="882" t="s">
        <v>389</v>
      </c>
      <c r="B167" s="883"/>
      <c r="C167" s="884"/>
      <c r="D167" s="1058">
        <f>+D160+D161+D162+D163+D164+D165+D166</f>
        <v>471674.41000000003</v>
      </c>
    </row>
    <row r="168" spans="1:5" s="1070" customFormat="1" x14ac:dyDescent="0.35">
      <c r="A168" s="739" t="s">
        <v>19</v>
      </c>
      <c r="B168" s="1215"/>
      <c r="C168" s="1216"/>
      <c r="D168" s="736">
        <v>-50000</v>
      </c>
      <c r="E168" s="1073"/>
    </row>
    <row r="169" spans="1:5" x14ac:dyDescent="0.35">
      <c r="A169" s="724"/>
      <c r="B169" s="729"/>
      <c r="C169" s="729"/>
      <c r="D169" s="731"/>
    </row>
    <row r="170" spans="1:5" x14ac:dyDescent="0.35">
      <c r="A170" s="1071" t="s">
        <v>11</v>
      </c>
      <c r="B170" s="1074"/>
      <c r="C170" s="1074"/>
      <c r="D170" s="1075">
        <f>+D167+D168+D169</f>
        <v>421674.41000000003</v>
      </c>
    </row>
    <row r="173" spans="1:5" ht="23.5" x14ac:dyDescent="0.35">
      <c r="A173" s="1442" t="s">
        <v>1104</v>
      </c>
      <c r="B173" s="1443"/>
      <c r="C173" s="1443"/>
      <c r="D173" s="1444"/>
    </row>
    <row r="174" spans="1:5" x14ac:dyDescent="0.35">
      <c r="A174" s="2"/>
      <c r="B174" s="270"/>
      <c r="C174" s="217"/>
      <c r="D174" s="597"/>
    </row>
    <row r="175" spans="1:5" x14ac:dyDescent="0.35">
      <c r="A175" s="772" t="s">
        <v>3</v>
      </c>
      <c r="B175" s="258">
        <v>184</v>
      </c>
      <c r="C175" s="194">
        <v>3400</v>
      </c>
      <c r="D175" s="598">
        <f>+B175*C175</f>
        <v>625600</v>
      </c>
    </row>
    <row r="176" spans="1:5" x14ac:dyDescent="0.35">
      <c r="A176" s="772" t="s">
        <v>394</v>
      </c>
      <c r="B176" s="258">
        <v>8</v>
      </c>
      <c r="C176" s="194">
        <f>+C175</f>
        <v>3400</v>
      </c>
      <c r="D176" s="609">
        <f>+B176*C176</f>
        <v>27200</v>
      </c>
    </row>
    <row r="177" spans="1:4" x14ac:dyDescent="0.35">
      <c r="A177" s="772" t="s">
        <v>556</v>
      </c>
      <c r="B177" s="258"/>
      <c r="C177" s="194">
        <v>50000</v>
      </c>
      <c r="D177" s="609">
        <f>+C177/2</f>
        <v>25000</v>
      </c>
    </row>
    <row r="178" spans="1:4" x14ac:dyDescent="0.35">
      <c r="A178" s="614" t="s">
        <v>6</v>
      </c>
      <c r="B178" s="617"/>
      <c r="C178" s="227"/>
      <c r="D178" s="609"/>
    </row>
    <row r="179" spans="1:4" x14ac:dyDescent="0.35">
      <c r="A179" s="614" t="s">
        <v>1035</v>
      </c>
      <c r="B179" s="617">
        <v>3.1</v>
      </c>
      <c r="C179" s="227">
        <f>+C175*1.5</f>
        <v>5100</v>
      </c>
      <c r="D179" s="609">
        <f>+B179*C179</f>
        <v>15810</v>
      </c>
    </row>
    <row r="180" spans="1:4" x14ac:dyDescent="0.35">
      <c r="A180" s="614" t="s">
        <v>1036</v>
      </c>
      <c r="B180" s="617"/>
      <c r="C180" s="227"/>
      <c r="D180" s="609"/>
    </row>
    <row r="181" spans="1:4" x14ac:dyDescent="0.35">
      <c r="A181" s="614" t="s">
        <v>823</v>
      </c>
      <c r="B181" s="617"/>
      <c r="C181" s="227"/>
      <c r="D181" s="609">
        <v>100000</v>
      </c>
    </row>
    <row r="182" spans="1:4" x14ac:dyDescent="0.35">
      <c r="A182" s="882" t="s">
        <v>389</v>
      </c>
      <c r="B182" s="883"/>
      <c r="C182" s="884"/>
      <c r="D182" s="1058">
        <f>+D175+D176+D177+D178+D179+D180+D181</f>
        <v>793610</v>
      </c>
    </row>
    <row r="183" spans="1:4" x14ac:dyDescent="0.35">
      <c r="A183" s="1211" t="s">
        <v>19</v>
      </c>
      <c r="B183" s="1212"/>
      <c r="C183" s="1213"/>
      <c r="D183" s="736">
        <v>-250000</v>
      </c>
    </row>
    <row r="184" spans="1:4" x14ac:dyDescent="0.35">
      <c r="A184" s="724"/>
      <c r="B184" s="729"/>
      <c r="C184" s="729"/>
      <c r="D184" s="731"/>
    </row>
    <row r="185" spans="1:4" x14ac:dyDescent="0.35">
      <c r="A185" s="1071" t="s">
        <v>11</v>
      </c>
      <c r="B185" s="1074"/>
      <c r="C185" s="1074"/>
      <c r="D185" s="1075">
        <f>+D182+D183+D184</f>
        <v>543610</v>
      </c>
    </row>
    <row r="189" spans="1:4" ht="23.5" x14ac:dyDescent="0.35">
      <c r="A189" s="1442" t="s">
        <v>1105</v>
      </c>
      <c r="B189" s="1443"/>
      <c r="C189" s="1443"/>
      <c r="D189" s="1444"/>
    </row>
    <row r="190" spans="1:4" x14ac:dyDescent="0.35">
      <c r="A190" s="2"/>
      <c r="B190" s="270"/>
      <c r="C190" s="217"/>
      <c r="D190" s="597"/>
    </row>
    <row r="191" spans="1:4" x14ac:dyDescent="0.35">
      <c r="A191" s="772" t="s">
        <v>3</v>
      </c>
      <c r="B191" s="258">
        <v>132</v>
      </c>
      <c r="C191" s="194">
        <v>3400</v>
      </c>
      <c r="D191" s="598">
        <f>+B191*C191</f>
        <v>448800</v>
      </c>
    </row>
    <row r="192" spans="1:4" x14ac:dyDescent="0.35">
      <c r="A192" s="772" t="s">
        <v>111</v>
      </c>
      <c r="B192" s="258"/>
      <c r="C192" s="194"/>
      <c r="D192" s="609"/>
    </row>
    <row r="193" spans="1:4" x14ac:dyDescent="0.35">
      <c r="A193" s="772" t="s">
        <v>877</v>
      </c>
      <c r="B193" s="258"/>
      <c r="C193" s="194">
        <v>50000</v>
      </c>
      <c r="D193" s="609">
        <v>37500</v>
      </c>
    </row>
    <row r="194" spans="1:4" x14ac:dyDescent="0.35">
      <c r="A194" s="614" t="s">
        <v>1115</v>
      </c>
      <c r="B194" s="617"/>
      <c r="C194" s="227">
        <v>100000</v>
      </c>
      <c r="D194" s="609">
        <v>75000</v>
      </c>
    </row>
    <row r="195" spans="1:4" x14ac:dyDescent="0.35">
      <c r="A195" s="614" t="s">
        <v>1035</v>
      </c>
      <c r="B195" s="617"/>
      <c r="C195" s="227"/>
      <c r="D195" s="609"/>
    </row>
    <row r="196" spans="1:4" x14ac:dyDescent="0.35">
      <c r="A196" s="614" t="s">
        <v>1036</v>
      </c>
      <c r="B196" s="617"/>
      <c r="C196" s="227"/>
      <c r="D196" s="609"/>
    </row>
    <row r="197" spans="1:4" x14ac:dyDescent="0.35">
      <c r="A197" s="614" t="s">
        <v>823</v>
      </c>
      <c r="B197" s="617"/>
      <c r="C197" s="227"/>
      <c r="D197" s="609"/>
    </row>
    <row r="198" spans="1:4" x14ac:dyDescent="0.35">
      <c r="A198" s="882" t="s">
        <v>389</v>
      </c>
      <c r="B198" s="883"/>
      <c r="C198" s="884"/>
      <c r="D198" s="1058">
        <f>+D191+D192+D193+D194+D195+D196+D197</f>
        <v>561300</v>
      </c>
    </row>
    <row r="199" spans="1:4" x14ac:dyDescent="0.35">
      <c r="A199" s="1211"/>
      <c r="B199" s="1212"/>
      <c r="C199" s="1213"/>
      <c r="D199" s="1214"/>
    </row>
    <row r="200" spans="1:4" x14ac:dyDescent="0.35">
      <c r="A200" s="724"/>
      <c r="B200" s="729"/>
      <c r="C200" s="729"/>
      <c r="D200" s="731"/>
    </row>
    <row r="201" spans="1:4" x14ac:dyDescent="0.35">
      <c r="A201" s="1071" t="s">
        <v>11</v>
      </c>
      <c r="B201" s="1074"/>
      <c r="C201" s="1074"/>
      <c r="D201" s="1075">
        <f>+D198+D199+D200</f>
        <v>561300</v>
      </c>
    </row>
  </sheetData>
  <mergeCells count="22">
    <mergeCell ref="A142:D142"/>
    <mergeCell ref="A158:D158"/>
    <mergeCell ref="A173:D173"/>
    <mergeCell ref="A189:D189"/>
    <mergeCell ref="A79:D79"/>
    <mergeCell ref="A91:C91"/>
    <mergeCell ref="A96:D96"/>
    <mergeCell ref="A105:C105"/>
    <mergeCell ref="A111:D111"/>
    <mergeCell ref="A127:D127"/>
    <mergeCell ref="A76:C76"/>
    <mergeCell ref="A3:D3"/>
    <mergeCell ref="A12:C12"/>
    <mergeCell ref="A15:C15"/>
    <mergeCell ref="A18:D18"/>
    <mergeCell ref="A27:C27"/>
    <mergeCell ref="A33:D33"/>
    <mergeCell ref="A42:C42"/>
    <mergeCell ref="A49:D49"/>
    <mergeCell ref="A58:C58"/>
    <mergeCell ref="A63:D63"/>
    <mergeCell ref="A73:C73"/>
  </mergeCells>
  <pageMargins left="0.31496062992125984" right="0.11811023622047245" top="0" bottom="0" header="0.31496062992125984" footer="0.31496062992125984"/>
  <pageSetup paperSize="9" scale="25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8248-92B1-4E5F-A13F-C01F1FBC9B7D}">
  <sheetPr>
    <pageSetUpPr fitToPage="1"/>
  </sheetPr>
  <dimension ref="A1:S213"/>
  <sheetViews>
    <sheetView topLeftCell="A175" zoomScaleNormal="100" workbookViewId="0">
      <selection activeCell="F184" sqref="F184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45809</v>
      </c>
    </row>
    <row r="3" spans="1:18" ht="25.5" customHeight="1" x14ac:dyDescent="0.35">
      <c r="A3" s="1466" t="s">
        <v>1118</v>
      </c>
      <c r="B3" s="1431"/>
      <c r="C3" s="1431"/>
      <c r="D3" s="1431"/>
    </row>
    <row r="4" spans="1:18" s="1218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v>168</v>
      </c>
      <c r="C5" s="227">
        <v>4133</v>
      </c>
      <c r="D5" s="598">
        <f>+B5*C5</f>
        <v>694344</v>
      </c>
      <c r="E5" s="553" t="s">
        <v>1153</v>
      </c>
      <c r="Q5" s="1218"/>
    </row>
    <row r="6" spans="1:18" ht="18" customHeight="1" x14ac:dyDescent="0.35">
      <c r="A6" s="772" t="s">
        <v>379</v>
      </c>
      <c r="B6" s="258">
        <v>16</v>
      </c>
      <c r="C6" s="227">
        <f>+C5</f>
        <v>4133</v>
      </c>
      <c r="D6" s="598">
        <f>+B6*C6</f>
        <v>66128</v>
      </c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f>+C7</f>
        <v>50000</v>
      </c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F8" s="176"/>
    </row>
    <row r="9" spans="1:18" ht="18" customHeight="1" x14ac:dyDescent="0.35">
      <c r="A9" s="772" t="s">
        <v>467</v>
      </c>
      <c r="B9" s="258"/>
      <c r="C9" s="194">
        <f>+C5*1.5</f>
        <v>6199.5</v>
      </c>
      <c r="D9" s="598">
        <f>+B9*C9</f>
        <v>0</v>
      </c>
      <c r="F9" s="176"/>
    </row>
    <row r="10" spans="1:18" ht="18" customHeight="1" x14ac:dyDescent="0.35">
      <c r="A10" s="772" t="s">
        <v>281</v>
      </c>
      <c r="B10" s="258"/>
      <c r="C10" s="194">
        <f>+C5*2</f>
        <v>8266</v>
      </c>
      <c r="D10" s="598">
        <f>+B10*C10</f>
        <v>0</v>
      </c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>
        <v>250000</v>
      </c>
      <c r="E11" s="1199"/>
      <c r="F11" s="1191"/>
      <c r="R11" s="1193"/>
    </row>
    <row r="12" spans="1:18" s="1192" customFormat="1" ht="18" customHeight="1" x14ac:dyDescent="0.35">
      <c r="A12" s="1149" t="s">
        <v>1119</v>
      </c>
      <c r="B12" s="1150"/>
      <c r="C12" s="1151"/>
      <c r="D12" s="1152">
        <f>1162600/2</f>
        <v>581300</v>
      </c>
      <c r="E12" s="1199"/>
      <c r="F12" s="1191"/>
      <c r="R12" s="1193"/>
    </row>
    <row r="13" spans="1:18" ht="18" customHeight="1" x14ac:dyDescent="0.35">
      <c r="A13" s="1470" t="s">
        <v>389</v>
      </c>
      <c r="B13" s="1470"/>
      <c r="C13" s="1470"/>
      <c r="D13" s="599">
        <f>+D5+D6+D7+D8+D9+D10+D11+D12</f>
        <v>1741772</v>
      </c>
      <c r="F13" s="248"/>
      <c r="G13" s="248"/>
      <c r="H13" s="248"/>
      <c r="I13" s="248"/>
      <c r="J13" s="248"/>
      <c r="K13" s="248"/>
      <c r="L13" s="248"/>
      <c r="M13" s="248"/>
      <c r="O13" s="1218"/>
    </row>
    <row r="14" spans="1:18" ht="18" customHeight="1" x14ac:dyDescent="0.35">
      <c r="A14" s="800" t="s">
        <v>1122</v>
      </c>
      <c r="B14" s="720"/>
      <c r="C14" s="720"/>
      <c r="D14" s="722">
        <v>-420613</v>
      </c>
      <c r="F14" s="248"/>
      <c r="G14" s="248"/>
      <c r="H14" s="248"/>
      <c r="I14" s="248"/>
      <c r="J14" s="248"/>
      <c r="K14" s="248"/>
      <c r="L14" s="248"/>
      <c r="M14" s="248"/>
      <c r="O14" s="1218"/>
    </row>
    <row r="15" spans="1:18" ht="18" customHeight="1" x14ac:dyDescent="0.35">
      <c r="A15" s="1141" t="s">
        <v>1123</v>
      </c>
      <c r="B15" s="721"/>
      <c r="C15" s="905"/>
      <c r="D15" s="722">
        <v>-201556</v>
      </c>
      <c r="F15" s="248"/>
      <c r="G15" s="248"/>
      <c r="H15" s="248"/>
      <c r="I15" s="248"/>
      <c r="J15" s="248"/>
      <c r="K15" s="248"/>
      <c r="L15" s="248"/>
      <c r="M15" s="248"/>
      <c r="O15" s="1218"/>
    </row>
    <row r="16" spans="1:18" ht="18" customHeight="1" x14ac:dyDescent="0.35">
      <c r="A16" s="1433" t="s">
        <v>11</v>
      </c>
      <c r="B16" s="1433"/>
      <c r="C16" s="1433"/>
      <c r="D16" s="603">
        <f>+D13+D14+D15</f>
        <v>1119603</v>
      </c>
      <c r="F16" s="321"/>
      <c r="G16" s="321"/>
      <c r="H16" s="473"/>
      <c r="I16" s="321"/>
      <c r="J16" s="321"/>
      <c r="Q16" s="1218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218"/>
    </row>
    <row r="18" spans="1:19" s="908" customFormat="1" ht="18" customHeight="1" x14ac:dyDescent="0.35">
      <c r="A18" s="689"/>
      <c r="B18" s="689"/>
      <c r="C18" s="689"/>
      <c r="D18" s="688"/>
      <c r="E18" s="768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1120</v>
      </c>
      <c r="B19" s="1451"/>
      <c r="C19" s="1451"/>
      <c r="D19" s="1452"/>
      <c r="E19" s="796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>
        <v>168</v>
      </c>
      <c r="C21" s="211">
        <v>4133</v>
      </c>
      <c r="D21" s="211">
        <f>+B21*C21</f>
        <v>694344</v>
      </c>
      <c r="E21" s="553" t="s">
        <v>710</v>
      </c>
      <c r="J21" s="182"/>
    </row>
    <row r="22" spans="1:19" ht="18" customHeight="1" x14ac:dyDescent="0.35">
      <c r="A22" s="607" t="s">
        <v>369</v>
      </c>
      <c r="B22" s="267">
        <v>16</v>
      </c>
      <c r="C22" s="211">
        <f>+C21</f>
        <v>4133</v>
      </c>
      <c r="D22" s="211">
        <f>+B22*C22</f>
        <v>66128</v>
      </c>
      <c r="J22" s="182"/>
    </row>
    <row r="23" spans="1:19" ht="18" customHeight="1" x14ac:dyDescent="0.35">
      <c r="A23" s="772" t="s">
        <v>196</v>
      </c>
      <c r="B23" s="267"/>
      <c r="C23" s="211">
        <v>50000</v>
      </c>
      <c r="D23" s="211">
        <f>+C23</f>
        <v>50000</v>
      </c>
      <c r="I23" s="1218"/>
    </row>
    <row r="24" spans="1:19" ht="18" customHeight="1" x14ac:dyDescent="0.35">
      <c r="A24" s="772" t="s">
        <v>6</v>
      </c>
      <c r="B24" s="267"/>
      <c r="C24" s="211">
        <v>100000</v>
      </c>
      <c r="D24" s="211">
        <f>+C24</f>
        <v>100000</v>
      </c>
      <c r="I24" s="1218"/>
    </row>
    <row r="25" spans="1:19" ht="18" customHeight="1" x14ac:dyDescent="0.35">
      <c r="A25" s="772" t="s">
        <v>1028</v>
      </c>
      <c r="B25" s="267">
        <v>4.5</v>
      </c>
      <c r="C25" s="211">
        <f>+C21*1.5</f>
        <v>6199.5</v>
      </c>
      <c r="D25" s="211">
        <f>B25*C25</f>
        <v>27897.75</v>
      </c>
      <c r="E25" s="1025"/>
      <c r="F25" s="181"/>
      <c r="G25" s="187"/>
      <c r="H25" s="188"/>
      <c r="I25" s="1218"/>
      <c r="L25" s="1218"/>
    </row>
    <row r="26" spans="1:19" ht="18" customHeight="1" x14ac:dyDescent="0.35">
      <c r="A26" s="772" t="s">
        <v>281</v>
      </c>
      <c r="B26" s="267"/>
      <c r="C26" s="211">
        <f>+C21*2</f>
        <v>8266</v>
      </c>
      <c r="D26" s="211">
        <f>+B26*C26</f>
        <v>0</v>
      </c>
      <c r="E26" s="1025"/>
      <c r="F26" s="181"/>
      <c r="G26" s="187"/>
      <c r="H26" s="188"/>
      <c r="I26" s="1218"/>
      <c r="L26" s="1218"/>
    </row>
    <row r="27" spans="1:19" s="1192" customFormat="1" ht="18" customHeight="1" x14ac:dyDescent="0.35">
      <c r="A27" s="1149" t="s">
        <v>1040</v>
      </c>
      <c r="B27" s="1196"/>
      <c r="C27" s="1197"/>
      <c r="D27" s="1197">
        <v>250000</v>
      </c>
      <c r="E27" s="1233"/>
      <c r="F27" s="1198"/>
      <c r="G27" s="1195"/>
      <c r="H27" s="1195"/>
      <c r="I27" s="1193"/>
      <c r="L27" s="1193"/>
    </row>
    <row r="28" spans="1:19" s="1192" customFormat="1" ht="18" customHeight="1" x14ac:dyDescent="0.35">
      <c r="A28" s="1200" t="s">
        <v>1121</v>
      </c>
      <c r="B28" s="1220"/>
      <c r="C28" s="1221"/>
      <c r="D28" s="1197">
        <f>1189000/2</f>
        <v>594500</v>
      </c>
      <c r="E28" s="1233"/>
      <c r="F28" s="1198"/>
      <c r="G28" s="1195"/>
      <c r="H28" s="1195"/>
      <c r="I28" s="1193"/>
      <c r="L28" s="1193"/>
    </row>
    <row r="29" spans="1:19" s="1218" customFormat="1" ht="18" customHeight="1" x14ac:dyDescent="0.35">
      <c r="A29" s="1463" t="s">
        <v>389</v>
      </c>
      <c r="B29" s="1464"/>
      <c r="C29" s="1465"/>
      <c r="D29" s="599">
        <f>+D21+D22+D23+D24+D25+D26+D27+D28</f>
        <v>1782869.75</v>
      </c>
      <c r="E29" s="553"/>
      <c r="F29" s="181"/>
      <c r="G29" s="181"/>
      <c r="H29" s="184"/>
      <c r="I29" s="771"/>
      <c r="K29" s="771"/>
      <c r="L29" s="771"/>
    </row>
    <row r="30" spans="1:19" s="1218" customFormat="1" ht="18" customHeight="1" x14ac:dyDescent="0.35">
      <c r="A30" s="825" t="s">
        <v>1124</v>
      </c>
      <c r="B30" s="824" t="s">
        <v>1151</v>
      </c>
      <c r="C30" s="823"/>
      <c r="D30" s="930">
        <v>-400000</v>
      </c>
      <c r="E30" s="553"/>
      <c r="F30" s="181"/>
      <c r="G30" s="181"/>
      <c r="H30" s="184"/>
      <c r="I30" s="771"/>
      <c r="K30" s="771"/>
      <c r="L30" s="771"/>
    </row>
    <row r="31" spans="1:19" s="1218" customFormat="1" ht="18" customHeight="1" x14ac:dyDescent="0.35">
      <c r="A31" s="825"/>
      <c r="B31" s="824"/>
      <c r="C31" s="823"/>
      <c r="D31" s="930"/>
      <c r="E31" s="553"/>
      <c r="F31" s="181"/>
      <c r="G31" s="181"/>
      <c r="H31" s="184"/>
      <c r="I31" s="771"/>
      <c r="K31" s="771"/>
      <c r="L31" s="771"/>
    </row>
    <row r="32" spans="1:19" ht="18" customHeight="1" x14ac:dyDescent="0.35">
      <c r="A32" s="786" t="s">
        <v>11</v>
      </c>
      <c r="B32" s="783"/>
      <c r="C32" s="783"/>
      <c r="D32" s="784">
        <f>+D29+D30</f>
        <v>1382869.75</v>
      </c>
      <c r="F32" s="181"/>
      <c r="G32" s="181"/>
      <c r="H32" s="184"/>
    </row>
    <row r="33" spans="1:19" ht="18" customHeight="1" x14ac:dyDescent="0.35">
      <c r="A33" s="1047"/>
      <c r="B33" s="594"/>
      <c r="C33" s="594"/>
      <c r="D33" s="595"/>
      <c r="F33" s="181"/>
      <c r="G33" s="181"/>
      <c r="H33" s="184"/>
    </row>
    <row r="34" spans="1:19" ht="18" customHeight="1" x14ac:dyDescent="0.35">
      <c r="A34" s="594"/>
      <c r="B34" s="594"/>
      <c r="C34" s="594"/>
      <c r="D34" s="595"/>
      <c r="F34" s="181"/>
      <c r="G34" s="181"/>
      <c r="H34" s="184"/>
    </row>
    <row r="35" spans="1:19" ht="18" customHeight="1" x14ac:dyDescent="0.35">
      <c r="A35" s="1431" t="s">
        <v>1125</v>
      </c>
      <c r="B35" s="1431"/>
      <c r="C35" s="1431"/>
      <c r="D35" s="1431"/>
      <c r="F35" s="181"/>
      <c r="G35" s="181"/>
      <c r="H35" s="184"/>
    </row>
    <row r="36" spans="1:19" ht="18" customHeight="1" x14ac:dyDescent="0.35">
      <c r="A36" s="2"/>
      <c r="B36" s="270" t="s">
        <v>8</v>
      </c>
      <c r="C36" s="217" t="s">
        <v>4</v>
      </c>
      <c r="D36" s="597" t="s">
        <v>9</v>
      </c>
      <c r="F36" s="181"/>
      <c r="G36" s="181"/>
      <c r="H36" s="184"/>
    </row>
    <row r="37" spans="1:19" ht="18" customHeight="1" x14ac:dyDescent="0.35">
      <c r="A37" s="772" t="s">
        <v>253</v>
      </c>
      <c r="B37" s="258">
        <v>168</v>
      </c>
      <c r="C37" s="194">
        <v>4972</v>
      </c>
      <c r="D37" s="598">
        <f>+B37*C37</f>
        <v>835296</v>
      </c>
      <c r="E37" s="553" t="s">
        <v>1153</v>
      </c>
      <c r="F37" s="181"/>
      <c r="G37" s="181"/>
      <c r="H37" s="184"/>
    </row>
    <row r="38" spans="1:19" ht="18" customHeight="1" x14ac:dyDescent="0.35">
      <c r="A38" s="772" t="s">
        <v>369</v>
      </c>
      <c r="B38" s="258">
        <v>16</v>
      </c>
      <c r="C38" s="194">
        <f>+C37</f>
        <v>4972</v>
      </c>
      <c r="D38" s="598">
        <f>+B38*C38</f>
        <v>79552</v>
      </c>
      <c r="F38" s="181"/>
      <c r="G38" s="181"/>
      <c r="H38" s="184"/>
    </row>
    <row r="39" spans="1:19" ht="15" customHeight="1" x14ac:dyDescent="0.35">
      <c r="A39" s="772" t="s">
        <v>196</v>
      </c>
      <c r="B39" s="258"/>
      <c r="C39" s="194">
        <v>50000</v>
      </c>
      <c r="D39" s="598">
        <f>+C39</f>
        <v>50000</v>
      </c>
      <c r="F39" s="181"/>
      <c r="G39" s="181"/>
      <c r="H39" s="184"/>
      <c r="I39" s="1218"/>
    </row>
    <row r="40" spans="1:19" ht="15" customHeight="1" x14ac:dyDescent="0.35">
      <c r="A40" s="772" t="s">
        <v>6</v>
      </c>
      <c r="B40" s="258"/>
      <c r="C40" s="194">
        <v>100000</v>
      </c>
      <c r="D40" s="598">
        <f>+C40</f>
        <v>100000</v>
      </c>
      <c r="F40" s="181"/>
      <c r="G40" s="181"/>
      <c r="H40" s="184"/>
      <c r="I40" s="1218"/>
    </row>
    <row r="41" spans="1:19" ht="15" customHeight="1" x14ac:dyDescent="0.35">
      <c r="A41" s="772" t="s">
        <v>1029</v>
      </c>
      <c r="B41" s="315">
        <v>0.5</v>
      </c>
      <c r="C41" s="194">
        <f>+C37*1.5</f>
        <v>7458</v>
      </c>
      <c r="D41" s="598">
        <f>+B41*C41</f>
        <v>3729</v>
      </c>
      <c r="F41" s="181"/>
      <c r="G41" s="181"/>
      <c r="H41" s="184"/>
      <c r="I41" s="1218"/>
    </row>
    <row r="42" spans="1:19" ht="15" customHeight="1" x14ac:dyDescent="0.35">
      <c r="A42" s="772" t="s">
        <v>449</v>
      </c>
      <c r="B42" s="315"/>
      <c r="C42" s="194">
        <f>+C37*2</f>
        <v>9944</v>
      </c>
      <c r="D42" s="598">
        <f>+B42*C42</f>
        <v>0</v>
      </c>
      <c r="F42" s="181"/>
      <c r="G42" s="416"/>
      <c r="H42" s="184"/>
      <c r="I42" s="1218"/>
    </row>
    <row r="43" spans="1:19" s="1192" customFormat="1" ht="15" customHeight="1" x14ac:dyDescent="0.35">
      <c r="A43" s="1149" t="s">
        <v>1040</v>
      </c>
      <c r="B43" s="1232"/>
      <c r="C43" s="1151"/>
      <c r="D43" s="1152">
        <v>250000</v>
      </c>
      <c r="E43" s="1199"/>
      <c r="F43" s="1198"/>
      <c r="G43" s="1203"/>
      <c r="H43" s="1198"/>
      <c r="I43" s="1193"/>
    </row>
    <row r="44" spans="1:19" s="1192" customFormat="1" ht="15" customHeight="1" x14ac:dyDescent="0.35">
      <c r="A44" s="1149" t="s">
        <v>1126</v>
      </c>
      <c r="B44" s="1232"/>
      <c r="C44" s="1151"/>
      <c r="D44" s="1152">
        <f>1349400/2</f>
        <v>674700</v>
      </c>
      <c r="E44" s="1199"/>
      <c r="F44" s="1198"/>
      <c r="G44" s="1203"/>
      <c r="H44" s="1198"/>
      <c r="I44" s="1193"/>
    </row>
    <row r="45" spans="1:19" ht="15" customHeight="1" x14ac:dyDescent="0.35">
      <c r="A45" s="1459" t="s">
        <v>389</v>
      </c>
      <c r="B45" s="1459"/>
      <c r="C45" s="1459"/>
      <c r="D45" s="599">
        <f>+D37+D38+D39+D40+D41+D42+D43+D44</f>
        <v>1993277</v>
      </c>
      <c r="J45" s="176"/>
      <c r="K45" s="176"/>
      <c r="L45" s="176"/>
      <c r="M45" s="181"/>
      <c r="N45" s="181"/>
      <c r="O45" s="184"/>
      <c r="Q45" s="1218"/>
    </row>
    <row r="46" spans="1:19" s="1218" customFormat="1" ht="15" customHeight="1" x14ac:dyDescent="0.35">
      <c r="A46" s="921" t="s">
        <v>1127</v>
      </c>
      <c r="B46" s="727" t="s">
        <v>63</v>
      </c>
      <c r="C46" s="727" t="s">
        <v>63</v>
      </c>
      <c r="D46" s="722">
        <v>-428151</v>
      </c>
      <c r="E46" s="1025"/>
      <c r="F46" s="774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219" customFormat="1" ht="15" customHeight="1" x14ac:dyDescent="0.35">
      <c r="A47" s="921" t="s">
        <v>1128</v>
      </c>
      <c r="B47" s="727"/>
      <c r="C47" s="727"/>
      <c r="D47" s="722">
        <v>-205325</v>
      </c>
      <c r="E47" s="1025"/>
      <c r="F47" s="774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s="1218" customFormat="1" ht="15" customHeight="1" x14ac:dyDescent="0.35">
      <c r="A48" s="1103" t="s">
        <v>11</v>
      </c>
      <c r="B48" s="1104"/>
      <c r="C48" s="1231" t="s">
        <v>1152</v>
      </c>
      <c r="D48" s="675">
        <f>+D45+D46+D47</f>
        <v>1359801</v>
      </c>
      <c r="E48" s="1025"/>
      <c r="F48" s="771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218" customFormat="1" ht="15" customHeight="1" x14ac:dyDescent="0.35">
      <c r="A49" s="1224" t="s">
        <v>1149</v>
      </c>
      <c r="B49" s="1225"/>
      <c r="C49" s="1226"/>
      <c r="D49" s="844">
        <v>250000</v>
      </c>
      <c r="E49" s="1025"/>
      <c r="F49" s="771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ht="15" customHeight="1" x14ac:dyDescent="0.35">
      <c r="A50" s="1229" t="s">
        <v>1150</v>
      </c>
      <c r="B50" s="1149"/>
      <c r="C50" s="1149"/>
      <c r="D50" s="1230">
        <f>+D48+D49</f>
        <v>1609801</v>
      </c>
      <c r="K50" s="183"/>
      <c r="L50" s="183"/>
      <c r="M50" s="176"/>
      <c r="N50" s="176"/>
      <c r="O50" s="176"/>
      <c r="Q50" s="1218"/>
    </row>
    <row r="51" spans="1:19" ht="15" customHeight="1" x14ac:dyDescent="0.35">
      <c r="A51" s="1145"/>
      <c r="B51" s="1227"/>
      <c r="C51" s="1227"/>
      <c r="D51" s="1228"/>
      <c r="K51" s="183"/>
      <c r="L51" s="183"/>
      <c r="M51" s="176"/>
      <c r="N51" s="176"/>
      <c r="O51" s="176"/>
      <c r="Q51" s="1222"/>
    </row>
    <row r="52" spans="1:19" ht="15" customHeight="1" x14ac:dyDescent="0.35">
      <c r="A52" s="1442" t="s">
        <v>1129</v>
      </c>
      <c r="B52" s="1443"/>
      <c r="C52" s="1443"/>
      <c r="D52" s="1444"/>
      <c r="S52" s="1218"/>
    </row>
    <row r="53" spans="1:19" x14ac:dyDescent="0.35">
      <c r="A53" s="2" t="s">
        <v>7</v>
      </c>
      <c r="B53" s="270" t="s">
        <v>8</v>
      </c>
      <c r="C53" s="217" t="s">
        <v>4</v>
      </c>
      <c r="D53" s="597" t="s">
        <v>9</v>
      </c>
    </row>
    <row r="54" spans="1:19" x14ac:dyDescent="0.35">
      <c r="A54" s="772" t="s">
        <v>253</v>
      </c>
      <c r="B54" s="258">
        <v>168</v>
      </c>
      <c r="C54" s="227">
        <v>3570</v>
      </c>
      <c r="D54" s="598">
        <f>+B54*C54</f>
        <v>599760</v>
      </c>
      <c r="E54" s="553" t="s">
        <v>1153</v>
      </c>
    </row>
    <row r="55" spans="1:19" x14ac:dyDescent="0.35">
      <c r="A55" s="772" t="s">
        <v>369</v>
      </c>
      <c r="B55" s="258">
        <v>16</v>
      </c>
      <c r="C55" s="227">
        <f>+C54</f>
        <v>3570</v>
      </c>
      <c r="D55" s="598">
        <f>+B55*C55</f>
        <v>57120</v>
      </c>
    </row>
    <row r="56" spans="1:19" x14ac:dyDescent="0.35">
      <c r="A56" s="772" t="s">
        <v>266</v>
      </c>
      <c r="B56" s="258"/>
      <c r="C56" s="227">
        <v>50000</v>
      </c>
      <c r="D56" s="598">
        <f>+C56</f>
        <v>50000</v>
      </c>
    </row>
    <row r="57" spans="1:19" x14ac:dyDescent="0.35">
      <c r="A57" s="772" t="s">
        <v>6</v>
      </c>
      <c r="B57" s="258"/>
      <c r="C57" s="227">
        <v>100000</v>
      </c>
      <c r="D57" s="598">
        <f>+C57</f>
        <v>100000</v>
      </c>
    </row>
    <row r="58" spans="1:19" x14ac:dyDescent="0.35">
      <c r="A58" s="772" t="s">
        <v>1030</v>
      </c>
      <c r="B58" s="258">
        <v>5.5</v>
      </c>
      <c r="C58" s="194">
        <f>+C54*1.5</f>
        <v>5355</v>
      </c>
      <c r="D58" s="598">
        <f>+B58*C58</f>
        <v>29452.5</v>
      </c>
    </row>
    <row r="59" spans="1:19" x14ac:dyDescent="0.35">
      <c r="A59" s="772" t="s">
        <v>449</v>
      </c>
      <c r="B59" s="258"/>
      <c r="C59" s="194">
        <f>+C54*2</f>
        <v>7140</v>
      </c>
      <c r="D59" s="598">
        <f>+B59*C59</f>
        <v>0</v>
      </c>
    </row>
    <row r="60" spans="1:19" s="1192" customFormat="1" x14ac:dyDescent="0.35">
      <c r="A60" s="1200" t="s">
        <v>823</v>
      </c>
      <c r="B60" s="1208"/>
      <c r="C60" s="1202"/>
      <c r="D60" s="1152">
        <v>150000</v>
      </c>
      <c r="E60" s="1199"/>
    </row>
    <row r="61" spans="1:19" s="1192" customFormat="1" x14ac:dyDescent="0.35">
      <c r="A61" s="1200" t="s">
        <v>1130</v>
      </c>
      <c r="B61" s="1208"/>
      <c r="C61" s="1202"/>
      <c r="D61" s="1152">
        <f>1014000/2</f>
        <v>507000</v>
      </c>
      <c r="E61" s="1199"/>
    </row>
    <row r="62" spans="1:19" x14ac:dyDescent="0.35">
      <c r="A62" s="1463" t="s">
        <v>389</v>
      </c>
      <c r="B62" s="1464"/>
      <c r="C62" s="1465"/>
      <c r="D62" s="599">
        <f>+D54+D55+D56+D57+D58+D59+D60+D61</f>
        <v>1493332.5</v>
      </c>
      <c r="F62" s="774"/>
    </row>
    <row r="63" spans="1:19" x14ac:dyDescent="0.35">
      <c r="A63" s="904" t="s">
        <v>19</v>
      </c>
      <c r="B63" s="922"/>
      <c r="C63" s="720"/>
      <c r="D63" s="722">
        <v>-100000</v>
      </c>
    </row>
    <row r="64" spans="1:19" x14ac:dyDescent="0.35">
      <c r="A64" s="672" t="s">
        <v>11</v>
      </c>
      <c r="B64" s="1209"/>
      <c r="C64" s="674"/>
      <c r="D64" s="675">
        <f>+D62+D63</f>
        <v>1393332.5</v>
      </c>
    </row>
    <row r="65" spans="1:6" x14ac:dyDescent="0.35">
      <c r="B65" s="771"/>
      <c r="C65" s="771"/>
      <c r="D65" s="771"/>
    </row>
    <row r="67" spans="1:6" ht="14.5" customHeight="1" x14ac:dyDescent="0.35">
      <c r="A67" s="1442" t="s">
        <v>1131</v>
      </c>
      <c r="B67" s="1443"/>
      <c r="C67" s="1443"/>
      <c r="D67" s="1444"/>
    </row>
    <row r="68" spans="1:6" ht="14.5" customHeight="1" x14ac:dyDescent="0.35">
      <c r="A68" s="2" t="s">
        <v>7</v>
      </c>
      <c r="B68" s="270" t="s">
        <v>8</v>
      </c>
      <c r="C68" s="217" t="s">
        <v>4</v>
      </c>
      <c r="D68" s="597" t="s">
        <v>63</v>
      </c>
    </row>
    <row r="69" spans="1:6" ht="14.5" customHeight="1" x14ac:dyDescent="0.35">
      <c r="A69" s="772" t="s">
        <v>3</v>
      </c>
      <c r="B69" s="258">
        <v>168</v>
      </c>
      <c r="C69" s="227">
        <v>3305</v>
      </c>
      <c r="D69" s="598">
        <f>+B69*C69</f>
        <v>555240</v>
      </c>
      <c r="E69" s="553" t="s">
        <v>1153</v>
      </c>
    </row>
    <row r="70" spans="1:6" ht="14.5" customHeight="1" x14ac:dyDescent="0.35">
      <c r="A70" s="772" t="s">
        <v>369</v>
      </c>
      <c r="B70" s="258">
        <v>16</v>
      </c>
      <c r="C70" s="227">
        <f>+C69</f>
        <v>3305</v>
      </c>
      <c r="D70" s="598">
        <f>+B70*C70</f>
        <v>52880</v>
      </c>
    </row>
    <row r="71" spans="1:6" x14ac:dyDescent="0.35">
      <c r="A71" s="772" t="s">
        <v>266</v>
      </c>
      <c r="B71" s="258"/>
      <c r="C71" s="227">
        <v>50000</v>
      </c>
      <c r="D71" s="598">
        <f>+C71</f>
        <v>50000</v>
      </c>
    </row>
    <row r="72" spans="1:6" x14ac:dyDescent="0.35">
      <c r="A72" s="772" t="s">
        <v>6</v>
      </c>
      <c r="B72" s="258"/>
      <c r="C72" s="227">
        <v>100000</v>
      </c>
      <c r="D72" s="598">
        <v>100000</v>
      </c>
    </row>
    <row r="73" spans="1:6" s="1069" customFormat="1" x14ac:dyDescent="0.35">
      <c r="A73" s="614" t="s">
        <v>270</v>
      </c>
      <c r="B73" s="617"/>
      <c r="C73" s="227">
        <f>+C69*1.5</f>
        <v>4957.5</v>
      </c>
      <c r="D73" s="598">
        <f>+B73*C73</f>
        <v>0</v>
      </c>
      <c r="E73" s="553"/>
    </row>
    <row r="74" spans="1:6" x14ac:dyDescent="0.35">
      <c r="A74" s="772" t="s">
        <v>281</v>
      </c>
      <c r="B74" s="258"/>
      <c r="C74" s="227">
        <f>+C69*2</f>
        <v>6610</v>
      </c>
      <c r="D74" s="598">
        <f>+B74*C74</f>
        <v>0</v>
      </c>
    </row>
    <row r="75" spans="1:6" s="1192" customFormat="1" x14ac:dyDescent="0.35">
      <c r="A75" s="1200" t="s">
        <v>1040</v>
      </c>
      <c r="B75" s="1208"/>
      <c r="C75" s="1202"/>
      <c r="D75" s="1152">
        <v>130000</v>
      </c>
      <c r="E75" s="1199"/>
    </row>
    <row r="76" spans="1:6" s="1192" customFormat="1" x14ac:dyDescent="0.35">
      <c r="A76" s="1200" t="s">
        <v>1126</v>
      </c>
      <c r="B76" s="1208"/>
      <c r="C76" s="1202"/>
      <c r="D76" s="1152">
        <f>918100/2</f>
        <v>459050</v>
      </c>
      <c r="E76" s="1199"/>
    </row>
    <row r="77" spans="1:6" x14ac:dyDescent="0.35">
      <c r="A77" s="1463" t="s">
        <v>389</v>
      </c>
      <c r="B77" s="1464"/>
      <c r="C77" s="1465"/>
      <c r="D77" s="599">
        <f>+D69+D70+D71+D72+D73+D74+D75+D76</f>
        <v>1347170</v>
      </c>
      <c r="F77" s="774"/>
    </row>
    <row r="78" spans="1:6" x14ac:dyDescent="0.35">
      <c r="A78" s="723" t="s">
        <v>1145</v>
      </c>
      <c r="B78" s="721"/>
      <c r="C78" s="721"/>
      <c r="D78" s="722">
        <v>-295000</v>
      </c>
    </row>
    <row r="79" spans="1:6" x14ac:dyDescent="0.35">
      <c r="A79" s="723" t="s">
        <v>1132</v>
      </c>
      <c r="B79" s="721"/>
      <c r="C79" s="721"/>
      <c r="D79" s="722">
        <v>-120000</v>
      </c>
    </row>
    <row r="80" spans="1:6" ht="15.5" x14ac:dyDescent="0.35">
      <c r="A80" s="1460" t="s">
        <v>11</v>
      </c>
      <c r="B80" s="1461"/>
      <c r="C80" s="1462"/>
      <c r="D80" s="603">
        <f>+D77+D78+D79</f>
        <v>932170</v>
      </c>
    </row>
    <row r="81" spans="1:6" s="90" customFormat="1" x14ac:dyDescent="0.35">
      <c r="A81" s="1035"/>
      <c r="B81" s="1042"/>
      <c r="C81" s="553"/>
      <c r="D81" s="1051"/>
      <c r="E81" s="553"/>
    </row>
    <row r="83" spans="1:6" ht="23.5" x14ac:dyDescent="0.35">
      <c r="A83" s="1442" t="s">
        <v>1133</v>
      </c>
      <c r="B83" s="1443"/>
      <c r="C83" s="1443"/>
      <c r="D83" s="1444"/>
    </row>
    <row r="84" spans="1:6" x14ac:dyDescent="0.35">
      <c r="A84" s="2" t="s">
        <v>7</v>
      </c>
      <c r="B84" s="270" t="s">
        <v>388</v>
      </c>
      <c r="C84" s="217" t="s">
        <v>272</v>
      </c>
      <c r="D84" s="597" t="s">
        <v>9</v>
      </c>
    </row>
    <row r="85" spans="1:6" x14ac:dyDescent="0.35">
      <c r="A85" s="772" t="s">
        <v>3</v>
      </c>
      <c r="B85" s="258">
        <v>141</v>
      </c>
      <c r="C85" s="227">
        <v>3284</v>
      </c>
      <c r="D85" s="598">
        <f>+B85*C85</f>
        <v>463044</v>
      </c>
      <c r="E85" s="553" t="s">
        <v>1153</v>
      </c>
    </row>
    <row r="86" spans="1:6" x14ac:dyDescent="0.35">
      <c r="A86" s="772" t="s">
        <v>369</v>
      </c>
      <c r="B86" s="258">
        <v>16</v>
      </c>
      <c r="C86" s="227">
        <f>+C85</f>
        <v>3284</v>
      </c>
      <c r="D86" s="598">
        <f>+B86*C86</f>
        <v>52544</v>
      </c>
    </row>
    <row r="87" spans="1:6" x14ac:dyDescent="0.35">
      <c r="A87" s="772" t="s">
        <v>1134</v>
      </c>
      <c r="B87" s="258">
        <v>24</v>
      </c>
      <c r="C87" s="227">
        <f>+C86</f>
        <v>3284</v>
      </c>
      <c r="D87" s="598">
        <f>+B87*C87</f>
        <v>78816</v>
      </c>
    </row>
    <row r="88" spans="1:6" x14ac:dyDescent="0.35">
      <c r="A88" s="772" t="s">
        <v>6</v>
      </c>
      <c r="B88" s="258"/>
      <c r="C88" s="227">
        <v>80000</v>
      </c>
      <c r="D88" s="598">
        <f>+C88</f>
        <v>80000</v>
      </c>
    </row>
    <row r="89" spans="1:6" x14ac:dyDescent="0.35">
      <c r="A89" s="772" t="s">
        <v>200</v>
      </c>
      <c r="B89" s="258"/>
      <c r="C89" s="227">
        <v>50000</v>
      </c>
      <c r="D89" s="598">
        <f>+C89*0</f>
        <v>0</v>
      </c>
    </row>
    <row r="90" spans="1:6" x14ac:dyDescent="0.35">
      <c r="A90" s="772" t="s">
        <v>1032</v>
      </c>
      <c r="B90" s="258">
        <v>2.5</v>
      </c>
      <c r="C90" s="227">
        <f>+C85*1.5</f>
        <v>4926</v>
      </c>
      <c r="D90" s="811">
        <f>+B90*C90</f>
        <v>12315</v>
      </c>
    </row>
    <row r="91" spans="1:6" x14ac:dyDescent="0.35">
      <c r="A91" s="772" t="s">
        <v>757</v>
      </c>
      <c r="B91" s="258"/>
      <c r="C91" s="227">
        <f>+C85*2</f>
        <v>6568</v>
      </c>
      <c r="D91" s="598">
        <f>+B91*C91</f>
        <v>0</v>
      </c>
    </row>
    <row r="92" spans="1:6" s="1192" customFormat="1" x14ac:dyDescent="0.35">
      <c r="A92" s="1149" t="s">
        <v>1033</v>
      </c>
      <c r="B92" s="1150"/>
      <c r="C92" s="1151"/>
      <c r="D92" s="1152">
        <v>300000</v>
      </c>
      <c r="E92" s="1199"/>
    </row>
    <row r="93" spans="1:6" s="1192" customFormat="1" x14ac:dyDescent="0.35">
      <c r="A93" s="1149" t="s">
        <v>1130</v>
      </c>
      <c r="B93" s="1150"/>
      <c r="C93" s="1151"/>
      <c r="D93" s="1152">
        <f>1150000/2</f>
        <v>575000</v>
      </c>
      <c r="E93" s="1199"/>
    </row>
    <row r="94" spans="1:6" x14ac:dyDescent="0.35">
      <c r="A94" s="1036" t="s">
        <v>389</v>
      </c>
      <c r="B94" s="681"/>
      <c r="C94" s="1037"/>
      <c r="D94" s="1038">
        <f>+D85+D86+D87+D88+D89+D90+D91+D92+D93</f>
        <v>1561719</v>
      </c>
    </row>
    <row r="95" spans="1:6" x14ac:dyDescent="0.35">
      <c r="A95" s="772" t="s">
        <v>19</v>
      </c>
      <c r="B95" s="258"/>
      <c r="C95" s="227"/>
      <c r="D95" s="731">
        <v>-330000</v>
      </c>
      <c r="F95" s="774"/>
    </row>
    <row r="96" spans="1:6" x14ac:dyDescent="0.35">
      <c r="A96" s="772"/>
      <c r="B96" s="258"/>
      <c r="C96" s="227"/>
      <c r="D96" s="731"/>
    </row>
    <row r="97" spans="1:5" ht="15.5" x14ac:dyDescent="0.35">
      <c r="A97" s="1460" t="s">
        <v>11</v>
      </c>
      <c r="B97" s="1461"/>
      <c r="C97" s="1462"/>
      <c r="D97" s="603">
        <f>+D94+D95+D96</f>
        <v>1231719</v>
      </c>
    </row>
    <row r="98" spans="1:5" ht="15.5" x14ac:dyDescent="0.35">
      <c r="A98" s="723" t="s">
        <v>631</v>
      </c>
      <c r="B98" s="723"/>
      <c r="C98" s="723"/>
      <c r="D98" s="832">
        <v>-190000</v>
      </c>
    </row>
    <row r="99" spans="1:5" ht="15.5" x14ac:dyDescent="0.35">
      <c r="A99" s="611" t="s">
        <v>1010</v>
      </c>
      <c r="B99" s="611"/>
      <c r="C99" s="611"/>
      <c r="D99" s="603">
        <f>+D97+D98</f>
        <v>1041719</v>
      </c>
    </row>
    <row r="100" spans="1:5" s="90" customFormat="1" x14ac:dyDescent="0.35">
      <c r="B100" s="1042"/>
      <c r="C100" s="553"/>
      <c r="D100" s="1051" t="s">
        <v>63</v>
      </c>
      <c r="E100" s="553"/>
    </row>
    <row r="102" spans="1:5" ht="23.5" x14ac:dyDescent="0.35">
      <c r="A102" s="1431" t="s">
        <v>1135</v>
      </c>
      <c r="B102" s="1431"/>
      <c r="C102" s="1431"/>
      <c r="D102" s="1431"/>
    </row>
    <row r="103" spans="1:5" x14ac:dyDescent="0.35">
      <c r="A103" s="2" t="s">
        <v>7</v>
      </c>
      <c r="B103" s="270" t="s">
        <v>8</v>
      </c>
      <c r="C103" s="217" t="s">
        <v>4</v>
      </c>
      <c r="D103" s="597" t="s">
        <v>9</v>
      </c>
    </row>
    <row r="104" spans="1:5" x14ac:dyDescent="0.35">
      <c r="A104" s="772" t="s">
        <v>3</v>
      </c>
      <c r="B104" s="258">
        <v>168</v>
      </c>
      <c r="C104" s="227">
        <v>3305</v>
      </c>
      <c r="D104" s="598">
        <f>+B104*C104</f>
        <v>555240</v>
      </c>
      <c r="E104" s="553" t="s">
        <v>1153</v>
      </c>
    </row>
    <row r="105" spans="1:5" x14ac:dyDescent="0.35">
      <c r="A105" s="772" t="s">
        <v>379</v>
      </c>
      <c r="B105" s="258">
        <v>16</v>
      </c>
      <c r="C105" s="227">
        <f>+C104</f>
        <v>3305</v>
      </c>
      <c r="D105" s="598">
        <f>+B105*C105</f>
        <v>52880</v>
      </c>
    </row>
    <row r="106" spans="1:5" x14ac:dyDescent="0.35">
      <c r="A106" s="772" t="s">
        <v>347</v>
      </c>
      <c r="B106" s="258">
        <f>7*8</f>
        <v>56</v>
      </c>
      <c r="C106" s="227">
        <f>+C104</f>
        <v>3305</v>
      </c>
      <c r="D106" s="598">
        <f>+B106*C106</f>
        <v>185080</v>
      </c>
    </row>
    <row r="107" spans="1:5" x14ac:dyDescent="0.35">
      <c r="A107" s="772" t="s">
        <v>200</v>
      </c>
      <c r="B107" s="258"/>
      <c r="C107" s="227">
        <v>50000</v>
      </c>
      <c r="D107" s="598">
        <f>+C107</f>
        <v>50000</v>
      </c>
    </row>
    <row r="108" spans="1:5" x14ac:dyDescent="0.35">
      <c r="A108" s="772" t="s">
        <v>6</v>
      </c>
      <c r="B108" s="258"/>
      <c r="C108" s="194">
        <v>100000</v>
      </c>
      <c r="D108" s="598">
        <f>+C108</f>
        <v>100000</v>
      </c>
    </row>
    <row r="109" spans="1:5" x14ac:dyDescent="0.35">
      <c r="A109" s="772" t="s">
        <v>1032</v>
      </c>
      <c r="B109" s="258"/>
      <c r="C109" s="194">
        <f>+C104*1.5</f>
        <v>4957.5</v>
      </c>
      <c r="D109" s="598">
        <f>+B109*C109</f>
        <v>0</v>
      </c>
    </row>
    <row r="110" spans="1:5" x14ac:dyDescent="0.35">
      <c r="A110" s="772" t="s">
        <v>281</v>
      </c>
      <c r="B110" s="258"/>
      <c r="C110" s="194">
        <f>+C104*2</f>
        <v>6610</v>
      </c>
      <c r="D110" s="598">
        <f>+B110*C110</f>
        <v>0</v>
      </c>
    </row>
    <row r="111" spans="1:5" s="90" customFormat="1" x14ac:dyDescent="0.35">
      <c r="A111" s="141" t="s">
        <v>1033</v>
      </c>
      <c r="B111" s="274"/>
      <c r="C111" s="195"/>
      <c r="D111" s="1017">
        <v>130000</v>
      </c>
      <c r="E111" s="553"/>
    </row>
    <row r="112" spans="1:5" s="90" customFormat="1" x14ac:dyDescent="0.35">
      <c r="A112" s="1145" t="s">
        <v>1126</v>
      </c>
      <c r="B112" s="1146"/>
      <c r="C112" s="1147"/>
      <c r="D112" s="1017">
        <f>890000/2</f>
        <v>445000</v>
      </c>
      <c r="E112" s="553"/>
    </row>
    <row r="113" spans="1:5" x14ac:dyDescent="0.35">
      <c r="A113" s="1463" t="s">
        <v>389</v>
      </c>
      <c r="B113" s="1464"/>
      <c r="C113" s="1465"/>
      <c r="D113" s="599">
        <f>+D104+D105+D106+D107+D108+D109+D110+D111+D112</f>
        <v>1518200</v>
      </c>
    </row>
    <row r="114" spans="1:5" x14ac:dyDescent="0.35">
      <c r="A114" s="724" t="s">
        <v>374</v>
      </c>
      <c r="B114" s="729"/>
      <c r="C114" s="730"/>
      <c r="D114" s="731">
        <v>-100000</v>
      </c>
    </row>
    <row r="115" spans="1:5" x14ac:dyDescent="0.35">
      <c r="A115" s="724"/>
      <c r="B115" s="729"/>
      <c r="C115" s="730"/>
      <c r="D115" s="731"/>
    </row>
    <row r="116" spans="1:5" s="997" customFormat="1" ht="15.5" x14ac:dyDescent="0.35">
      <c r="A116" s="992" t="s">
        <v>11</v>
      </c>
      <c r="B116" s="1181"/>
      <c r="C116" s="994"/>
      <c r="D116" s="995">
        <f>+D113+D114+D115</f>
        <v>1418200</v>
      </c>
      <c r="E116" s="1026"/>
    </row>
    <row r="117" spans="1:5" s="90" customFormat="1" x14ac:dyDescent="0.35">
      <c r="B117" s="1042"/>
      <c r="C117" s="553"/>
      <c r="D117" s="1051"/>
      <c r="E117" s="553"/>
    </row>
    <row r="119" spans="1:5" ht="23.5" x14ac:dyDescent="0.35">
      <c r="A119" s="1442" t="s">
        <v>1136</v>
      </c>
      <c r="B119" s="1443"/>
      <c r="C119" s="1443"/>
      <c r="D119" s="1444"/>
    </row>
    <row r="120" spans="1:5" x14ac:dyDescent="0.35">
      <c r="A120" s="2" t="s">
        <v>7</v>
      </c>
      <c r="B120" s="270" t="s">
        <v>388</v>
      </c>
      <c r="C120" s="217" t="s">
        <v>629</v>
      </c>
      <c r="D120" s="597" t="s">
        <v>9</v>
      </c>
    </row>
    <row r="121" spans="1:5" x14ac:dyDescent="0.35">
      <c r="A121" s="772" t="s">
        <v>3</v>
      </c>
      <c r="B121" s="258">
        <v>156.5</v>
      </c>
      <c r="C121" s="194">
        <v>4442</v>
      </c>
      <c r="D121" s="598">
        <f>+B121*C121</f>
        <v>695173</v>
      </c>
      <c r="E121" s="553" t="s">
        <v>1153</v>
      </c>
    </row>
    <row r="122" spans="1:5" x14ac:dyDescent="0.35">
      <c r="A122" s="772" t="s">
        <v>369</v>
      </c>
      <c r="B122" s="258">
        <v>16</v>
      </c>
      <c r="C122" s="194">
        <f>+C121</f>
        <v>4442</v>
      </c>
      <c r="D122" s="609">
        <f>+B122*C122</f>
        <v>71072</v>
      </c>
    </row>
    <row r="123" spans="1:5" x14ac:dyDescent="0.35">
      <c r="A123" s="772" t="s">
        <v>556</v>
      </c>
      <c r="B123" s="258"/>
      <c r="C123" s="194">
        <v>50000</v>
      </c>
      <c r="D123" s="609">
        <f>+C123</f>
        <v>50000</v>
      </c>
    </row>
    <row r="124" spans="1:5" x14ac:dyDescent="0.35">
      <c r="A124" s="772" t="s">
        <v>6</v>
      </c>
      <c r="B124" s="258"/>
      <c r="C124" s="194">
        <v>100000</v>
      </c>
      <c r="D124" s="609">
        <f>+C124</f>
        <v>100000</v>
      </c>
    </row>
    <row r="125" spans="1:5" x14ac:dyDescent="0.35">
      <c r="A125" s="772" t="s">
        <v>1111</v>
      </c>
      <c r="B125" s="258">
        <v>8</v>
      </c>
      <c r="C125" s="194">
        <f>+C121</f>
        <v>4442</v>
      </c>
      <c r="D125" s="609">
        <f>+B125*C125</f>
        <v>35536</v>
      </c>
    </row>
    <row r="126" spans="1:5" x14ac:dyDescent="0.35">
      <c r="A126" s="614" t="s">
        <v>628</v>
      </c>
      <c r="B126" s="617">
        <v>2</v>
      </c>
      <c r="C126" s="227">
        <f>+C121*1.5</f>
        <v>6663</v>
      </c>
      <c r="D126" s="609">
        <f>+B126*C126</f>
        <v>13326</v>
      </c>
    </row>
    <row r="127" spans="1:5" x14ac:dyDescent="0.35">
      <c r="A127" s="614" t="s">
        <v>823</v>
      </c>
      <c r="B127" s="617"/>
      <c r="C127" s="227"/>
      <c r="D127" s="609">
        <v>120000</v>
      </c>
    </row>
    <row r="128" spans="1:5" x14ac:dyDescent="0.35">
      <c r="A128" s="614" t="s">
        <v>1137</v>
      </c>
      <c r="B128" s="617"/>
      <c r="C128" s="227"/>
      <c r="D128" s="609">
        <f>1088000/2</f>
        <v>544000</v>
      </c>
    </row>
    <row r="129" spans="1:5" s="90" customFormat="1" x14ac:dyDescent="0.35">
      <c r="A129" s="1071" t="s">
        <v>389</v>
      </c>
      <c r="B129" s="1074"/>
      <c r="C129" s="1172"/>
      <c r="D129" s="1173">
        <f>+D121+D122+D123+D124+D125+D126+D127+D128</f>
        <v>1629107</v>
      </c>
      <c r="E129" s="553"/>
    </row>
    <row r="130" spans="1:5" x14ac:dyDescent="0.35">
      <c r="A130" s="614" t="s">
        <v>1138</v>
      </c>
      <c r="B130" s="617"/>
      <c r="C130" s="227"/>
      <c r="D130" s="609">
        <v>57100</v>
      </c>
    </row>
    <row r="131" spans="1:5" x14ac:dyDescent="0.35">
      <c r="A131" s="614" t="s">
        <v>1139</v>
      </c>
      <c r="B131" s="617"/>
      <c r="C131" s="227"/>
      <c r="D131" s="609">
        <v>32300</v>
      </c>
    </row>
    <row r="132" spans="1:5" ht="15.5" x14ac:dyDescent="0.35">
      <c r="A132" s="1059" t="s">
        <v>11</v>
      </c>
      <c r="B132" s="1060"/>
      <c r="C132" s="1061"/>
      <c r="D132" s="1167">
        <f>+D129+D130+D131</f>
        <v>1718507</v>
      </c>
    </row>
    <row r="135" spans="1:5" ht="23.5" x14ac:dyDescent="0.35">
      <c r="A135" s="1442" t="s">
        <v>1140</v>
      </c>
      <c r="B135" s="1443"/>
      <c r="C135" s="1443"/>
      <c r="D135" s="1444"/>
    </row>
    <row r="136" spans="1:5" x14ac:dyDescent="0.35">
      <c r="A136" s="2" t="s">
        <v>7</v>
      </c>
      <c r="B136" s="270" t="s">
        <v>8</v>
      </c>
      <c r="C136" s="217" t="s">
        <v>4</v>
      </c>
      <c r="D136" s="597" t="s">
        <v>9</v>
      </c>
    </row>
    <row r="137" spans="1:5" x14ac:dyDescent="0.35">
      <c r="A137" s="772" t="s">
        <v>3</v>
      </c>
      <c r="B137" s="258">
        <v>132</v>
      </c>
      <c r="C137" s="194">
        <v>4442</v>
      </c>
      <c r="D137" s="598">
        <f>+B137*C137</f>
        <v>586344</v>
      </c>
      <c r="E137" s="553" t="s">
        <v>1153</v>
      </c>
    </row>
    <row r="138" spans="1:5" x14ac:dyDescent="0.35">
      <c r="A138" s="772" t="s">
        <v>369</v>
      </c>
      <c r="B138" s="258">
        <v>15</v>
      </c>
      <c r="C138" s="194">
        <f>+C137</f>
        <v>4442</v>
      </c>
      <c r="D138" s="609">
        <f>+B138*C138</f>
        <v>66630</v>
      </c>
    </row>
    <row r="139" spans="1:5" x14ac:dyDescent="0.35">
      <c r="A139" s="772" t="s">
        <v>6</v>
      </c>
      <c r="B139" s="258"/>
      <c r="C139" s="194">
        <v>100000</v>
      </c>
      <c r="D139" s="609">
        <f>+C139</f>
        <v>100000</v>
      </c>
    </row>
    <row r="140" spans="1:5" x14ac:dyDescent="0.35">
      <c r="A140" s="614" t="s">
        <v>556</v>
      </c>
      <c r="B140" s="617"/>
      <c r="C140" s="227">
        <v>50000</v>
      </c>
      <c r="D140" s="609">
        <f>+C140</f>
        <v>50000</v>
      </c>
    </row>
    <row r="141" spans="1:5" x14ac:dyDescent="0.35">
      <c r="A141" s="614" t="s">
        <v>1035</v>
      </c>
      <c r="B141" s="617">
        <v>2</v>
      </c>
      <c r="C141" s="227">
        <f>+C137*1.5</f>
        <v>6663</v>
      </c>
      <c r="D141" s="609">
        <f>+B141*C141</f>
        <v>13326</v>
      </c>
    </row>
    <row r="142" spans="1:5" s="1192" customFormat="1" x14ac:dyDescent="0.35">
      <c r="A142" s="1149" t="s">
        <v>823</v>
      </c>
      <c r="B142" s="1150"/>
      <c r="C142" s="1151">
        <v>120000</v>
      </c>
      <c r="D142" s="1210">
        <f>+C142</f>
        <v>120000</v>
      </c>
      <c r="E142" s="1199"/>
    </row>
    <row r="143" spans="1:5" x14ac:dyDescent="0.35">
      <c r="A143" s="1149" t="s">
        <v>1126</v>
      </c>
      <c r="B143" s="617"/>
      <c r="C143" s="227"/>
      <c r="D143" s="609">
        <f>970250/2</f>
        <v>485125</v>
      </c>
    </row>
    <row r="144" spans="1:5" x14ac:dyDescent="0.35">
      <c r="A144" s="882" t="s">
        <v>389</v>
      </c>
      <c r="B144" s="883"/>
      <c r="C144" s="884"/>
      <c r="D144" s="1058">
        <f>+D137+D138+D139+D140+D141+D142+D143</f>
        <v>1421425</v>
      </c>
    </row>
    <row r="145" spans="1:19" x14ac:dyDescent="0.35">
      <c r="A145" s="724" t="s">
        <v>742</v>
      </c>
      <c r="B145" s="729"/>
      <c r="C145" s="729"/>
      <c r="D145" s="731">
        <v>-300000</v>
      </c>
    </row>
    <row r="146" spans="1:19" x14ac:dyDescent="0.35">
      <c r="A146" s="1071" t="s">
        <v>11</v>
      </c>
      <c r="B146" s="1074"/>
      <c r="C146" s="1074"/>
      <c r="D146" s="1075">
        <f>+D144+D145</f>
        <v>1121425</v>
      </c>
    </row>
    <row r="150" spans="1:19" s="1042" customFormat="1" ht="23.5" x14ac:dyDescent="0.35">
      <c r="A150" s="1442" t="s">
        <v>1141</v>
      </c>
      <c r="B150" s="1443"/>
      <c r="C150" s="1443"/>
      <c r="D150" s="1444"/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2" t="s">
        <v>7</v>
      </c>
      <c r="B151" s="270" t="s">
        <v>388</v>
      </c>
      <c r="C151" s="217" t="s">
        <v>1037</v>
      </c>
      <c r="D151" s="597" t="s">
        <v>9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772" t="s">
        <v>3</v>
      </c>
      <c r="B152" s="258">
        <v>168</v>
      </c>
      <c r="C152" s="194">
        <v>3570</v>
      </c>
      <c r="D152" s="598">
        <f>+B152*C152</f>
        <v>599760</v>
      </c>
      <c r="E152" s="553" t="s">
        <v>1153</v>
      </c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72" t="s">
        <v>369</v>
      </c>
      <c r="B153" s="258">
        <v>16</v>
      </c>
      <c r="C153" s="194">
        <f>+C152</f>
        <v>3570</v>
      </c>
      <c r="D153" s="609">
        <f>+B153*C153</f>
        <v>57120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772" t="s">
        <v>200</v>
      </c>
      <c r="B154" s="258"/>
      <c r="C154" s="194">
        <v>50000</v>
      </c>
      <c r="D154" s="609">
        <f>+C154</f>
        <v>50000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614" t="s">
        <v>6</v>
      </c>
      <c r="B155" s="617"/>
      <c r="C155" s="227">
        <v>100000</v>
      </c>
      <c r="D155" s="609">
        <f>+C155</f>
        <v>100000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614" t="s">
        <v>1035</v>
      </c>
      <c r="B156" s="617">
        <v>5</v>
      </c>
      <c r="C156" s="227">
        <f>+C152*1.5</f>
        <v>5355</v>
      </c>
      <c r="D156" s="609">
        <f>+B156*C156</f>
        <v>26775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614" t="s">
        <v>1036</v>
      </c>
      <c r="B157" s="617"/>
      <c r="C157" s="227">
        <f>+C152*2</f>
        <v>7140</v>
      </c>
      <c r="D157" s="609">
        <f>+C157*0</f>
        <v>0</v>
      </c>
      <c r="E157" s="553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190" customFormat="1" x14ac:dyDescent="0.35">
      <c r="A158" s="1149" t="s">
        <v>823</v>
      </c>
      <c r="B158" s="1150"/>
      <c r="C158" s="1151"/>
      <c r="D158" s="1210">
        <v>80000</v>
      </c>
      <c r="E158" s="1199"/>
      <c r="F158" s="1192"/>
      <c r="G158" s="1192"/>
      <c r="H158" s="1192"/>
      <c r="I158" s="1192"/>
      <c r="J158" s="1192"/>
      <c r="K158" s="1192"/>
      <c r="L158" s="1192"/>
      <c r="M158" s="1192"/>
      <c r="N158" s="1192"/>
      <c r="O158" s="1192"/>
      <c r="P158" s="1192"/>
      <c r="Q158" s="1192"/>
      <c r="R158" s="1192"/>
      <c r="S158" s="1192"/>
    </row>
    <row r="159" spans="1:19" s="1190" customFormat="1" x14ac:dyDescent="0.35">
      <c r="A159" s="1223" t="s">
        <v>1146</v>
      </c>
      <c r="B159" s="1150"/>
      <c r="C159" s="1151"/>
      <c r="D159" s="1210">
        <f>944000/12*5</f>
        <v>393333.33333333337</v>
      </c>
      <c r="E159" s="1199"/>
      <c r="F159" s="1192"/>
      <c r="G159" s="1192"/>
      <c r="H159" s="1192"/>
      <c r="I159" s="1192"/>
      <c r="J159" s="1192"/>
      <c r="K159" s="1192"/>
      <c r="L159" s="1192"/>
      <c r="M159" s="1192"/>
      <c r="N159" s="1192"/>
      <c r="O159" s="1192"/>
      <c r="P159" s="1192"/>
      <c r="Q159" s="1192"/>
      <c r="R159" s="1192"/>
      <c r="S159" s="1192"/>
    </row>
    <row r="160" spans="1:19" s="1042" customFormat="1" x14ac:dyDescent="0.35">
      <c r="A160" s="882" t="s">
        <v>389</v>
      </c>
      <c r="B160" s="883"/>
      <c r="C160" s="884"/>
      <c r="D160" s="1058">
        <f>+D152+D153+D154+D155+D156+D157+D158+D159</f>
        <v>1306988.3333333335</v>
      </c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1211"/>
      <c r="B161" s="1212"/>
      <c r="C161" s="1213"/>
      <c r="D161" s="1214"/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724"/>
      <c r="B162" s="729"/>
      <c r="C162" s="729"/>
      <c r="D162" s="731"/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3" spans="1:19" s="1042" customFormat="1" x14ac:dyDescent="0.35">
      <c r="A163" s="1071" t="s">
        <v>11</v>
      </c>
      <c r="B163" s="1074"/>
      <c r="C163" s="1074"/>
      <c r="D163" s="1075">
        <f>+D160+D161+D162</f>
        <v>1306988.3333333335</v>
      </c>
      <c r="E163" s="553"/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</row>
    <row r="167" spans="1:19" ht="23.5" x14ac:dyDescent="0.35">
      <c r="A167" s="1442" t="s">
        <v>1142</v>
      </c>
      <c r="B167" s="1443"/>
      <c r="C167" s="1443"/>
      <c r="D167" s="1444"/>
    </row>
    <row r="168" spans="1:19" x14ac:dyDescent="0.35">
      <c r="A168" s="2" t="s">
        <v>7</v>
      </c>
      <c r="B168" s="270" t="s">
        <v>425</v>
      </c>
      <c r="C168" s="217" t="s">
        <v>272</v>
      </c>
      <c r="D168" s="597" t="s">
        <v>9</v>
      </c>
    </row>
    <row r="169" spans="1:19" x14ac:dyDescent="0.35">
      <c r="A169" s="772" t="s">
        <v>3</v>
      </c>
      <c r="B169" s="258">
        <v>168</v>
      </c>
      <c r="C169" s="194">
        <v>2890</v>
      </c>
      <c r="D169" s="598">
        <f>+B169*C169</f>
        <v>485520</v>
      </c>
      <c r="E169" s="553" t="s">
        <v>1154</v>
      </c>
    </row>
    <row r="170" spans="1:19" x14ac:dyDescent="0.35">
      <c r="A170" s="772" t="s">
        <v>369</v>
      </c>
      <c r="B170" s="258">
        <v>16</v>
      </c>
      <c r="C170" s="194">
        <f>+C169</f>
        <v>2890</v>
      </c>
      <c r="D170" s="609">
        <f>+B170*C170</f>
        <v>46240</v>
      </c>
    </row>
    <row r="171" spans="1:19" x14ac:dyDescent="0.35">
      <c r="A171" s="772" t="s">
        <v>200</v>
      </c>
      <c r="B171" s="258"/>
      <c r="C171" s="194">
        <v>50000</v>
      </c>
      <c r="D171" s="609">
        <f>+C171</f>
        <v>50000</v>
      </c>
    </row>
    <row r="172" spans="1:19" x14ac:dyDescent="0.35">
      <c r="A172" s="614" t="s">
        <v>6</v>
      </c>
      <c r="B172" s="617"/>
      <c r="C172" s="227">
        <v>40000</v>
      </c>
      <c r="D172" s="609">
        <f>+C172</f>
        <v>40000</v>
      </c>
    </row>
    <row r="173" spans="1:19" x14ac:dyDescent="0.35">
      <c r="A173" s="614" t="s">
        <v>1035</v>
      </c>
      <c r="B173" s="617">
        <v>3</v>
      </c>
      <c r="C173" s="227">
        <f>+C169*1.5</f>
        <v>4335</v>
      </c>
      <c r="D173" s="609">
        <f>+B173*C173</f>
        <v>13005</v>
      </c>
    </row>
    <row r="174" spans="1:19" x14ac:dyDescent="0.35">
      <c r="A174" s="614" t="s">
        <v>1036</v>
      </c>
      <c r="B174" s="617"/>
      <c r="C174" s="227">
        <f>+C169*2</f>
        <v>5780</v>
      </c>
      <c r="D174" s="609">
        <f>+B174*C174</f>
        <v>0</v>
      </c>
    </row>
    <row r="175" spans="1:19" s="1192" customFormat="1" x14ac:dyDescent="0.35">
      <c r="A175" s="1149" t="s">
        <v>823</v>
      </c>
      <c r="B175" s="1150"/>
      <c r="C175" s="1151"/>
      <c r="D175" s="1210">
        <v>100000</v>
      </c>
      <c r="E175" s="1199" t="s">
        <v>710</v>
      </c>
    </row>
    <row r="176" spans="1:19" s="1192" customFormat="1" x14ac:dyDescent="0.35">
      <c r="A176" s="1223" t="s">
        <v>1147</v>
      </c>
      <c r="B176" s="1150"/>
      <c r="C176" s="1151"/>
      <c r="D176" s="1210">
        <f>753400/12*3</f>
        <v>188350</v>
      </c>
      <c r="E176" s="1199"/>
    </row>
    <row r="177" spans="1:19" x14ac:dyDescent="0.35">
      <c r="A177" s="882" t="s">
        <v>389</v>
      </c>
      <c r="B177" s="883"/>
      <c r="C177" s="884"/>
      <c r="D177" s="1058">
        <f>+D169+D170+D171+D172+D173+D174+D175+D176</f>
        <v>923115</v>
      </c>
    </row>
    <row r="178" spans="1:19" s="1070" customFormat="1" x14ac:dyDescent="0.35">
      <c r="A178" s="739" t="s">
        <v>19</v>
      </c>
      <c r="B178" s="1215"/>
      <c r="C178" s="1216"/>
      <c r="D178" s="736">
        <v>-200000</v>
      </c>
      <c r="E178" s="1234"/>
    </row>
    <row r="179" spans="1:19" x14ac:dyDescent="0.35">
      <c r="A179" s="724"/>
      <c r="B179" s="729"/>
      <c r="C179" s="729"/>
      <c r="D179" s="731"/>
    </row>
    <row r="180" spans="1:19" x14ac:dyDescent="0.35">
      <c r="A180" s="1071" t="s">
        <v>11</v>
      </c>
      <c r="B180" s="1074"/>
      <c r="C180" s="1074"/>
      <c r="D180" s="1075">
        <f>+D177+D178+D179</f>
        <v>723115</v>
      </c>
    </row>
    <row r="183" spans="1:19" ht="23.5" x14ac:dyDescent="0.35">
      <c r="A183" s="1442" t="s">
        <v>1143</v>
      </c>
      <c r="B183" s="1443"/>
      <c r="C183" s="1443"/>
      <c r="D183" s="1444"/>
    </row>
    <row r="184" spans="1:19" x14ac:dyDescent="0.35">
      <c r="A184" s="2"/>
      <c r="B184" s="270"/>
      <c r="C184" s="217"/>
      <c r="D184" s="597"/>
    </row>
    <row r="185" spans="1:19" x14ac:dyDescent="0.35">
      <c r="A185" s="772" t="s">
        <v>3</v>
      </c>
      <c r="B185" s="258">
        <v>168</v>
      </c>
      <c r="C185" s="194">
        <v>3570</v>
      </c>
      <c r="D185" s="598">
        <f>+B185*C185</f>
        <v>599760</v>
      </c>
      <c r="E185" s="553" t="s">
        <v>1153</v>
      </c>
    </row>
    <row r="186" spans="1:19" x14ac:dyDescent="0.35">
      <c r="A186" s="772" t="s">
        <v>369</v>
      </c>
      <c r="B186" s="258">
        <v>16</v>
      </c>
      <c r="C186" s="194">
        <f>+C185</f>
        <v>3570</v>
      </c>
      <c r="D186" s="609">
        <f>+B186*C186</f>
        <v>57120</v>
      </c>
    </row>
    <row r="187" spans="1:19" s="1042" customFormat="1" x14ac:dyDescent="0.35">
      <c r="A187" s="772" t="s">
        <v>556</v>
      </c>
      <c r="B187" s="258"/>
      <c r="C187" s="194">
        <v>50000</v>
      </c>
      <c r="D187" s="609">
        <f>+C187</f>
        <v>50000</v>
      </c>
      <c r="E187" s="553"/>
      <c r="F187" s="771"/>
      <c r="G187" s="771"/>
      <c r="H187" s="771"/>
      <c r="I187" s="771"/>
      <c r="J187" s="771"/>
      <c r="K187" s="771"/>
      <c r="L187" s="771"/>
      <c r="M187" s="771"/>
      <c r="N187" s="771"/>
      <c r="O187" s="771"/>
      <c r="P187" s="771"/>
      <c r="Q187" s="771"/>
      <c r="R187" s="771"/>
      <c r="S187" s="771"/>
    </row>
    <row r="188" spans="1:19" s="1042" customFormat="1" x14ac:dyDescent="0.35">
      <c r="A188" s="614" t="s">
        <v>6</v>
      </c>
      <c r="B188" s="617"/>
      <c r="C188" s="227">
        <v>50000</v>
      </c>
      <c r="D188" s="609">
        <v>50000</v>
      </c>
      <c r="E188" s="553"/>
      <c r="F188" s="771"/>
      <c r="G188" s="771"/>
      <c r="H188" s="771"/>
      <c r="I188" s="771"/>
      <c r="J188" s="771"/>
      <c r="K188" s="771"/>
      <c r="L188" s="771"/>
      <c r="M188" s="771"/>
      <c r="N188" s="771"/>
      <c r="O188" s="771"/>
      <c r="P188" s="771"/>
      <c r="Q188" s="771"/>
      <c r="R188" s="771"/>
      <c r="S188" s="771"/>
    </row>
    <row r="189" spans="1:19" s="1042" customFormat="1" x14ac:dyDescent="0.35">
      <c r="A189" s="614" t="s">
        <v>1035</v>
      </c>
      <c r="B189" s="617"/>
      <c r="C189" s="227">
        <f>+C185*1.5</f>
        <v>5355</v>
      </c>
      <c r="D189" s="609">
        <f>+B189*C189</f>
        <v>0</v>
      </c>
      <c r="E189" s="553"/>
      <c r="F189" s="771"/>
      <c r="G189" s="771"/>
      <c r="H189" s="771"/>
      <c r="I189" s="771"/>
      <c r="J189" s="771"/>
      <c r="K189" s="771"/>
      <c r="L189" s="771"/>
      <c r="M189" s="771"/>
      <c r="N189" s="771"/>
      <c r="O189" s="771"/>
      <c r="P189" s="771"/>
      <c r="Q189" s="771"/>
      <c r="R189" s="771"/>
      <c r="S189" s="771"/>
    </row>
    <row r="190" spans="1:19" s="1042" customFormat="1" x14ac:dyDescent="0.35">
      <c r="A190" s="614" t="s">
        <v>1036</v>
      </c>
      <c r="B190" s="617"/>
      <c r="C190" s="227">
        <f>+C185*2</f>
        <v>7140</v>
      </c>
      <c r="D190" s="609">
        <f>+C190*0</f>
        <v>0</v>
      </c>
      <c r="E190" s="553"/>
      <c r="F190" s="771"/>
      <c r="G190" s="771"/>
      <c r="H190" s="771"/>
      <c r="I190" s="771"/>
      <c r="J190" s="771"/>
      <c r="K190" s="771"/>
      <c r="L190" s="771"/>
      <c r="M190" s="771"/>
      <c r="N190" s="771"/>
      <c r="O190" s="771"/>
      <c r="P190" s="771"/>
      <c r="Q190" s="771"/>
      <c r="R190" s="771"/>
      <c r="S190" s="771"/>
    </row>
    <row r="191" spans="1:19" s="1042" customFormat="1" x14ac:dyDescent="0.35">
      <c r="A191" s="614" t="s">
        <v>823</v>
      </c>
      <c r="B191" s="617"/>
      <c r="C191" s="227"/>
      <c r="D191" s="609">
        <v>100000</v>
      </c>
      <c r="E191" s="553"/>
      <c r="F191" s="771"/>
      <c r="G191" s="771"/>
      <c r="H191" s="771"/>
      <c r="I191" s="771"/>
      <c r="J191" s="771"/>
      <c r="K191" s="771"/>
      <c r="L191" s="771"/>
      <c r="M191" s="771"/>
      <c r="N191" s="771"/>
      <c r="O191" s="771"/>
      <c r="P191" s="771"/>
      <c r="Q191" s="771"/>
      <c r="R191" s="771"/>
      <c r="S191" s="771"/>
    </row>
    <row r="192" spans="1:19" s="1042" customFormat="1" x14ac:dyDescent="0.35">
      <c r="A192" s="1223" t="s">
        <v>1147</v>
      </c>
      <c r="B192" s="617"/>
      <c r="C192" s="227"/>
      <c r="D192" s="609">
        <f>856880/12*2.5</f>
        <v>178516.66666666669</v>
      </c>
      <c r="E192" s="553"/>
      <c r="F192" s="771"/>
      <c r="G192" s="771"/>
      <c r="H192" s="771"/>
      <c r="I192" s="771"/>
      <c r="J192" s="771"/>
      <c r="K192" s="771"/>
      <c r="L192" s="771"/>
      <c r="M192" s="771"/>
      <c r="N192" s="771"/>
      <c r="O192" s="771"/>
      <c r="P192" s="771"/>
      <c r="Q192" s="771"/>
      <c r="R192" s="771"/>
      <c r="S192" s="771"/>
    </row>
    <row r="193" spans="1:19" s="1042" customFormat="1" x14ac:dyDescent="0.35">
      <c r="A193" s="882" t="s">
        <v>389</v>
      </c>
      <c r="B193" s="883"/>
      <c r="C193" s="884"/>
      <c r="D193" s="1058">
        <f>+D185+D186+D187+D188+D189+D190+D191+D192</f>
        <v>1035396.6666666667</v>
      </c>
      <c r="E193" s="553"/>
      <c r="F193" s="771"/>
      <c r="G193" s="771"/>
      <c r="H193" s="771"/>
      <c r="I193" s="771"/>
      <c r="J193" s="771"/>
      <c r="K193" s="771"/>
      <c r="L193" s="771"/>
      <c r="M193" s="771"/>
      <c r="N193" s="771"/>
      <c r="O193" s="771"/>
      <c r="P193" s="771"/>
      <c r="Q193" s="771"/>
      <c r="R193" s="771"/>
      <c r="S193" s="771"/>
    </row>
    <row r="194" spans="1:19" s="1042" customFormat="1" x14ac:dyDescent="0.35">
      <c r="A194" s="1211" t="s">
        <v>19</v>
      </c>
      <c r="B194" s="1212"/>
      <c r="C194" s="1213"/>
      <c r="D194" s="736">
        <v>-250000</v>
      </c>
      <c r="E194" s="553"/>
      <c r="F194" s="771"/>
      <c r="G194" s="771"/>
      <c r="H194" s="771"/>
      <c r="I194" s="771"/>
      <c r="J194" s="771"/>
      <c r="K194" s="771"/>
      <c r="L194" s="771"/>
      <c r="M194" s="771"/>
      <c r="N194" s="771"/>
      <c r="O194" s="771"/>
      <c r="P194" s="771"/>
      <c r="Q194" s="771"/>
      <c r="R194" s="771"/>
      <c r="S194" s="771"/>
    </row>
    <row r="195" spans="1:19" s="1042" customFormat="1" x14ac:dyDescent="0.35">
      <c r="A195" s="724"/>
      <c r="B195" s="729"/>
      <c r="C195" s="729"/>
      <c r="D195" s="731"/>
      <c r="E195" s="553"/>
      <c r="F195" s="771"/>
      <c r="G195" s="771"/>
      <c r="H195" s="771"/>
      <c r="I195" s="771"/>
      <c r="J195" s="771"/>
      <c r="K195" s="771"/>
      <c r="L195" s="771"/>
      <c r="M195" s="771"/>
      <c r="N195" s="771"/>
      <c r="O195" s="771"/>
      <c r="P195" s="771"/>
      <c r="Q195" s="771"/>
      <c r="R195" s="771"/>
      <c r="S195" s="771"/>
    </row>
    <row r="196" spans="1:19" s="1042" customFormat="1" x14ac:dyDescent="0.35">
      <c r="A196" s="1071" t="s">
        <v>11</v>
      </c>
      <c r="B196" s="1074"/>
      <c r="C196" s="1074"/>
      <c r="D196" s="1075">
        <f>+D193+D194+D195</f>
        <v>785396.66666666674</v>
      </c>
      <c r="E196" s="553"/>
      <c r="F196" s="771"/>
      <c r="G196" s="771"/>
      <c r="H196" s="771"/>
      <c r="I196" s="771"/>
      <c r="J196" s="771"/>
      <c r="K196" s="771"/>
      <c r="L196" s="771"/>
      <c r="M196" s="771"/>
      <c r="N196" s="771"/>
      <c r="O196" s="771"/>
      <c r="P196" s="771"/>
      <c r="Q196" s="771"/>
      <c r="R196" s="771"/>
      <c r="S196" s="771"/>
    </row>
    <row r="200" spans="1:19" s="1042" customFormat="1" ht="23.5" x14ac:dyDescent="0.35">
      <c r="A200" s="1442" t="s">
        <v>1144</v>
      </c>
      <c r="B200" s="1443"/>
      <c r="C200" s="1443"/>
      <c r="D200" s="1444"/>
      <c r="E200" s="553"/>
      <c r="F200" s="771"/>
      <c r="G200" s="771"/>
      <c r="H200" s="771"/>
      <c r="I200" s="771"/>
      <c r="J200" s="771"/>
      <c r="K200" s="771"/>
      <c r="L200" s="771"/>
      <c r="M200" s="771"/>
      <c r="N200" s="771"/>
      <c r="O200" s="771"/>
      <c r="P200" s="771"/>
      <c r="Q200" s="771"/>
      <c r="R200" s="771"/>
      <c r="S200" s="771"/>
    </row>
    <row r="201" spans="1:19" s="1042" customFormat="1" x14ac:dyDescent="0.35">
      <c r="A201" s="2"/>
      <c r="B201" s="270"/>
      <c r="C201" s="217"/>
      <c r="D201" s="597"/>
      <c r="E201" s="553"/>
      <c r="F201" s="771"/>
      <c r="G201" s="771"/>
      <c r="H201" s="771"/>
      <c r="I201" s="771"/>
      <c r="J201" s="771"/>
      <c r="K201" s="771"/>
      <c r="L201" s="771"/>
      <c r="M201" s="771"/>
      <c r="N201" s="771"/>
      <c r="O201" s="771"/>
      <c r="P201" s="771"/>
      <c r="Q201" s="771"/>
      <c r="R201" s="771"/>
      <c r="S201" s="771"/>
    </row>
    <row r="202" spans="1:19" s="1042" customFormat="1" x14ac:dyDescent="0.35">
      <c r="A202" s="772" t="s">
        <v>3</v>
      </c>
      <c r="B202" s="258">
        <v>168</v>
      </c>
      <c r="C202" s="194">
        <v>3570</v>
      </c>
      <c r="D202" s="598">
        <f>+B202*C202</f>
        <v>599760</v>
      </c>
      <c r="E202" s="553" t="s">
        <v>1153</v>
      </c>
      <c r="F202" s="771"/>
      <c r="G202" s="771"/>
      <c r="H202" s="771"/>
      <c r="I202" s="771"/>
      <c r="J202" s="771"/>
      <c r="K202" s="771"/>
      <c r="L202" s="771"/>
      <c r="M202" s="771"/>
      <c r="N202" s="771"/>
      <c r="O202" s="771"/>
      <c r="P202" s="771"/>
      <c r="Q202" s="771"/>
      <c r="R202" s="771"/>
      <c r="S202" s="771"/>
    </row>
    <row r="203" spans="1:19" s="1042" customFormat="1" x14ac:dyDescent="0.35">
      <c r="A203" s="772" t="s">
        <v>379</v>
      </c>
      <c r="B203" s="258">
        <v>16</v>
      </c>
      <c r="C203" s="194">
        <f>+C202</f>
        <v>3570</v>
      </c>
      <c r="D203" s="609">
        <f>+B203*C203</f>
        <v>57120</v>
      </c>
      <c r="E203" s="553"/>
      <c r="F203" s="771"/>
      <c r="G203" s="771"/>
      <c r="H203" s="771"/>
      <c r="I203" s="771"/>
      <c r="J203" s="771"/>
      <c r="K203" s="771"/>
      <c r="L203" s="771"/>
      <c r="M203" s="771"/>
      <c r="N203" s="771"/>
      <c r="O203" s="771"/>
      <c r="P203" s="771"/>
      <c r="Q203" s="771"/>
      <c r="R203" s="771"/>
      <c r="S203" s="771"/>
    </row>
    <row r="204" spans="1:19" s="1042" customFormat="1" x14ac:dyDescent="0.35">
      <c r="A204" s="772" t="s">
        <v>200</v>
      </c>
      <c r="B204" s="258"/>
      <c r="C204" s="194">
        <v>50000</v>
      </c>
      <c r="D204" s="609">
        <f>+C204</f>
        <v>50000</v>
      </c>
      <c r="E204" s="553"/>
      <c r="F204" s="771"/>
      <c r="G204" s="771"/>
      <c r="H204" s="771"/>
      <c r="I204" s="771"/>
      <c r="J204" s="771"/>
      <c r="K204" s="771"/>
      <c r="L204" s="771"/>
      <c r="M204" s="771"/>
      <c r="N204" s="771"/>
      <c r="O204" s="771"/>
      <c r="P204" s="771"/>
      <c r="Q204" s="771"/>
      <c r="R204" s="771"/>
      <c r="S204" s="771"/>
    </row>
    <row r="205" spans="1:19" s="1042" customFormat="1" x14ac:dyDescent="0.35">
      <c r="A205" s="614" t="s">
        <v>6</v>
      </c>
      <c r="B205" s="617"/>
      <c r="C205" s="227">
        <v>100000</v>
      </c>
      <c r="D205" s="609">
        <f>+C205</f>
        <v>100000</v>
      </c>
      <c r="E205" s="553"/>
      <c r="F205" s="771"/>
      <c r="G205" s="771"/>
      <c r="H205" s="771"/>
      <c r="I205" s="771"/>
      <c r="J205" s="771"/>
      <c r="K205" s="771"/>
      <c r="L205" s="771"/>
      <c r="M205" s="771"/>
      <c r="N205" s="771"/>
      <c r="O205" s="771"/>
      <c r="P205" s="771"/>
      <c r="Q205" s="771"/>
      <c r="R205" s="771"/>
      <c r="S205" s="771"/>
    </row>
    <row r="206" spans="1:19" s="1042" customFormat="1" x14ac:dyDescent="0.35">
      <c r="A206" s="614" t="s">
        <v>1035</v>
      </c>
      <c r="B206" s="617"/>
      <c r="C206" s="227"/>
      <c r="D206" s="609"/>
      <c r="E206" s="553"/>
      <c r="F206" s="771"/>
      <c r="G206" s="771"/>
      <c r="H206" s="771"/>
      <c r="I206" s="771"/>
      <c r="J206" s="771"/>
      <c r="K206" s="771"/>
      <c r="L206" s="771"/>
      <c r="M206" s="771"/>
      <c r="N206" s="771"/>
      <c r="O206" s="771"/>
      <c r="P206" s="771"/>
      <c r="Q206" s="771"/>
      <c r="R206" s="771"/>
      <c r="S206" s="771"/>
    </row>
    <row r="207" spans="1:19" s="1042" customFormat="1" x14ac:dyDescent="0.35">
      <c r="A207" s="614" t="s">
        <v>1036</v>
      </c>
      <c r="B207" s="617"/>
      <c r="C207" s="227"/>
      <c r="D207" s="609"/>
      <c r="E207" s="553"/>
      <c r="F207" s="771"/>
      <c r="G207" s="771"/>
      <c r="H207" s="771"/>
      <c r="I207" s="771"/>
      <c r="J207" s="771"/>
      <c r="K207" s="771"/>
      <c r="L207" s="771"/>
      <c r="M207" s="771"/>
      <c r="N207" s="771"/>
      <c r="O207" s="771"/>
      <c r="P207" s="771"/>
      <c r="Q207" s="771"/>
      <c r="R207" s="771"/>
      <c r="S207" s="771"/>
    </row>
    <row r="208" spans="1:19" s="1042" customFormat="1" x14ac:dyDescent="0.35">
      <c r="A208" s="614" t="s">
        <v>823</v>
      </c>
      <c r="B208" s="617"/>
      <c r="C208" s="227"/>
      <c r="D208" s="609"/>
      <c r="E208" s="553"/>
      <c r="F208" s="771"/>
      <c r="G208" s="771"/>
      <c r="H208" s="771"/>
      <c r="I208" s="771"/>
      <c r="J208" s="771"/>
      <c r="K208" s="771"/>
      <c r="L208" s="771"/>
      <c r="M208" s="771"/>
      <c r="N208" s="771"/>
      <c r="O208" s="771"/>
      <c r="P208" s="771"/>
      <c r="Q208" s="771"/>
      <c r="R208" s="771"/>
      <c r="S208" s="771"/>
    </row>
    <row r="209" spans="1:19" s="1042" customFormat="1" x14ac:dyDescent="0.35">
      <c r="A209" s="1223" t="s">
        <v>1146</v>
      </c>
      <c r="B209" s="617"/>
      <c r="C209" s="227">
        <f>+D202+D203+D204+D205</f>
        <v>806880</v>
      </c>
      <c r="D209" s="609">
        <f>806880/12*1.5</f>
        <v>100860</v>
      </c>
      <c r="E209" s="553"/>
      <c r="F209" s="771"/>
      <c r="G209" s="771"/>
      <c r="H209" s="771"/>
      <c r="I209" s="771"/>
      <c r="J209" s="771"/>
      <c r="K209" s="771"/>
      <c r="L209" s="771"/>
      <c r="M209" s="771"/>
      <c r="N209" s="771"/>
      <c r="O209" s="771"/>
      <c r="P209" s="771"/>
      <c r="Q209" s="771"/>
      <c r="R209" s="771"/>
      <c r="S209" s="771"/>
    </row>
    <row r="210" spans="1:19" s="1042" customFormat="1" x14ac:dyDescent="0.35">
      <c r="A210" s="882" t="s">
        <v>389</v>
      </c>
      <c r="B210" s="883"/>
      <c r="C210" s="884"/>
      <c r="D210" s="1058">
        <f>+D202+D203+D204+D205+D206+D207+D208+D209</f>
        <v>907740</v>
      </c>
      <c r="E210" s="553"/>
      <c r="F210" s="771"/>
      <c r="G210" s="771"/>
      <c r="H210" s="771"/>
      <c r="I210" s="771"/>
      <c r="J210" s="771"/>
      <c r="K210" s="771"/>
      <c r="L210" s="771"/>
      <c r="M210" s="771"/>
      <c r="N210" s="771"/>
      <c r="O210" s="771"/>
      <c r="P210" s="771"/>
      <c r="Q210" s="771"/>
      <c r="R210" s="771"/>
      <c r="S210" s="771"/>
    </row>
    <row r="211" spans="1:19" s="1042" customFormat="1" x14ac:dyDescent="0.35">
      <c r="A211" s="1211"/>
      <c r="B211" s="1212"/>
      <c r="C211" s="1213"/>
      <c r="D211" s="1214"/>
      <c r="E211" s="553"/>
      <c r="F211" s="771"/>
      <c r="G211" s="771"/>
      <c r="H211" s="771"/>
      <c r="I211" s="771"/>
      <c r="J211" s="771"/>
      <c r="K211" s="771"/>
      <c r="L211" s="771"/>
      <c r="M211" s="771"/>
      <c r="N211" s="771"/>
      <c r="O211" s="771"/>
      <c r="P211" s="771"/>
      <c r="Q211" s="771"/>
      <c r="R211" s="771"/>
      <c r="S211" s="771"/>
    </row>
    <row r="212" spans="1:19" s="1042" customFormat="1" x14ac:dyDescent="0.35">
      <c r="A212" s="724"/>
      <c r="B212" s="729"/>
      <c r="C212" s="729"/>
      <c r="D212" s="731"/>
      <c r="E212" s="553"/>
      <c r="F212" s="771"/>
      <c r="G212" s="771"/>
      <c r="H212" s="771"/>
      <c r="I212" s="771"/>
      <c r="J212" s="771"/>
      <c r="K212" s="771"/>
      <c r="L212" s="771"/>
      <c r="M212" s="771"/>
      <c r="N212" s="771"/>
      <c r="O212" s="771"/>
      <c r="P212" s="771"/>
      <c r="Q212" s="771"/>
      <c r="R212" s="771"/>
      <c r="S212" s="771"/>
    </row>
    <row r="213" spans="1:19" s="1042" customFormat="1" x14ac:dyDescent="0.35">
      <c r="A213" s="1071" t="s">
        <v>11</v>
      </c>
      <c r="B213" s="1074"/>
      <c r="C213" s="1074"/>
      <c r="D213" s="1075">
        <f>+D210+D211+D212</f>
        <v>907740</v>
      </c>
      <c r="E213" s="553"/>
      <c r="F213" s="771"/>
      <c r="G213" s="771"/>
      <c r="H213" s="771"/>
      <c r="I213" s="771"/>
      <c r="J213" s="771"/>
      <c r="K213" s="771"/>
      <c r="L213" s="771"/>
      <c r="M213" s="771"/>
      <c r="N213" s="771"/>
      <c r="O213" s="771"/>
      <c r="P213" s="771"/>
      <c r="Q213" s="771"/>
      <c r="R213" s="771"/>
      <c r="S213" s="771"/>
    </row>
  </sheetData>
  <mergeCells count="22">
    <mergeCell ref="A80:C80"/>
    <mergeCell ref="A3:D3"/>
    <mergeCell ref="A13:C13"/>
    <mergeCell ref="A16:C16"/>
    <mergeCell ref="A19:D19"/>
    <mergeCell ref="A29:C29"/>
    <mergeCell ref="A35:D35"/>
    <mergeCell ref="A45:C45"/>
    <mergeCell ref="A52:D52"/>
    <mergeCell ref="A62:C62"/>
    <mergeCell ref="A67:D67"/>
    <mergeCell ref="A77:C77"/>
    <mergeCell ref="A150:D150"/>
    <mergeCell ref="A167:D167"/>
    <mergeCell ref="A183:D183"/>
    <mergeCell ref="A200:D200"/>
    <mergeCell ref="A83:D83"/>
    <mergeCell ref="A97:C97"/>
    <mergeCell ref="A102:D102"/>
    <mergeCell ref="A113:C113"/>
    <mergeCell ref="A119:D119"/>
    <mergeCell ref="A135:D135"/>
  </mergeCells>
  <pageMargins left="0.31496062992125984" right="0.11811023622047245" top="0" bottom="0" header="0.31496062992125984" footer="0.31496062992125984"/>
  <pageSetup paperSize="9" scale="24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23C8-A32A-4716-AACA-BA0080125C60}">
  <sheetPr>
    <pageSetUpPr fitToPage="1"/>
  </sheetPr>
  <dimension ref="A1:E47"/>
  <sheetViews>
    <sheetView workbookViewId="0">
      <selection activeCell="B44" sqref="B44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1106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+C17+C23</f>
        <v>9788300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>
        <v>735100</v>
      </c>
      <c r="E5" s="774"/>
    </row>
    <row r="6" spans="1:5" x14ac:dyDescent="0.35">
      <c r="B6" s="258" t="s">
        <v>16</v>
      </c>
      <c r="C6" s="194">
        <v>800400</v>
      </c>
    </row>
    <row r="7" spans="1:5" x14ac:dyDescent="0.35">
      <c r="B7" s="258" t="s">
        <v>0</v>
      </c>
      <c r="C7" s="194">
        <v>908200</v>
      </c>
    </row>
    <row r="8" spans="1:5" x14ac:dyDescent="0.35">
      <c r="B8" s="258" t="s">
        <v>245</v>
      </c>
      <c r="C8" s="194">
        <v>583400</v>
      </c>
    </row>
    <row r="9" spans="1:5" x14ac:dyDescent="0.35">
      <c r="B9" s="258" t="s">
        <v>463</v>
      </c>
      <c r="C9" s="194">
        <v>668900</v>
      </c>
    </row>
    <row r="10" spans="1:5" x14ac:dyDescent="0.35">
      <c r="B10" s="258" t="s">
        <v>1116</v>
      </c>
      <c r="C10" s="194">
        <v>736600</v>
      </c>
    </row>
    <row r="11" spans="1:5" x14ac:dyDescent="0.35">
      <c r="B11" s="258" t="s">
        <v>260</v>
      </c>
      <c r="C11" s="194">
        <v>694000</v>
      </c>
    </row>
    <row r="12" spans="1:5" x14ac:dyDescent="0.35">
      <c r="B12" s="617" t="s">
        <v>613</v>
      </c>
      <c r="C12" s="227">
        <v>1177000</v>
      </c>
    </row>
    <row r="13" spans="1:5" x14ac:dyDescent="0.35">
      <c r="B13" s="315" t="s">
        <v>1068</v>
      </c>
      <c r="C13" s="194">
        <v>421700</v>
      </c>
      <c r="E13" s="774"/>
    </row>
    <row r="14" spans="1:5" x14ac:dyDescent="0.35">
      <c r="B14" s="315" t="s">
        <v>1089</v>
      </c>
      <c r="C14" s="194">
        <v>543700</v>
      </c>
    </row>
    <row r="15" spans="1:5" x14ac:dyDescent="0.35">
      <c r="B15" s="315" t="s">
        <v>1117</v>
      </c>
      <c r="C15" s="194">
        <v>561300</v>
      </c>
    </row>
    <row r="16" spans="1:5" x14ac:dyDescent="0.35">
      <c r="B16" s="315"/>
      <c r="C16" s="194"/>
    </row>
    <row r="17" spans="1:4" x14ac:dyDescent="0.35">
      <c r="B17" s="1016" t="s">
        <v>872</v>
      </c>
      <c r="C17" s="195">
        <f>SUM(C5:C15)</f>
        <v>7830300</v>
      </c>
    </row>
    <row r="18" spans="1:4" x14ac:dyDescent="0.35">
      <c r="B18" s="261"/>
    </row>
    <row r="19" spans="1:4" x14ac:dyDescent="0.35">
      <c r="B19" s="261"/>
    </row>
    <row r="20" spans="1:4" x14ac:dyDescent="0.35">
      <c r="B20" s="261"/>
    </row>
    <row r="21" spans="1:4" x14ac:dyDescent="0.35">
      <c r="B21" s="258" t="s">
        <v>267</v>
      </c>
      <c r="C21" s="194">
        <v>1014000</v>
      </c>
    </row>
    <row r="22" spans="1:4" x14ac:dyDescent="0.35">
      <c r="B22" s="258" t="s">
        <v>1038</v>
      </c>
      <c r="C22" s="194">
        <v>944000</v>
      </c>
    </row>
    <row r="23" spans="1:4" s="90" customFormat="1" x14ac:dyDescent="0.35">
      <c r="B23" s="274" t="s">
        <v>972</v>
      </c>
      <c r="C23" s="195">
        <f>+C21+C22</f>
        <v>1958000</v>
      </c>
      <c r="D23" s="553"/>
    </row>
    <row r="26" spans="1:4" x14ac:dyDescent="0.35">
      <c r="B26" s="274" t="s">
        <v>7</v>
      </c>
      <c r="C26" s="1052" t="s">
        <v>272</v>
      </c>
      <c r="D26" s="1109" t="s">
        <v>200</v>
      </c>
    </row>
    <row r="27" spans="1:4" x14ac:dyDescent="0.35">
      <c r="A27" s="771">
        <v>1</v>
      </c>
      <c r="B27" s="258" t="s">
        <v>10</v>
      </c>
      <c r="C27" s="194">
        <v>3936</v>
      </c>
      <c r="D27" s="598">
        <v>50000</v>
      </c>
    </row>
    <row r="28" spans="1:4" x14ac:dyDescent="0.35">
      <c r="A28" s="771">
        <v>2</v>
      </c>
      <c r="B28" s="258" t="s">
        <v>16</v>
      </c>
      <c r="C28" s="194">
        <v>3375</v>
      </c>
      <c r="D28" s="598">
        <v>50000</v>
      </c>
    </row>
    <row r="29" spans="1:4" x14ac:dyDescent="0.35">
      <c r="A29" s="771">
        <v>3</v>
      </c>
      <c r="B29" s="258" t="s">
        <v>0</v>
      </c>
      <c r="C29" s="194">
        <v>4735</v>
      </c>
      <c r="D29" s="598">
        <v>50000</v>
      </c>
    </row>
    <row r="30" spans="1:4" x14ac:dyDescent="0.35">
      <c r="A30" s="176">
        <v>4</v>
      </c>
      <c r="B30" s="258" t="s">
        <v>267</v>
      </c>
      <c r="C30" s="194">
        <v>3400</v>
      </c>
      <c r="D30" s="598">
        <v>50000</v>
      </c>
    </row>
    <row r="31" spans="1:4" x14ac:dyDescent="0.35">
      <c r="A31" s="176">
        <v>5</v>
      </c>
      <c r="B31" s="258" t="s">
        <v>245</v>
      </c>
      <c r="C31" s="194">
        <v>3147</v>
      </c>
      <c r="D31" s="598">
        <v>50000</v>
      </c>
    </row>
    <row r="32" spans="1:4" x14ac:dyDescent="0.35">
      <c r="A32" s="176">
        <v>6</v>
      </c>
      <c r="B32" s="258" t="s">
        <v>463</v>
      </c>
      <c r="C32" s="194">
        <v>3127</v>
      </c>
      <c r="D32" s="598">
        <v>50000</v>
      </c>
    </row>
    <row r="33" spans="1:4" x14ac:dyDescent="0.35">
      <c r="A33" s="176">
        <v>7</v>
      </c>
      <c r="B33" s="258" t="s">
        <v>553</v>
      </c>
      <c r="C33" s="194">
        <v>3147</v>
      </c>
      <c r="D33" s="598">
        <v>50000</v>
      </c>
    </row>
    <row r="34" spans="1:4" x14ac:dyDescent="0.35">
      <c r="A34" s="176">
        <v>8</v>
      </c>
      <c r="B34" s="258" t="s">
        <v>260</v>
      </c>
      <c r="C34" s="194">
        <v>4230</v>
      </c>
      <c r="D34" s="598">
        <v>50000</v>
      </c>
    </row>
    <row r="35" spans="1:4" x14ac:dyDescent="0.35">
      <c r="A35" s="176">
        <v>9</v>
      </c>
      <c r="B35" s="258" t="s">
        <v>613</v>
      </c>
      <c r="C35" s="194">
        <v>4230</v>
      </c>
      <c r="D35" s="598">
        <v>50000</v>
      </c>
    </row>
    <row r="36" spans="1:4" x14ac:dyDescent="0.35">
      <c r="A36" s="176">
        <v>10</v>
      </c>
      <c r="B36" s="258" t="s">
        <v>1038</v>
      </c>
      <c r="C36" s="194">
        <v>3400</v>
      </c>
      <c r="D36" s="598">
        <v>50000</v>
      </c>
    </row>
    <row r="37" spans="1:4" x14ac:dyDescent="0.35">
      <c r="A37" s="176">
        <v>11</v>
      </c>
      <c r="B37" s="315" t="s">
        <v>1068</v>
      </c>
      <c r="C37" s="194">
        <v>2622</v>
      </c>
      <c r="D37" s="598">
        <v>50000</v>
      </c>
    </row>
    <row r="38" spans="1:4" x14ac:dyDescent="0.35">
      <c r="A38" s="176">
        <v>12</v>
      </c>
      <c r="B38" s="315" t="s">
        <v>1089</v>
      </c>
      <c r="C38" s="194">
        <v>3400</v>
      </c>
      <c r="D38" s="598">
        <v>50000</v>
      </c>
    </row>
    <row r="39" spans="1:4" x14ac:dyDescent="0.35">
      <c r="A39" s="176">
        <v>13</v>
      </c>
      <c r="B39" s="315" t="s">
        <v>1117</v>
      </c>
      <c r="C39" s="194">
        <v>3400</v>
      </c>
      <c r="D39" s="598">
        <v>50000</v>
      </c>
    </row>
    <row r="40" spans="1:4" x14ac:dyDescent="0.35">
      <c r="B40" s="315"/>
      <c r="C40" s="194"/>
      <c r="D40" s="598"/>
    </row>
    <row r="41" spans="1:4" x14ac:dyDescent="0.35">
      <c r="B41" s="1121"/>
      <c r="C41" s="204"/>
      <c r="D41" s="205"/>
    </row>
    <row r="43" spans="1:4" x14ac:dyDescent="0.35">
      <c r="A43" s="701" t="s">
        <v>106</v>
      </c>
      <c r="B43" s="702" t="s">
        <v>873</v>
      </c>
      <c r="C43" s="1013" t="s">
        <v>803</v>
      </c>
      <c r="D43" s="1092" t="s">
        <v>7</v>
      </c>
    </row>
    <row r="44" spans="1:4" x14ac:dyDescent="0.35">
      <c r="A44" s="703">
        <v>16</v>
      </c>
      <c r="B44" s="703">
        <v>9</v>
      </c>
      <c r="C44" s="964">
        <f>+A44*B44</f>
        <v>144</v>
      </c>
      <c r="D44" s="593" t="s">
        <v>874</v>
      </c>
    </row>
    <row r="45" spans="1:4" x14ac:dyDescent="0.35">
      <c r="A45" s="703">
        <v>5</v>
      </c>
      <c r="B45" s="703">
        <v>8</v>
      </c>
      <c r="C45" s="964">
        <f>+A45*B45</f>
        <v>40</v>
      </c>
      <c r="D45" s="593" t="s">
        <v>117</v>
      </c>
    </row>
    <row r="46" spans="1:4" x14ac:dyDescent="0.35">
      <c r="A46" s="703">
        <v>1</v>
      </c>
      <c r="B46" s="703">
        <v>8</v>
      </c>
      <c r="C46" s="964">
        <f>+A46*B46</f>
        <v>8</v>
      </c>
      <c r="D46" s="593" t="s">
        <v>111</v>
      </c>
    </row>
    <row r="47" spans="1:4" x14ac:dyDescent="0.35">
      <c r="A47" s="568"/>
      <c r="B47" s="773"/>
      <c r="C47" s="964">
        <f>+C44+C45+C46</f>
        <v>192</v>
      </c>
      <c r="D47" s="593" t="s">
        <v>1107</v>
      </c>
    </row>
  </sheetData>
  <pageMargins left="0.7" right="0.7" top="0.75" bottom="0.75" header="0.3" footer="0.3"/>
  <pageSetup paperSize="9" scale="94" fitToHeight="0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7AF5-9B2B-4F76-B499-9F99FB90C866}">
  <sheetPr>
    <pageSetUpPr fitToPage="1"/>
  </sheetPr>
  <dimension ref="A1:E47"/>
  <sheetViews>
    <sheetView workbookViewId="0">
      <selection activeCell="D17" sqref="D17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1155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+C17+C23</f>
        <v>15407000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>
        <v>1120000</v>
      </c>
      <c r="E5" s="774"/>
    </row>
    <row r="6" spans="1:5" x14ac:dyDescent="0.35">
      <c r="B6" s="258" t="s">
        <v>16</v>
      </c>
      <c r="C6" s="194">
        <v>1383000</v>
      </c>
    </row>
    <row r="7" spans="1:5" x14ac:dyDescent="0.35">
      <c r="B7" s="258" t="s">
        <v>0</v>
      </c>
      <c r="C7" s="194">
        <v>1360000</v>
      </c>
    </row>
    <row r="8" spans="1:5" x14ac:dyDescent="0.35">
      <c r="B8" s="258" t="s">
        <v>245</v>
      </c>
      <c r="C8" s="194">
        <v>933000</v>
      </c>
    </row>
    <row r="9" spans="1:5" x14ac:dyDescent="0.35">
      <c r="B9" s="258" t="s">
        <v>463</v>
      </c>
      <c r="C9" s="194">
        <v>1232000</v>
      </c>
    </row>
    <row r="10" spans="1:5" x14ac:dyDescent="0.35">
      <c r="B10" s="258" t="s">
        <v>1116</v>
      </c>
      <c r="C10" s="194">
        <v>1419000</v>
      </c>
    </row>
    <row r="11" spans="1:5" x14ac:dyDescent="0.35">
      <c r="B11" s="258" t="s">
        <v>260</v>
      </c>
      <c r="C11" s="194">
        <v>1122000</v>
      </c>
    </row>
    <row r="12" spans="1:5" x14ac:dyDescent="0.35">
      <c r="B12" s="617" t="s">
        <v>613</v>
      </c>
      <c r="C12" s="227">
        <v>1719000</v>
      </c>
    </row>
    <row r="13" spans="1:5" x14ac:dyDescent="0.35">
      <c r="B13" s="315" t="s">
        <v>1068</v>
      </c>
      <c r="C13" s="194">
        <v>724000</v>
      </c>
      <c r="E13" s="774"/>
    </row>
    <row r="14" spans="1:5" x14ac:dyDescent="0.35">
      <c r="B14" s="315" t="s">
        <v>1089</v>
      </c>
      <c r="C14" s="194">
        <v>786000</v>
      </c>
    </row>
    <row r="15" spans="1:5" x14ac:dyDescent="0.35">
      <c r="B15" s="315" t="s">
        <v>1117</v>
      </c>
      <c r="C15" s="194">
        <v>908000</v>
      </c>
    </row>
    <row r="16" spans="1:5" x14ac:dyDescent="0.35">
      <c r="B16" s="315"/>
      <c r="C16" s="194"/>
    </row>
    <row r="17" spans="1:4" x14ac:dyDescent="0.35">
      <c r="B17" s="1016" t="s">
        <v>872</v>
      </c>
      <c r="C17" s="195">
        <f>SUM(C5:C15)</f>
        <v>12706000</v>
      </c>
    </row>
    <row r="18" spans="1:4" x14ac:dyDescent="0.35">
      <c r="B18" s="261"/>
    </row>
    <row r="19" spans="1:4" x14ac:dyDescent="0.35">
      <c r="B19" s="261"/>
    </row>
    <row r="20" spans="1:4" x14ac:dyDescent="0.35">
      <c r="B20" s="261"/>
    </row>
    <row r="21" spans="1:4" x14ac:dyDescent="0.35">
      <c r="B21" s="258" t="s">
        <v>267</v>
      </c>
      <c r="C21" s="194">
        <v>1394000</v>
      </c>
    </row>
    <row r="22" spans="1:4" x14ac:dyDescent="0.35">
      <c r="B22" s="258" t="s">
        <v>1038</v>
      </c>
      <c r="C22" s="194">
        <v>1307000</v>
      </c>
    </row>
    <row r="23" spans="1:4" s="90" customFormat="1" x14ac:dyDescent="0.35">
      <c r="B23" s="274" t="s">
        <v>972</v>
      </c>
      <c r="C23" s="195">
        <f>+C21+C22</f>
        <v>2701000</v>
      </c>
      <c r="D23" s="553"/>
    </row>
    <row r="26" spans="1:4" x14ac:dyDescent="0.35">
      <c r="B26" s="274" t="s">
        <v>7</v>
      </c>
      <c r="C26" s="1052" t="s">
        <v>272</v>
      </c>
      <c r="D26" s="1109" t="s">
        <v>200</v>
      </c>
    </row>
    <row r="27" spans="1:4" x14ac:dyDescent="0.35">
      <c r="A27" s="771">
        <v>1</v>
      </c>
      <c r="B27" s="258" t="s">
        <v>10</v>
      </c>
      <c r="C27" s="194">
        <v>3936</v>
      </c>
      <c r="D27" s="598">
        <v>50000</v>
      </c>
    </row>
    <row r="28" spans="1:4" x14ac:dyDescent="0.35">
      <c r="A28" s="771">
        <v>2</v>
      </c>
      <c r="B28" s="258" t="s">
        <v>16</v>
      </c>
      <c r="C28" s="194">
        <v>3375</v>
      </c>
      <c r="D28" s="598">
        <v>50000</v>
      </c>
    </row>
    <row r="29" spans="1:4" x14ac:dyDescent="0.35">
      <c r="A29" s="771">
        <v>3</v>
      </c>
      <c r="B29" s="258" t="s">
        <v>0</v>
      </c>
      <c r="C29" s="194">
        <v>4735</v>
      </c>
      <c r="D29" s="598">
        <v>50000</v>
      </c>
    </row>
    <row r="30" spans="1:4" x14ac:dyDescent="0.35">
      <c r="A30" s="176">
        <v>4</v>
      </c>
      <c r="B30" s="258" t="s">
        <v>267</v>
      </c>
      <c r="C30" s="194">
        <v>3400</v>
      </c>
      <c r="D30" s="598">
        <v>50000</v>
      </c>
    </row>
    <row r="31" spans="1:4" x14ac:dyDescent="0.35">
      <c r="A31" s="176">
        <v>5</v>
      </c>
      <c r="B31" s="258" t="s">
        <v>245</v>
      </c>
      <c r="C31" s="194">
        <v>3147</v>
      </c>
      <c r="D31" s="598">
        <v>50000</v>
      </c>
    </row>
    <row r="32" spans="1:4" x14ac:dyDescent="0.35">
      <c r="A32" s="176">
        <v>6</v>
      </c>
      <c r="B32" s="258" t="s">
        <v>463</v>
      </c>
      <c r="C32" s="194">
        <v>3127</v>
      </c>
      <c r="D32" s="598">
        <v>50000</v>
      </c>
    </row>
    <row r="33" spans="1:4" x14ac:dyDescent="0.35">
      <c r="A33" s="176">
        <v>7</v>
      </c>
      <c r="B33" s="258" t="s">
        <v>553</v>
      </c>
      <c r="C33" s="194">
        <v>3147</v>
      </c>
      <c r="D33" s="598">
        <v>50000</v>
      </c>
    </row>
    <row r="34" spans="1:4" x14ac:dyDescent="0.35">
      <c r="A34" s="176">
        <v>8</v>
      </c>
      <c r="B34" s="258" t="s">
        <v>260</v>
      </c>
      <c r="C34" s="194">
        <v>4230</v>
      </c>
      <c r="D34" s="598">
        <v>50000</v>
      </c>
    </row>
    <row r="35" spans="1:4" x14ac:dyDescent="0.35">
      <c r="A35" s="176">
        <v>9</v>
      </c>
      <c r="B35" s="258" t="s">
        <v>613</v>
      </c>
      <c r="C35" s="194">
        <v>4230</v>
      </c>
      <c r="D35" s="598">
        <v>50000</v>
      </c>
    </row>
    <row r="36" spans="1:4" x14ac:dyDescent="0.35">
      <c r="A36" s="176">
        <v>10</v>
      </c>
      <c r="B36" s="258" t="s">
        <v>1038</v>
      </c>
      <c r="C36" s="194">
        <v>3400</v>
      </c>
      <c r="D36" s="598">
        <v>50000</v>
      </c>
    </row>
    <row r="37" spans="1:4" x14ac:dyDescent="0.35">
      <c r="A37" s="176">
        <v>11</v>
      </c>
      <c r="B37" s="315" t="s">
        <v>1068</v>
      </c>
      <c r="C37" s="194">
        <v>2622</v>
      </c>
      <c r="D37" s="598">
        <v>50000</v>
      </c>
    </row>
    <row r="38" spans="1:4" x14ac:dyDescent="0.35">
      <c r="A38" s="176">
        <v>12</v>
      </c>
      <c r="B38" s="315" t="s">
        <v>1089</v>
      </c>
      <c r="C38" s="194">
        <v>3400</v>
      </c>
      <c r="D38" s="598">
        <v>50000</v>
      </c>
    </row>
    <row r="39" spans="1:4" x14ac:dyDescent="0.35">
      <c r="A39" s="176">
        <v>13</v>
      </c>
      <c r="B39" s="315" t="s">
        <v>1117</v>
      </c>
      <c r="C39" s="194">
        <v>3400</v>
      </c>
      <c r="D39" s="598">
        <v>50000</v>
      </c>
    </row>
    <row r="40" spans="1:4" x14ac:dyDescent="0.35">
      <c r="B40" s="315"/>
      <c r="C40" s="194"/>
      <c r="D40" s="598"/>
    </row>
    <row r="41" spans="1:4" x14ac:dyDescent="0.35">
      <c r="B41" s="1121"/>
      <c r="C41" s="204"/>
      <c r="D41" s="205"/>
    </row>
    <row r="43" spans="1:4" x14ac:dyDescent="0.35">
      <c r="A43" s="701" t="s">
        <v>106</v>
      </c>
      <c r="B43" s="702" t="s">
        <v>873</v>
      </c>
      <c r="C43" s="1013" t="s">
        <v>803</v>
      </c>
      <c r="D43" s="1092" t="s">
        <v>7</v>
      </c>
    </row>
    <row r="44" spans="1:4" x14ac:dyDescent="0.35">
      <c r="A44" s="703">
        <v>16</v>
      </c>
      <c r="B44" s="703">
        <v>9</v>
      </c>
      <c r="C44" s="964">
        <f>+A44*B44</f>
        <v>144</v>
      </c>
      <c r="D44" s="593" t="s">
        <v>874</v>
      </c>
    </row>
    <row r="45" spans="1:4" x14ac:dyDescent="0.35">
      <c r="A45" s="703">
        <v>3</v>
      </c>
      <c r="B45" s="703">
        <v>8</v>
      </c>
      <c r="C45" s="964">
        <f>+A45*B45</f>
        <v>24</v>
      </c>
      <c r="D45" s="593" t="s">
        <v>117</v>
      </c>
    </row>
    <row r="46" spans="1:4" x14ac:dyDescent="0.35">
      <c r="A46" s="703">
        <v>2</v>
      </c>
      <c r="B46" s="703">
        <v>8</v>
      </c>
      <c r="C46" s="964">
        <f>+A46*B46</f>
        <v>16</v>
      </c>
      <c r="D46" s="593" t="s">
        <v>111</v>
      </c>
    </row>
    <row r="47" spans="1:4" x14ac:dyDescent="0.35">
      <c r="A47" s="568"/>
      <c r="B47" s="773"/>
      <c r="C47" s="964">
        <f>+C44+C45+C46</f>
        <v>184</v>
      </c>
      <c r="D47" s="593" t="s">
        <v>1148</v>
      </c>
    </row>
  </sheetData>
  <pageMargins left="0.7" right="0.7" top="0.75" bottom="0.75" header="0.3" footer="0.3"/>
  <pageSetup paperSize="9" scale="94" fitToHeight="0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9131-BA3D-4A16-96E2-6BDC3DF912D3}">
  <sheetPr>
    <pageSetUpPr fitToPage="1"/>
  </sheetPr>
  <dimension ref="A1:S212"/>
  <sheetViews>
    <sheetView topLeftCell="A49" zoomScaleNormal="100" workbookViewId="0">
      <selection activeCell="D63" sqref="D63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45839</v>
      </c>
    </row>
    <row r="3" spans="1:18" ht="25.5" customHeight="1" x14ac:dyDescent="0.35">
      <c r="A3" s="1466" t="s">
        <v>1159</v>
      </c>
      <c r="B3" s="1431"/>
      <c r="C3" s="1431"/>
      <c r="D3" s="1431"/>
    </row>
    <row r="4" spans="1:18" s="1235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f>192-8</f>
        <v>184</v>
      </c>
      <c r="C5" s="227">
        <v>4133</v>
      </c>
      <c r="D5" s="598">
        <f>+B5*C5</f>
        <v>760472</v>
      </c>
      <c r="Q5" s="1235"/>
    </row>
    <row r="6" spans="1:18" ht="18" customHeight="1" x14ac:dyDescent="0.35">
      <c r="A6" s="772" t="s">
        <v>403</v>
      </c>
      <c r="B6" s="258">
        <v>8</v>
      </c>
      <c r="C6" s="227">
        <f>+C5</f>
        <v>4133</v>
      </c>
      <c r="D6" s="598">
        <f>+B6*C6</f>
        <v>33064</v>
      </c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v>50000</v>
      </c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F8" s="176"/>
    </row>
    <row r="9" spans="1:18" ht="18" customHeight="1" x14ac:dyDescent="0.35">
      <c r="A9" s="772" t="s">
        <v>467</v>
      </c>
      <c r="B9" s="258"/>
      <c r="C9" s="194">
        <f>+C5*1.5</f>
        <v>6199.5</v>
      </c>
      <c r="D9" s="598">
        <f>+B9*C9</f>
        <v>0</v>
      </c>
      <c r="F9" s="176"/>
    </row>
    <row r="10" spans="1:18" ht="18" customHeight="1" x14ac:dyDescent="0.35">
      <c r="A10" s="772" t="s">
        <v>281</v>
      </c>
      <c r="B10" s="258"/>
      <c r="C10" s="194">
        <f>+C5*2</f>
        <v>8266</v>
      </c>
      <c r="D10" s="598">
        <f>+B10*C10</f>
        <v>0</v>
      </c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>
        <v>250000</v>
      </c>
      <c r="E11" s="1199"/>
      <c r="F11" s="1191"/>
      <c r="R11" s="1193"/>
    </row>
    <row r="12" spans="1:18" s="1192" customFormat="1" ht="18" customHeight="1" x14ac:dyDescent="0.35">
      <c r="A12" s="1149"/>
      <c r="B12" s="1150"/>
      <c r="C12" s="1151"/>
      <c r="D12" s="1152"/>
      <c r="E12" s="1199"/>
      <c r="F12" s="1191"/>
      <c r="R12" s="1193"/>
    </row>
    <row r="13" spans="1:18" ht="18" customHeight="1" x14ac:dyDescent="0.35">
      <c r="A13" s="1470" t="s">
        <v>389</v>
      </c>
      <c r="B13" s="1470"/>
      <c r="C13" s="1470"/>
      <c r="D13" s="599">
        <f>+D5+D6+D7+D8+D9+D10+D11+D12</f>
        <v>1193536</v>
      </c>
      <c r="F13" s="248"/>
      <c r="G13" s="248"/>
      <c r="H13" s="248"/>
      <c r="I13" s="248"/>
      <c r="J13" s="248"/>
      <c r="K13" s="248"/>
      <c r="L13" s="248"/>
      <c r="M13" s="248"/>
      <c r="O13" s="1235"/>
    </row>
    <row r="14" spans="1:18" ht="18" customHeight="1" x14ac:dyDescent="0.35">
      <c r="A14" s="800" t="s">
        <v>1179</v>
      </c>
      <c r="B14" s="720"/>
      <c r="C14" s="720"/>
      <c r="D14" s="722">
        <v>-513194.05</v>
      </c>
      <c r="F14" s="248"/>
      <c r="G14" s="248"/>
      <c r="H14" s="248"/>
      <c r="I14" s="248"/>
      <c r="J14" s="248"/>
      <c r="K14" s="248"/>
      <c r="L14" s="248"/>
      <c r="M14" s="248"/>
      <c r="O14" s="1235"/>
    </row>
    <row r="15" spans="1:18" ht="18" customHeight="1" x14ac:dyDescent="0.35">
      <c r="A15" s="1141"/>
      <c r="B15" s="721"/>
      <c r="C15" s="905"/>
      <c r="D15" s="722"/>
      <c r="F15" s="248"/>
      <c r="G15" s="248"/>
      <c r="H15" s="248"/>
      <c r="I15" s="248"/>
      <c r="J15" s="248"/>
      <c r="K15" s="248"/>
      <c r="L15" s="248"/>
      <c r="M15" s="248"/>
      <c r="O15" s="1235"/>
    </row>
    <row r="16" spans="1:18" ht="18" customHeight="1" x14ac:dyDescent="0.35">
      <c r="A16" s="1433" t="s">
        <v>11</v>
      </c>
      <c r="B16" s="1433"/>
      <c r="C16" s="1433"/>
      <c r="D16" s="603">
        <f>+D13+D14+D15</f>
        <v>680341.95</v>
      </c>
      <c r="F16" s="321"/>
      <c r="G16" s="321"/>
      <c r="H16" s="473"/>
      <c r="I16" s="321"/>
      <c r="J16" s="321"/>
      <c r="Q16" s="1235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235"/>
    </row>
    <row r="18" spans="1:19" s="908" customFormat="1" ht="18" customHeight="1" x14ac:dyDescent="0.35">
      <c r="A18" s="689"/>
      <c r="B18" s="689"/>
      <c r="C18" s="689"/>
      <c r="D18" s="688"/>
      <c r="E18" s="768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1163</v>
      </c>
      <c r="B19" s="1451"/>
      <c r="C19" s="1451"/>
      <c r="D19" s="1452"/>
      <c r="E19" s="796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>
        <v>192</v>
      </c>
      <c r="C21" s="211">
        <v>4133</v>
      </c>
      <c r="D21" s="211">
        <f>+B21*C21</f>
        <v>793536</v>
      </c>
      <c r="J21" s="182"/>
    </row>
    <row r="22" spans="1:19" ht="18" customHeight="1" x14ac:dyDescent="0.35">
      <c r="A22" s="607" t="s">
        <v>394</v>
      </c>
      <c r="B22" s="267">
        <v>8</v>
      </c>
      <c r="C22" s="211">
        <f>+C21</f>
        <v>4133</v>
      </c>
      <c r="D22" s="211">
        <f>+B22*C22</f>
        <v>33064</v>
      </c>
      <c r="J22" s="182"/>
    </row>
    <row r="23" spans="1:19" ht="18" customHeight="1" x14ac:dyDescent="0.35">
      <c r="A23" s="772" t="s">
        <v>196</v>
      </c>
      <c r="B23" s="267"/>
      <c r="C23" s="211">
        <v>50000</v>
      </c>
      <c r="D23" s="211">
        <f>+C23</f>
        <v>50000</v>
      </c>
      <c r="I23" s="1235"/>
    </row>
    <row r="24" spans="1:19" ht="18" customHeight="1" x14ac:dyDescent="0.35">
      <c r="A24" s="772" t="s">
        <v>6</v>
      </c>
      <c r="B24" s="267"/>
      <c r="C24" s="211">
        <v>100000</v>
      </c>
      <c r="D24" s="211">
        <f>+C24</f>
        <v>100000</v>
      </c>
      <c r="I24" s="1235"/>
    </row>
    <row r="25" spans="1:19" ht="18" customHeight="1" x14ac:dyDescent="0.35">
      <c r="A25" s="772" t="s">
        <v>1028</v>
      </c>
      <c r="B25" s="267">
        <v>6.5</v>
      </c>
      <c r="C25" s="211">
        <f>+C21*1.5</f>
        <v>6199.5</v>
      </c>
      <c r="D25" s="211">
        <f>B25*C25</f>
        <v>40296.75</v>
      </c>
      <c r="E25" s="1025"/>
      <c r="F25" s="181"/>
      <c r="G25" s="187"/>
      <c r="H25" s="188"/>
      <c r="I25" s="1235"/>
      <c r="L25" s="1235"/>
    </row>
    <row r="26" spans="1:19" ht="18" customHeight="1" x14ac:dyDescent="0.35">
      <c r="A26" s="772" t="s">
        <v>281</v>
      </c>
      <c r="B26" s="267"/>
      <c r="C26" s="211">
        <f>+C21*2</f>
        <v>8266</v>
      </c>
      <c r="D26" s="211">
        <f>+B26*C26</f>
        <v>0</v>
      </c>
      <c r="E26" s="1025"/>
      <c r="F26" s="181"/>
      <c r="G26" s="187"/>
      <c r="H26" s="188"/>
      <c r="I26" s="1235"/>
      <c r="L26" s="1235"/>
    </row>
    <row r="27" spans="1:19" s="1192" customFormat="1" ht="18" customHeight="1" x14ac:dyDescent="0.35">
      <c r="A27" s="1149" t="s">
        <v>1040</v>
      </c>
      <c r="B27" s="1196"/>
      <c r="C27" s="1197"/>
      <c r="D27" s="1197">
        <v>250000</v>
      </c>
      <c r="E27" s="1233"/>
      <c r="F27" s="1198"/>
      <c r="G27" s="1195"/>
      <c r="H27" s="1195"/>
      <c r="I27" s="1193"/>
      <c r="L27" s="1193"/>
    </row>
    <row r="28" spans="1:19" s="1192" customFormat="1" ht="18" customHeight="1" x14ac:dyDescent="0.35">
      <c r="A28" s="1200"/>
      <c r="B28" s="1220"/>
      <c r="C28" s="1221"/>
      <c r="D28" s="1197"/>
      <c r="E28" s="1233"/>
      <c r="F28" s="1198"/>
      <c r="G28" s="1195"/>
      <c r="H28" s="1195"/>
      <c r="I28" s="1193"/>
      <c r="L28" s="1193"/>
    </row>
    <row r="29" spans="1:19" s="1235" customFormat="1" ht="18" customHeight="1" x14ac:dyDescent="0.35">
      <c r="A29" s="1463" t="s">
        <v>389</v>
      </c>
      <c r="B29" s="1464"/>
      <c r="C29" s="1465"/>
      <c r="D29" s="599">
        <f>+D21+D22+D23+D24+D25+D26+D27+D28</f>
        <v>1266896.75</v>
      </c>
      <c r="E29" s="553"/>
      <c r="F29" s="181"/>
      <c r="G29" s="181"/>
      <c r="H29" s="184"/>
      <c r="I29" s="771"/>
      <c r="K29" s="771"/>
      <c r="L29" s="771"/>
    </row>
    <row r="30" spans="1:19" s="1235" customFormat="1" ht="18" customHeight="1" x14ac:dyDescent="0.35">
      <c r="A30" s="825" t="s">
        <v>1160</v>
      </c>
      <c r="B30" s="824" t="s">
        <v>1151</v>
      </c>
      <c r="C30" s="823"/>
      <c r="D30" s="930">
        <v>-400000</v>
      </c>
      <c r="E30" s="553"/>
      <c r="F30" s="181"/>
      <c r="G30" s="181"/>
      <c r="H30" s="184"/>
      <c r="I30" s="771"/>
      <c r="K30" s="771"/>
      <c r="L30" s="771"/>
    </row>
    <row r="31" spans="1:19" s="1235" customFormat="1" ht="18" customHeight="1" x14ac:dyDescent="0.35">
      <c r="A31" s="825" t="s">
        <v>1161</v>
      </c>
      <c r="B31" s="824"/>
      <c r="C31" s="823"/>
      <c r="D31" s="930">
        <v>-250000</v>
      </c>
      <c r="E31" s="553"/>
      <c r="F31" s="181"/>
      <c r="G31" s="181"/>
      <c r="H31" s="184"/>
      <c r="I31" s="771"/>
      <c r="K31" s="771"/>
      <c r="L31" s="771"/>
    </row>
    <row r="32" spans="1:19" ht="18" customHeight="1" x14ac:dyDescent="0.35">
      <c r="A32" s="786" t="s">
        <v>11</v>
      </c>
      <c r="B32" s="783"/>
      <c r="C32" s="783"/>
      <c r="D32" s="784">
        <f>+D29+D30+D31</f>
        <v>616896.75</v>
      </c>
      <c r="F32" s="181"/>
      <c r="G32" s="181"/>
      <c r="H32" s="184"/>
    </row>
    <row r="33" spans="1:19" ht="18" customHeight="1" x14ac:dyDescent="0.35">
      <c r="A33" s="1047"/>
      <c r="B33" s="594"/>
      <c r="C33" s="594"/>
      <c r="D33" s="595"/>
      <c r="F33" s="181"/>
      <c r="G33" s="181"/>
      <c r="H33" s="184"/>
    </row>
    <row r="34" spans="1:19" ht="18" customHeight="1" x14ac:dyDescent="0.35">
      <c r="A34" s="594"/>
      <c r="B34" s="594"/>
      <c r="C34" s="594"/>
      <c r="D34" s="595"/>
      <c r="F34" s="181"/>
      <c r="G34" s="181"/>
      <c r="H34" s="184"/>
    </row>
    <row r="35" spans="1:19" ht="18" customHeight="1" x14ac:dyDescent="0.35">
      <c r="A35" s="1431" t="s">
        <v>1164</v>
      </c>
      <c r="B35" s="1431"/>
      <c r="C35" s="1431"/>
      <c r="D35" s="1431"/>
      <c r="F35" s="181"/>
      <c r="G35" s="181"/>
      <c r="H35" s="184"/>
    </row>
    <row r="36" spans="1:19" ht="18" customHeight="1" x14ac:dyDescent="0.35">
      <c r="A36" s="2"/>
      <c r="B36" s="270" t="s">
        <v>8</v>
      </c>
      <c r="C36" s="217" t="s">
        <v>4</v>
      </c>
      <c r="D36" s="597" t="s">
        <v>9</v>
      </c>
      <c r="F36" s="181"/>
      <c r="G36" s="181"/>
      <c r="H36" s="184"/>
    </row>
    <row r="37" spans="1:19" ht="18" customHeight="1" x14ac:dyDescent="0.35">
      <c r="A37" s="772" t="s">
        <v>253</v>
      </c>
      <c r="B37" s="258">
        <v>192</v>
      </c>
      <c r="C37" s="194">
        <v>4972</v>
      </c>
      <c r="D37" s="598">
        <f>+B37*C37</f>
        <v>954624</v>
      </c>
      <c r="F37" s="181"/>
      <c r="G37" s="181"/>
      <c r="H37" s="184"/>
    </row>
    <row r="38" spans="1:19" ht="18" customHeight="1" x14ac:dyDescent="0.35">
      <c r="A38" s="772" t="s">
        <v>394</v>
      </c>
      <c r="B38" s="258">
        <v>8</v>
      </c>
      <c r="C38" s="194">
        <f>+C37</f>
        <v>4972</v>
      </c>
      <c r="D38" s="598">
        <f>+B38*C38</f>
        <v>39776</v>
      </c>
      <c r="F38" s="181"/>
      <c r="G38" s="181"/>
      <c r="H38" s="184"/>
    </row>
    <row r="39" spans="1:19" ht="15" customHeight="1" x14ac:dyDescent="0.35">
      <c r="A39" s="772" t="s">
        <v>196</v>
      </c>
      <c r="B39" s="258"/>
      <c r="C39" s="194">
        <v>50000</v>
      </c>
      <c r="D39" s="598">
        <f>+C39</f>
        <v>50000</v>
      </c>
      <c r="F39" s="181"/>
      <c r="G39" s="181"/>
      <c r="H39" s="184"/>
      <c r="I39" s="1235"/>
    </row>
    <row r="40" spans="1:19" ht="15" customHeight="1" x14ac:dyDescent="0.35">
      <c r="A40" s="772" t="s">
        <v>6</v>
      </c>
      <c r="B40" s="258"/>
      <c r="C40" s="194">
        <v>100000</v>
      </c>
      <c r="D40" s="598">
        <f>+C40</f>
        <v>100000</v>
      </c>
      <c r="F40" s="181"/>
      <c r="G40" s="181"/>
      <c r="H40" s="184"/>
      <c r="I40" s="1235"/>
    </row>
    <row r="41" spans="1:19" ht="15" customHeight="1" x14ac:dyDescent="0.35">
      <c r="A41" s="772" t="s">
        <v>1029</v>
      </c>
      <c r="B41" s="315">
        <v>0.5</v>
      </c>
      <c r="C41" s="194">
        <f>+C37*1.5</f>
        <v>7458</v>
      </c>
      <c r="D41" s="598">
        <f>+B41*C41</f>
        <v>3729</v>
      </c>
      <c r="F41" s="181"/>
      <c r="G41" s="181"/>
      <c r="H41" s="184"/>
      <c r="I41" s="1235"/>
    </row>
    <row r="42" spans="1:19" ht="15" customHeight="1" x14ac:dyDescent="0.35">
      <c r="A42" s="772" t="s">
        <v>449</v>
      </c>
      <c r="B42" s="315"/>
      <c r="C42" s="194">
        <f>+C37*2</f>
        <v>9944</v>
      </c>
      <c r="D42" s="598">
        <f>+B42*C42</f>
        <v>0</v>
      </c>
      <c r="F42" s="181"/>
      <c r="G42" s="416"/>
      <c r="H42" s="184"/>
      <c r="I42" s="1235"/>
    </row>
    <row r="43" spans="1:19" s="1192" customFormat="1" ht="15" customHeight="1" x14ac:dyDescent="0.35">
      <c r="A43" s="1149" t="s">
        <v>1040</v>
      </c>
      <c r="B43" s="1232"/>
      <c r="C43" s="1151"/>
      <c r="D43" s="1152">
        <v>250000</v>
      </c>
      <c r="E43" s="1199"/>
      <c r="F43" s="1198"/>
      <c r="G43" s="1203"/>
      <c r="H43" s="1198"/>
      <c r="I43" s="1193"/>
    </row>
    <row r="44" spans="1:19" s="1192" customFormat="1" ht="15" customHeight="1" x14ac:dyDescent="0.35">
      <c r="A44" s="1149"/>
      <c r="B44" s="1232"/>
      <c r="C44" s="1151"/>
      <c r="D44" s="1152"/>
      <c r="E44" s="1199"/>
      <c r="F44" s="1198"/>
      <c r="G44" s="1203"/>
      <c r="H44" s="1198"/>
      <c r="I44" s="1193"/>
    </row>
    <row r="45" spans="1:19" ht="15" customHeight="1" x14ac:dyDescent="0.35">
      <c r="A45" s="1459" t="s">
        <v>389</v>
      </c>
      <c r="B45" s="1459"/>
      <c r="C45" s="1459"/>
      <c r="D45" s="599">
        <f>+D37+D38+D39+D40+D41+D42+D43+D44</f>
        <v>1398129</v>
      </c>
      <c r="J45" s="176"/>
      <c r="K45" s="176"/>
      <c r="L45" s="176"/>
      <c r="M45" s="181"/>
      <c r="N45" s="181"/>
      <c r="O45" s="184"/>
      <c r="Q45" s="1235"/>
    </row>
    <row r="46" spans="1:19" s="1235" customFormat="1" ht="15" customHeight="1" x14ac:dyDescent="0.35">
      <c r="A46" s="921" t="s">
        <v>1180</v>
      </c>
      <c r="B46" s="727" t="s">
        <v>63</v>
      </c>
      <c r="C46" s="727" t="s">
        <v>63</v>
      </c>
      <c r="D46" s="722">
        <v>-522137.86</v>
      </c>
      <c r="E46" s="1025"/>
      <c r="F46" s="774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235" customFormat="1" ht="15" customHeight="1" x14ac:dyDescent="0.35">
      <c r="A47" s="921"/>
      <c r="B47" s="727"/>
      <c r="C47" s="727"/>
      <c r="D47" s="722"/>
      <c r="E47" s="1025"/>
      <c r="F47" s="774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s="1235" customFormat="1" ht="15" customHeight="1" x14ac:dyDescent="0.35">
      <c r="A48" s="1103" t="s">
        <v>11</v>
      </c>
      <c r="B48" s="1104"/>
      <c r="C48" s="1231"/>
      <c r="D48" s="675">
        <f>+D45+D46+D47</f>
        <v>875991.14</v>
      </c>
      <c r="E48" s="1025"/>
      <c r="F48" s="771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235" customFormat="1" ht="15" customHeight="1" x14ac:dyDescent="0.35">
      <c r="A49" s="1224" t="s">
        <v>1149</v>
      </c>
      <c r="B49" s="1225"/>
      <c r="C49" s="1226"/>
      <c r="D49" s="844">
        <v>250000</v>
      </c>
      <c r="E49" s="1025"/>
      <c r="F49" s="771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ht="15" customHeight="1" x14ac:dyDescent="0.35">
      <c r="A50" s="1229" t="s">
        <v>1177</v>
      </c>
      <c r="B50" s="1149"/>
      <c r="C50" s="1149"/>
      <c r="D50" s="1230">
        <f>+D48+D49</f>
        <v>1125991.1400000001</v>
      </c>
      <c r="K50" s="183"/>
      <c r="L50" s="183"/>
      <c r="M50" s="176"/>
      <c r="N50" s="176"/>
      <c r="O50" s="176"/>
      <c r="Q50" s="1235"/>
    </row>
    <row r="51" spans="1:19" ht="15" customHeight="1" x14ac:dyDescent="0.35">
      <c r="A51" s="1145"/>
      <c r="B51" s="1227"/>
      <c r="C51" s="1227"/>
      <c r="D51" s="1228"/>
      <c r="K51" s="183"/>
      <c r="L51" s="183"/>
      <c r="M51" s="176"/>
      <c r="N51" s="176"/>
      <c r="O51" s="176"/>
      <c r="Q51" s="1235"/>
    </row>
    <row r="52" spans="1:19" ht="15" customHeight="1" x14ac:dyDescent="0.35">
      <c r="A52" s="1442" t="s">
        <v>1165</v>
      </c>
      <c r="B52" s="1443"/>
      <c r="C52" s="1443"/>
      <c r="D52" s="1444"/>
      <c r="S52" s="1235"/>
    </row>
    <row r="53" spans="1:19" x14ac:dyDescent="0.35">
      <c r="A53" s="2" t="s">
        <v>7</v>
      </c>
      <c r="B53" s="270" t="s">
        <v>8</v>
      </c>
      <c r="C53" s="217" t="s">
        <v>4</v>
      </c>
      <c r="D53" s="597" t="s">
        <v>9</v>
      </c>
    </row>
    <row r="54" spans="1:19" x14ac:dyDescent="0.35">
      <c r="A54" s="772" t="s">
        <v>253</v>
      </c>
      <c r="B54" s="258">
        <f>192-8</f>
        <v>184</v>
      </c>
      <c r="C54" s="227">
        <v>3570</v>
      </c>
      <c r="D54" s="598">
        <f>+B54*C54</f>
        <v>656880</v>
      </c>
    </row>
    <row r="55" spans="1:19" x14ac:dyDescent="0.35">
      <c r="A55" s="772" t="s">
        <v>1162</v>
      </c>
      <c r="B55" s="258">
        <v>8</v>
      </c>
      <c r="C55" s="227">
        <f>+C54</f>
        <v>3570</v>
      </c>
      <c r="D55" s="598">
        <f>+B55+C55</f>
        <v>3578</v>
      </c>
    </row>
    <row r="56" spans="1:19" x14ac:dyDescent="0.35">
      <c r="A56" s="772" t="s">
        <v>394</v>
      </c>
      <c r="B56" s="258">
        <v>8</v>
      </c>
      <c r="C56" s="227">
        <f>+C54</f>
        <v>3570</v>
      </c>
      <c r="D56" s="598">
        <f>+B56*C56</f>
        <v>28560</v>
      </c>
    </row>
    <row r="57" spans="1:19" x14ac:dyDescent="0.35">
      <c r="A57" s="772" t="s">
        <v>266</v>
      </c>
      <c r="B57" s="258"/>
      <c r="C57" s="227">
        <v>50000</v>
      </c>
      <c r="D57" s="598">
        <v>25000</v>
      </c>
    </row>
    <row r="58" spans="1:19" x14ac:dyDescent="0.35">
      <c r="A58" s="772" t="s">
        <v>6</v>
      </c>
      <c r="B58" s="258"/>
      <c r="C58" s="227">
        <v>100000</v>
      </c>
      <c r="D58" s="598">
        <f>+C58</f>
        <v>100000</v>
      </c>
    </row>
    <row r="59" spans="1:19" x14ac:dyDescent="0.35">
      <c r="A59" s="772" t="s">
        <v>1030</v>
      </c>
      <c r="B59" s="258">
        <v>1.5</v>
      </c>
      <c r="C59" s="194">
        <f>+C54*1.5</f>
        <v>5355</v>
      </c>
      <c r="D59" s="598">
        <f>+B59*C59</f>
        <v>8032.5</v>
      </c>
    </row>
    <row r="60" spans="1:19" x14ac:dyDescent="0.35">
      <c r="A60" s="772" t="s">
        <v>449</v>
      </c>
      <c r="B60" s="258"/>
      <c r="C60" s="194">
        <f>+C54*2</f>
        <v>7140</v>
      </c>
      <c r="D60" s="598">
        <f>+B60*C60</f>
        <v>0</v>
      </c>
    </row>
    <row r="61" spans="1:19" s="1192" customFormat="1" x14ac:dyDescent="0.35">
      <c r="A61" s="1200" t="s">
        <v>823</v>
      </c>
      <c r="B61" s="1208"/>
      <c r="C61" s="1202"/>
      <c r="D61" s="1152">
        <v>150000</v>
      </c>
      <c r="E61" s="1199"/>
    </row>
    <row r="62" spans="1:19" s="1192" customFormat="1" x14ac:dyDescent="0.35">
      <c r="A62" s="1200"/>
      <c r="B62" s="1208"/>
      <c r="C62" s="1202"/>
      <c r="D62" s="1152"/>
      <c r="E62" s="1199"/>
    </row>
    <row r="63" spans="1:19" x14ac:dyDescent="0.35">
      <c r="A63" s="1463" t="s">
        <v>389</v>
      </c>
      <c r="B63" s="1464"/>
      <c r="C63" s="1465"/>
      <c r="D63" s="599">
        <f>+D54+D56+D57+D58+D59+D60+D61+D62</f>
        <v>968472.5</v>
      </c>
      <c r="F63" s="774"/>
    </row>
    <row r="64" spans="1:19" x14ac:dyDescent="0.35">
      <c r="A64" s="904" t="s">
        <v>19</v>
      </c>
      <c r="B64" s="922"/>
      <c r="C64" s="720"/>
      <c r="D64" s="722"/>
    </row>
    <row r="65" spans="1:6" x14ac:dyDescent="0.35">
      <c r="A65" s="672" t="s">
        <v>11</v>
      </c>
      <c r="B65" s="1209"/>
      <c r="C65" s="674"/>
      <c r="D65" s="675">
        <f>+D63+D64</f>
        <v>968472.5</v>
      </c>
    </row>
    <row r="66" spans="1:6" x14ac:dyDescent="0.35">
      <c r="B66" s="771"/>
      <c r="C66" s="771"/>
      <c r="D66" s="771"/>
    </row>
    <row r="68" spans="1:6" ht="14.5" customHeight="1" x14ac:dyDescent="0.35">
      <c r="A68" s="1442" t="s">
        <v>1166</v>
      </c>
      <c r="B68" s="1443"/>
      <c r="C68" s="1443"/>
      <c r="D68" s="1444"/>
    </row>
    <row r="69" spans="1:6" ht="14.5" customHeight="1" x14ac:dyDescent="0.35">
      <c r="A69" s="2" t="s">
        <v>7</v>
      </c>
      <c r="B69" s="270" t="s">
        <v>8</v>
      </c>
      <c r="C69" s="217" t="s">
        <v>4</v>
      </c>
      <c r="D69" s="597" t="s">
        <v>63</v>
      </c>
    </row>
    <row r="70" spans="1:6" ht="14.5" customHeight="1" x14ac:dyDescent="0.35">
      <c r="A70" s="772" t="s">
        <v>3</v>
      </c>
      <c r="B70" s="258">
        <v>192</v>
      </c>
      <c r="C70" s="227">
        <v>3305</v>
      </c>
      <c r="D70" s="598">
        <f>+B70*C70</f>
        <v>634560</v>
      </c>
    </row>
    <row r="71" spans="1:6" ht="14.5" customHeight="1" x14ac:dyDescent="0.35">
      <c r="A71" s="772" t="s">
        <v>394</v>
      </c>
      <c r="B71" s="258">
        <v>8</v>
      </c>
      <c r="C71" s="227">
        <f>+C70</f>
        <v>3305</v>
      </c>
      <c r="D71" s="598">
        <f>+B71*C71</f>
        <v>26440</v>
      </c>
    </row>
    <row r="72" spans="1:6" x14ac:dyDescent="0.35">
      <c r="A72" s="772" t="s">
        <v>266</v>
      </c>
      <c r="B72" s="258"/>
      <c r="C72" s="227">
        <v>50000</v>
      </c>
      <c r="D72" s="598">
        <f>+C72</f>
        <v>50000</v>
      </c>
    </row>
    <row r="73" spans="1:6" x14ac:dyDescent="0.35">
      <c r="A73" s="772" t="s">
        <v>6</v>
      </c>
      <c r="B73" s="258"/>
      <c r="C73" s="227">
        <v>100000</v>
      </c>
      <c r="D73" s="598">
        <v>100000</v>
      </c>
    </row>
    <row r="74" spans="1:6" s="1069" customFormat="1" x14ac:dyDescent="0.35">
      <c r="A74" s="614" t="s">
        <v>270</v>
      </c>
      <c r="B74" s="617">
        <v>0.5</v>
      </c>
      <c r="C74" s="227">
        <f>+C70*1.5</f>
        <v>4957.5</v>
      </c>
      <c r="D74" s="598">
        <f>+B74*C74</f>
        <v>2478.75</v>
      </c>
      <c r="E74" s="553"/>
    </row>
    <row r="75" spans="1:6" x14ac:dyDescent="0.35">
      <c r="A75" s="772" t="s">
        <v>281</v>
      </c>
      <c r="B75" s="258"/>
      <c r="C75" s="227">
        <f>+C70*2</f>
        <v>6610</v>
      </c>
      <c r="D75" s="598">
        <f>+B75*C75</f>
        <v>0</v>
      </c>
    </row>
    <row r="76" spans="1:6" s="1192" customFormat="1" x14ac:dyDescent="0.35">
      <c r="A76" s="1200" t="s">
        <v>1040</v>
      </c>
      <c r="B76" s="1208"/>
      <c r="C76" s="1202"/>
      <c r="D76" s="1152">
        <v>130000</v>
      </c>
      <c r="E76" s="1199"/>
    </row>
    <row r="77" spans="1:6" s="1192" customFormat="1" x14ac:dyDescent="0.35">
      <c r="A77" s="1200"/>
      <c r="B77" s="1208"/>
      <c r="C77" s="1202"/>
      <c r="D77" s="1152"/>
      <c r="E77" s="1199"/>
    </row>
    <row r="78" spans="1:6" x14ac:dyDescent="0.35">
      <c r="A78" s="1463" t="s">
        <v>389</v>
      </c>
      <c r="B78" s="1464"/>
      <c r="C78" s="1465"/>
      <c r="D78" s="599">
        <f>+D70+D71+D72+D73+D74+D75+D76+D77</f>
        <v>943478.75</v>
      </c>
      <c r="F78" s="774"/>
    </row>
    <row r="79" spans="1:6" x14ac:dyDescent="0.35">
      <c r="A79" s="723" t="s">
        <v>779</v>
      </c>
      <c r="B79" s="721"/>
      <c r="C79" s="721"/>
      <c r="D79" s="722">
        <v>-295000</v>
      </c>
    </row>
    <row r="80" spans="1:6" x14ac:dyDescent="0.35">
      <c r="A80" s="723" t="s">
        <v>1167</v>
      </c>
      <c r="B80" s="721"/>
      <c r="C80" s="721"/>
      <c r="D80" s="722">
        <v>-130000</v>
      </c>
    </row>
    <row r="81" spans="1:6" ht="15.5" x14ac:dyDescent="0.35">
      <c r="A81" s="1460" t="s">
        <v>11</v>
      </c>
      <c r="B81" s="1461"/>
      <c r="C81" s="1462"/>
      <c r="D81" s="603">
        <f>+D78+D79+D80</f>
        <v>518478.75</v>
      </c>
    </row>
    <row r="82" spans="1:6" s="90" customFormat="1" x14ac:dyDescent="0.35">
      <c r="A82" s="1035"/>
      <c r="B82" s="1042"/>
      <c r="C82" s="553"/>
      <c r="D82" s="1051"/>
      <c r="E82" s="553"/>
    </row>
    <row r="84" spans="1:6" ht="23.5" x14ac:dyDescent="0.35">
      <c r="A84" s="1442" t="s">
        <v>1168</v>
      </c>
      <c r="B84" s="1443"/>
      <c r="C84" s="1443"/>
      <c r="D84" s="1444"/>
    </row>
    <row r="85" spans="1:6" x14ac:dyDescent="0.35">
      <c r="A85" s="2" t="s">
        <v>7</v>
      </c>
      <c r="B85" s="270" t="s">
        <v>388</v>
      </c>
      <c r="C85" s="217" t="s">
        <v>272</v>
      </c>
      <c r="D85" s="597" t="s">
        <v>9</v>
      </c>
    </row>
    <row r="86" spans="1:6" x14ac:dyDescent="0.35">
      <c r="A86" s="772" t="s">
        <v>3</v>
      </c>
      <c r="B86" s="258">
        <v>192</v>
      </c>
      <c r="C86" s="227">
        <v>3284</v>
      </c>
      <c r="D86" s="598">
        <f>+B86*C86</f>
        <v>630528</v>
      </c>
    </row>
    <row r="87" spans="1:6" x14ac:dyDescent="0.35">
      <c r="A87" s="772" t="s">
        <v>394</v>
      </c>
      <c r="B87" s="258">
        <v>8</v>
      </c>
      <c r="C87" s="227">
        <f>+C86</f>
        <v>3284</v>
      </c>
      <c r="D87" s="598">
        <f>+B87*C87</f>
        <v>26272</v>
      </c>
    </row>
    <row r="88" spans="1:6" x14ac:dyDescent="0.35">
      <c r="A88" s="772" t="s">
        <v>6</v>
      </c>
      <c r="B88" s="258"/>
      <c r="C88" s="227">
        <v>80000</v>
      </c>
      <c r="D88" s="598">
        <f>+C88</f>
        <v>80000</v>
      </c>
    </row>
    <row r="89" spans="1:6" x14ac:dyDescent="0.35">
      <c r="A89" s="772" t="s">
        <v>200</v>
      </c>
      <c r="B89" s="258"/>
      <c r="C89" s="227">
        <v>50000</v>
      </c>
      <c r="D89" s="598">
        <v>50000</v>
      </c>
    </row>
    <row r="90" spans="1:6" x14ac:dyDescent="0.35">
      <c r="A90" s="772" t="s">
        <v>1032</v>
      </c>
      <c r="B90" s="258">
        <v>6.5</v>
      </c>
      <c r="C90" s="227">
        <f>+C86*1.5</f>
        <v>4926</v>
      </c>
      <c r="D90" s="811">
        <f>+B90*C90</f>
        <v>32019</v>
      </c>
    </row>
    <row r="91" spans="1:6" x14ac:dyDescent="0.35">
      <c r="A91" s="772" t="s">
        <v>757</v>
      </c>
      <c r="B91" s="258"/>
      <c r="C91" s="227">
        <f>+C86*2</f>
        <v>6568</v>
      </c>
      <c r="D91" s="598">
        <f>+B91*C91</f>
        <v>0</v>
      </c>
    </row>
    <row r="92" spans="1:6" s="1192" customFormat="1" x14ac:dyDescent="0.35">
      <c r="A92" s="1149" t="s">
        <v>1033</v>
      </c>
      <c r="B92" s="1150"/>
      <c r="C92" s="1151"/>
      <c r="D92" s="1152">
        <v>300000</v>
      </c>
      <c r="E92" s="1199"/>
    </row>
    <row r="93" spans="1:6" s="1192" customFormat="1" x14ac:dyDescent="0.35">
      <c r="A93" s="1149"/>
      <c r="B93" s="1150"/>
      <c r="C93" s="1151"/>
      <c r="D93" s="1152"/>
      <c r="E93" s="1199"/>
    </row>
    <row r="94" spans="1:6" x14ac:dyDescent="0.35">
      <c r="A94" s="1036" t="s">
        <v>389</v>
      </c>
      <c r="B94" s="681"/>
      <c r="C94" s="1037"/>
      <c r="D94" s="1038">
        <f>+D86+D87+D88+D89+D90+D91+D92+D93</f>
        <v>1118819</v>
      </c>
    </row>
    <row r="95" spans="1:6" x14ac:dyDescent="0.35">
      <c r="A95" s="772" t="s">
        <v>19</v>
      </c>
      <c r="B95" s="258"/>
      <c r="C95" s="227"/>
      <c r="D95" s="731">
        <v>-300000</v>
      </c>
      <c r="F95" s="774"/>
    </row>
    <row r="96" spans="1:6" x14ac:dyDescent="0.35">
      <c r="A96" s="772"/>
      <c r="B96" s="258"/>
      <c r="C96" s="227"/>
      <c r="D96" s="731"/>
    </row>
    <row r="97" spans="1:5" ht="15.5" x14ac:dyDescent="0.35">
      <c r="A97" s="1460" t="s">
        <v>11</v>
      </c>
      <c r="B97" s="1461"/>
      <c r="C97" s="1462"/>
      <c r="D97" s="603">
        <f>+D94+D95+D96</f>
        <v>818819</v>
      </c>
    </row>
    <row r="98" spans="1:5" ht="15.5" x14ac:dyDescent="0.35">
      <c r="A98" s="723" t="s">
        <v>631</v>
      </c>
      <c r="B98" s="723"/>
      <c r="C98" s="723"/>
      <c r="D98" s="832">
        <v>-190000</v>
      </c>
    </row>
    <row r="99" spans="1:5" ht="15.5" x14ac:dyDescent="0.35">
      <c r="A99" s="611" t="s">
        <v>1010</v>
      </c>
      <c r="B99" s="611"/>
      <c r="C99" s="611"/>
      <c r="D99" s="603">
        <f>+D97+D98</f>
        <v>628819</v>
      </c>
    </row>
    <row r="100" spans="1:5" s="90" customFormat="1" x14ac:dyDescent="0.35">
      <c r="B100" s="1042"/>
      <c r="C100" s="553"/>
      <c r="D100" s="1051" t="s">
        <v>63</v>
      </c>
      <c r="E100" s="553"/>
    </row>
    <row r="102" spans="1:5" ht="23.5" x14ac:dyDescent="0.35">
      <c r="A102" s="1431" t="s">
        <v>1169</v>
      </c>
      <c r="B102" s="1431"/>
      <c r="C102" s="1431"/>
      <c r="D102" s="1431"/>
    </row>
    <row r="103" spans="1:5" x14ac:dyDescent="0.35">
      <c r="A103" s="2" t="s">
        <v>7</v>
      </c>
      <c r="B103" s="270" t="s">
        <v>8</v>
      </c>
      <c r="C103" s="217" t="s">
        <v>4</v>
      </c>
      <c r="D103" s="597" t="s">
        <v>9</v>
      </c>
    </row>
    <row r="104" spans="1:5" x14ac:dyDescent="0.35">
      <c r="A104" s="772" t="s">
        <v>3</v>
      </c>
      <c r="B104" s="258">
        <v>159</v>
      </c>
      <c r="C104" s="227">
        <v>3305</v>
      </c>
      <c r="D104" s="598">
        <f>+B104*C104</f>
        <v>525495</v>
      </c>
    </row>
    <row r="105" spans="1:5" x14ac:dyDescent="0.35">
      <c r="A105" s="772" t="s">
        <v>403</v>
      </c>
      <c r="B105" s="258">
        <v>8</v>
      </c>
      <c r="C105" s="227">
        <v>0</v>
      </c>
      <c r="D105" s="598">
        <f>+B105*C105</f>
        <v>0</v>
      </c>
    </row>
    <row r="106" spans="1:5" x14ac:dyDescent="0.35">
      <c r="A106" s="772" t="s">
        <v>877</v>
      </c>
      <c r="B106" s="258"/>
      <c r="C106" s="227">
        <v>50000</v>
      </c>
      <c r="D106" s="598">
        <v>37500</v>
      </c>
    </row>
    <row r="107" spans="1:5" x14ac:dyDescent="0.35">
      <c r="A107" s="772" t="s">
        <v>6</v>
      </c>
      <c r="B107" s="258"/>
      <c r="C107" s="194">
        <v>100000</v>
      </c>
      <c r="D107" s="598">
        <f>+C107</f>
        <v>100000</v>
      </c>
    </row>
    <row r="108" spans="1:5" x14ac:dyDescent="0.35">
      <c r="A108" s="772" t="s">
        <v>1032</v>
      </c>
      <c r="B108" s="258">
        <v>1.5</v>
      </c>
      <c r="C108" s="194">
        <f>+C104*1.5</f>
        <v>4957.5</v>
      </c>
      <c r="D108" s="598">
        <f>+B108*C108</f>
        <v>7436.25</v>
      </c>
    </row>
    <row r="109" spans="1:5" x14ac:dyDescent="0.35">
      <c r="A109" s="772" t="s">
        <v>281</v>
      </c>
      <c r="B109" s="258"/>
      <c r="C109" s="194">
        <f>+C104*2</f>
        <v>6610</v>
      </c>
      <c r="D109" s="598">
        <f>+B109*C109</f>
        <v>0</v>
      </c>
    </row>
    <row r="110" spans="1:5" s="90" customFormat="1" x14ac:dyDescent="0.35">
      <c r="A110" s="141" t="s">
        <v>1033</v>
      </c>
      <c r="B110" s="274"/>
      <c r="C110" s="195"/>
      <c r="D110" s="1017">
        <v>130000</v>
      </c>
      <c r="E110" s="553"/>
    </row>
    <row r="111" spans="1:5" s="90" customFormat="1" x14ac:dyDescent="0.35">
      <c r="A111" s="1145"/>
      <c r="B111" s="1146"/>
      <c r="C111" s="1147"/>
      <c r="D111" s="1017"/>
      <c r="E111" s="553"/>
    </row>
    <row r="112" spans="1:5" x14ac:dyDescent="0.35">
      <c r="A112" s="1463" t="s">
        <v>389</v>
      </c>
      <c r="B112" s="1464"/>
      <c r="C112" s="1465"/>
      <c r="D112" s="599">
        <f>+D104+D105+D106+D107+D108+D109+D110+D111</f>
        <v>800431.25</v>
      </c>
    </row>
    <row r="113" spans="1:5" x14ac:dyDescent="0.35">
      <c r="A113" s="724" t="s">
        <v>374</v>
      </c>
      <c r="B113" s="729"/>
      <c r="C113" s="730"/>
      <c r="D113" s="731"/>
    </row>
    <row r="114" spans="1:5" x14ac:dyDescent="0.35">
      <c r="A114" s="724"/>
      <c r="B114" s="729"/>
      <c r="C114" s="730"/>
      <c r="D114" s="731"/>
    </row>
    <row r="115" spans="1:5" s="997" customFormat="1" ht="15.5" x14ac:dyDescent="0.35">
      <c r="A115" s="992" t="s">
        <v>11</v>
      </c>
      <c r="B115" s="1181"/>
      <c r="C115" s="994"/>
      <c r="D115" s="995">
        <f>+D112+D113+D114</f>
        <v>800431.25</v>
      </c>
      <c r="E115" s="1026"/>
    </row>
    <row r="116" spans="1:5" s="90" customFormat="1" x14ac:dyDescent="0.35">
      <c r="B116" s="1042"/>
      <c r="C116" s="553"/>
      <c r="D116" s="1051"/>
      <c r="E116" s="553"/>
    </row>
    <row r="118" spans="1:5" ht="23.5" x14ac:dyDescent="0.35">
      <c r="A118" s="1442" t="s">
        <v>1172</v>
      </c>
      <c r="B118" s="1443"/>
      <c r="C118" s="1443"/>
      <c r="D118" s="1444"/>
    </row>
    <row r="119" spans="1:5" x14ac:dyDescent="0.35">
      <c r="A119" s="2" t="s">
        <v>7</v>
      </c>
      <c r="B119" s="270" t="s">
        <v>388</v>
      </c>
      <c r="C119" s="217" t="s">
        <v>629</v>
      </c>
      <c r="D119" s="597" t="s">
        <v>9</v>
      </c>
    </row>
    <row r="120" spans="1:5" x14ac:dyDescent="0.35">
      <c r="A120" s="772" t="s">
        <v>3</v>
      </c>
      <c r="B120" s="258">
        <v>174.5</v>
      </c>
      <c r="C120" s="194">
        <v>4442</v>
      </c>
      <c r="D120" s="598">
        <f>+B120*C120</f>
        <v>775129</v>
      </c>
    </row>
    <row r="121" spans="1:5" x14ac:dyDescent="0.35">
      <c r="A121" s="772" t="s">
        <v>394</v>
      </c>
      <c r="B121" s="258">
        <v>8</v>
      </c>
      <c r="C121" s="194">
        <f>+C120</f>
        <v>4442</v>
      </c>
      <c r="D121" s="609">
        <f>+B121*C121</f>
        <v>35536</v>
      </c>
    </row>
    <row r="122" spans="1:5" x14ac:dyDescent="0.35">
      <c r="A122" s="772" t="s">
        <v>556</v>
      </c>
      <c r="B122" s="258"/>
      <c r="C122" s="194">
        <v>50000</v>
      </c>
      <c r="D122" s="609">
        <f>+C122*0</f>
        <v>0</v>
      </c>
    </row>
    <row r="123" spans="1:5" x14ac:dyDescent="0.35">
      <c r="A123" s="772" t="s">
        <v>6</v>
      </c>
      <c r="B123" s="258"/>
      <c r="C123" s="194">
        <v>100000</v>
      </c>
      <c r="D123" s="609">
        <f>+C123</f>
        <v>100000</v>
      </c>
    </row>
    <row r="124" spans="1:5" x14ac:dyDescent="0.35">
      <c r="A124" s="772" t="s">
        <v>1109</v>
      </c>
      <c r="B124" s="258">
        <v>16</v>
      </c>
      <c r="C124" s="194">
        <f>+C120</f>
        <v>4442</v>
      </c>
      <c r="D124" s="609">
        <f>+B124*C124</f>
        <v>71072</v>
      </c>
    </row>
    <row r="125" spans="1:5" x14ac:dyDescent="0.35">
      <c r="A125" s="614" t="s">
        <v>628</v>
      </c>
      <c r="B125" s="617">
        <v>1.1499999999999999</v>
      </c>
      <c r="C125" s="227">
        <f>+C120*1.5</f>
        <v>6663</v>
      </c>
      <c r="D125" s="609">
        <f>+B125*C125</f>
        <v>7662.45</v>
      </c>
    </row>
    <row r="126" spans="1:5" x14ac:dyDescent="0.35">
      <c r="A126" s="614" t="s">
        <v>823</v>
      </c>
      <c r="B126" s="617"/>
      <c r="C126" s="227"/>
      <c r="D126" s="609">
        <v>120000</v>
      </c>
    </row>
    <row r="127" spans="1:5" x14ac:dyDescent="0.35">
      <c r="A127" s="614"/>
      <c r="B127" s="617"/>
      <c r="C127" s="227"/>
      <c r="D127" s="609"/>
    </row>
    <row r="128" spans="1:5" s="90" customFormat="1" x14ac:dyDescent="0.35">
      <c r="A128" s="1071" t="s">
        <v>389</v>
      </c>
      <c r="B128" s="1074"/>
      <c r="C128" s="1172"/>
      <c r="D128" s="1173">
        <f>+D120+D121+D122+D123+D124+D125+D126+D127</f>
        <v>1109399.45</v>
      </c>
      <c r="E128" s="553"/>
    </row>
    <row r="129" spans="1:5" x14ac:dyDescent="0.35">
      <c r="A129" s="614" t="s">
        <v>1170</v>
      </c>
      <c r="B129" s="617"/>
      <c r="C129" s="227"/>
      <c r="D129" s="609">
        <v>58900</v>
      </c>
    </row>
    <row r="130" spans="1:5" x14ac:dyDescent="0.35">
      <c r="A130" s="614" t="s">
        <v>1171</v>
      </c>
      <c r="B130" s="617"/>
      <c r="C130" s="227"/>
      <c r="D130" s="609">
        <v>32300</v>
      </c>
    </row>
    <row r="131" spans="1:5" ht="15.5" x14ac:dyDescent="0.35">
      <c r="A131" s="1059" t="s">
        <v>11</v>
      </c>
      <c r="B131" s="1060"/>
      <c r="C131" s="1061"/>
      <c r="D131" s="1167">
        <f>+D128+D129+D130</f>
        <v>1200599.45</v>
      </c>
    </row>
    <row r="134" spans="1:5" ht="23.5" x14ac:dyDescent="0.35">
      <c r="A134" s="1442" t="s">
        <v>1173</v>
      </c>
      <c r="B134" s="1443"/>
      <c r="C134" s="1443"/>
      <c r="D134" s="1444"/>
    </row>
    <row r="135" spans="1:5" x14ac:dyDescent="0.35">
      <c r="A135" s="2" t="s">
        <v>7</v>
      </c>
      <c r="B135" s="270" t="s">
        <v>8</v>
      </c>
      <c r="C135" s="217" t="s">
        <v>4</v>
      </c>
      <c r="D135" s="597" t="s">
        <v>9</v>
      </c>
    </row>
    <row r="136" spans="1:5" x14ac:dyDescent="0.35">
      <c r="A136" s="772" t="s">
        <v>3</v>
      </c>
      <c r="B136" s="258">
        <v>153.5</v>
      </c>
      <c r="C136" s="194">
        <v>4442</v>
      </c>
      <c r="D136" s="598">
        <f>+B136*C136</f>
        <v>681847</v>
      </c>
    </row>
    <row r="137" spans="1:5" x14ac:dyDescent="0.35">
      <c r="A137" s="772" t="s">
        <v>394</v>
      </c>
      <c r="B137" s="258">
        <v>7.5</v>
      </c>
      <c r="C137" s="194">
        <f>+C136</f>
        <v>4442</v>
      </c>
      <c r="D137" s="609">
        <f>+B137*C137</f>
        <v>33315</v>
      </c>
    </row>
    <row r="138" spans="1:5" x14ac:dyDescent="0.35">
      <c r="A138" s="772" t="s">
        <v>6</v>
      </c>
      <c r="B138" s="258"/>
      <c r="C138" s="194">
        <v>100000</v>
      </c>
      <c r="D138" s="609">
        <f>+C138</f>
        <v>100000</v>
      </c>
    </row>
    <row r="139" spans="1:5" x14ac:dyDescent="0.35">
      <c r="A139" s="614" t="s">
        <v>556</v>
      </c>
      <c r="B139" s="617"/>
      <c r="C139" s="227">
        <v>50000</v>
      </c>
      <c r="D139" s="609">
        <v>50000</v>
      </c>
    </row>
    <row r="140" spans="1:5" x14ac:dyDescent="0.35">
      <c r="A140" s="614" t="s">
        <v>1035</v>
      </c>
      <c r="B140" s="617"/>
      <c r="C140" s="227">
        <f>+C136*1.5</f>
        <v>6663</v>
      </c>
      <c r="D140" s="609">
        <f>+B140*C140</f>
        <v>0</v>
      </c>
    </row>
    <row r="141" spans="1:5" s="1192" customFormat="1" x14ac:dyDescent="0.35">
      <c r="A141" s="1149" t="s">
        <v>823</v>
      </c>
      <c r="B141" s="1150"/>
      <c r="C141" s="1151">
        <v>120000</v>
      </c>
      <c r="D141" s="1210">
        <f>+C141</f>
        <v>120000</v>
      </c>
      <c r="E141" s="1199"/>
    </row>
    <row r="142" spans="1:5" x14ac:dyDescent="0.35">
      <c r="A142" s="1149"/>
      <c r="B142" s="617"/>
      <c r="C142" s="227"/>
      <c r="D142" s="609"/>
    </row>
    <row r="143" spans="1:5" x14ac:dyDescent="0.35">
      <c r="A143" s="882" t="s">
        <v>389</v>
      </c>
      <c r="B143" s="883"/>
      <c r="C143" s="884"/>
      <c r="D143" s="1058">
        <f>+D136+D137+D138+D139+D140+D141+D142</f>
        <v>985162</v>
      </c>
    </row>
    <row r="144" spans="1:5" x14ac:dyDescent="0.35">
      <c r="A144" s="724" t="s">
        <v>742</v>
      </c>
      <c r="B144" s="729"/>
      <c r="C144" s="729"/>
      <c r="D144" s="731"/>
    </row>
    <row r="145" spans="1:19" x14ac:dyDescent="0.35">
      <c r="A145" s="1071" t="s">
        <v>11</v>
      </c>
      <c r="B145" s="1074"/>
      <c r="C145" s="1074"/>
      <c r="D145" s="1075">
        <f>+D143+D144</f>
        <v>985162</v>
      </c>
    </row>
    <row r="149" spans="1:19" s="1042" customFormat="1" ht="23.5" x14ac:dyDescent="0.35">
      <c r="A149" s="1442" t="s">
        <v>1174</v>
      </c>
      <c r="B149" s="1443"/>
      <c r="C149" s="1443"/>
      <c r="D149" s="1444"/>
      <c r="E149" s="553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042" customFormat="1" x14ac:dyDescent="0.35">
      <c r="A150" s="2" t="s">
        <v>7</v>
      </c>
      <c r="B150" s="270" t="s">
        <v>388</v>
      </c>
      <c r="C150" s="217" t="s">
        <v>1037</v>
      </c>
      <c r="D150" s="597" t="s">
        <v>9</v>
      </c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772" t="s">
        <v>3</v>
      </c>
      <c r="B151" s="258">
        <v>192</v>
      </c>
      <c r="C151" s="194">
        <v>3570</v>
      </c>
      <c r="D151" s="598">
        <f>+B151*C151</f>
        <v>685440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772" t="s">
        <v>394</v>
      </c>
      <c r="B152" s="258">
        <v>8</v>
      </c>
      <c r="C152" s="194">
        <f>+C151</f>
        <v>3570</v>
      </c>
      <c r="D152" s="609">
        <f>+B152*C152</f>
        <v>28560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72" t="s">
        <v>200</v>
      </c>
      <c r="B153" s="258"/>
      <c r="C153" s="194">
        <v>50000</v>
      </c>
      <c r="D153" s="609">
        <f>+C153</f>
        <v>50000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614" t="s">
        <v>6</v>
      </c>
      <c r="B154" s="617"/>
      <c r="C154" s="227">
        <v>100000</v>
      </c>
      <c r="D154" s="609">
        <f>+C154</f>
        <v>100000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614" t="s">
        <v>1035</v>
      </c>
      <c r="B155" s="617">
        <v>2.5</v>
      </c>
      <c r="C155" s="227">
        <f>+C151*1.5</f>
        <v>5355</v>
      </c>
      <c r="D155" s="609">
        <f>+B155*C155</f>
        <v>13387.5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614" t="s">
        <v>1036</v>
      </c>
      <c r="B156" s="617"/>
      <c r="C156" s="227">
        <f>+C151*2</f>
        <v>7140</v>
      </c>
      <c r="D156" s="609">
        <f>+C156*0</f>
        <v>0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190" customFormat="1" x14ac:dyDescent="0.35">
      <c r="A157" s="1149" t="s">
        <v>823</v>
      </c>
      <c r="B157" s="1150"/>
      <c r="C157" s="1151"/>
      <c r="D157" s="1210">
        <v>80000</v>
      </c>
      <c r="E157" s="1199"/>
      <c r="F157" s="1192"/>
      <c r="G157" s="1192"/>
      <c r="H157" s="1192"/>
      <c r="I157" s="1192"/>
      <c r="J157" s="1192"/>
      <c r="K157" s="1192"/>
      <c r="L157" s="1192"/>
      <c r="M157" s="1192"/>
      <c r="N157" s="1192"/>
      <c r="O157" s="1192"/>
      <c r="P157" s="1192"/>
      <c r="Q157" s="1192"/>
      <c r="R157" s="1192"/>
      <c r="S157" s="1192"/>
    </row>
    <row r="158" spans="1:19" s="1190" customFormat="1" x14ac:dyDescent="0.35">
      <c r="A158" s="1223"/>
      <c r="B158" s="1150"/>
      <c r="C158" s="1151"/>
      <c r="D158" s="1210"/>
      <c r="E158" s="1199"/>
      <c r="F158" s="1192"/>
      <c r="G158" s="1192"/>
      <c r="H158" s="1192"/>
      <c r="I158" s="1192"/>
      <c r="J158" s="1192"/>
      <c r="K158" s="1192"/>
      <c r="L158" s="1192"/>
      <c r="M158" s="1192"/>
      <c r="N158" s="1192"/>
      <c r="O158" s="1192"/>
      <c r="P158" s="1192"/>
      <c r="Q158" s="1192"/>
      <c r="R158" s="1192"/>
      <c r="S158" s="1192"/>
    </row>
    <row r="159" spans="1:19" s="1042" customFormat="1" x14ac:dyDescent="0.35">
      <c r="A159" s="882" t="s">
        <v>389</v>
      </c>
      <c r="B159" s="883"/>
      <c r="C159" s="884"/>
      <c r="D159" s="1058">
        <f>+D151+D152+D153+D154+D155+D156+D157+D158</f>
        <v>957387.5</v>
      </c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s="1042" customFormat="1" x14ac:dyDescent="0.35">
      <c r="A160" s="1211"/>
      <c r="B160" s="1212"/>
      <c r="C160" s="1213"/>
      <c r="D160" s="1214"/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724"/>
      <c r="B161" s="729"/>
      <c r="C161" s="729"/>
      <c r="D161" s="731"/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1071" t="s">
        <v>11</v>
      </c>
      <c r="B162" s="1074"/>
      <c r="C162" s="1074"/>
      <c r="D162" s="1075">
        <f>+D159+D160+D161</f>
        <v>957387.5</v>
      </c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6" spans="1:19" ht="23.5" x14ac:dyDescent="0.35">
      <c r="A166" s="1442" t="s">
        <v>1175</v>
      </c>
      <c r="B166" s="1443"/>
      <c r="C166" s="1443"/>
      <c r="D166" s="1444"/>
    </row>
    <row r="167" spans="1:19" x14ac:dyDescent="0.35">
      <c r="A167" s="2" t="s">
        <v>7</v>
      </c>
      <c r="B167" s="270" t="s">
        <v>425</v>
      </c>
      <c r="C167" s="217" t="s">
        <v>272</v>
      </c>
      <c r="D167" s="597" t="s">
        <v>9</v>
      </c>
    </row>
    <row r="168" spans="1:19" x14ac:dyDescent="0.35">
      <c r="A168" s="772" t="s">
        <v>3</v>
      </c>
      <c r="B168" s="258">
        <v>191</v>
      </c>
      <c r="C168" s="194">
        <v>2890</v>
      </c>
      <c r="D168" s="598">
        <f>+B168*C168</f>
        <v>551990</v>
      </c>
    </row>
    <row r="169" spans="1:19" x14ac:dyDescent="0.35">
      <c r="A169" s="772" t="s">
        <v>394</v>
      </c>
      <c r="B169" s="258">
        <v>8</v>
      </c>
      <c r="C169" s="194">
        <f>+C168</f>
        <v>2890</v>
      </c>
      <c r="D169" s="609">
        <f>+B169*C169</f>
        <v>23120</v>
      </c>
    </row>
    <row r="170" spans="1:19" x14ac:dyDescent="0.35">
      <c r="A170" s="772" t="s">
        <v>200</v>
      </c>
      <c r="B170" s="258"/>
      <c r="C170" s="194">
        <v>50000</v>
      </c>
      <c r="D170" s="609">
        <f>+C170</f>
        <v>50000</v>
      </c>
    </row>
    <row r="171" spans="1:19" x14ac:dyDescent="0.35">
      <c r="A171" s="614" t="s">
        <v>6</v>
      </c>
      <c r="B171" s="617"/>
      <c r="C171" s="227">
        <v>40000</v>
      </c>
      <c r="D171" s="609">
        <f>+C171</f>
        <v>40000</v>
      </c>
    </row>
    <row r="172" spans="1:19" x14ac:dyDescent="0.35">
      <c r="A172" s="614" t="s">
        <v>1035</v>
      </c>
      <c r="B172" s="617">
        <v>6</v>
      </c>
      <c r="C172" s="227">
        <f>+C168*1.5</f>
        <v>4335</v>
      </c>
      <c r="D172" s="609">
        <f>+B172*C172</f>
        <v>26010</v>
      </c>
    </row>
    <row r="173" spans="1:19" x14ac:dyDescent="0.35">
      <c r="A173" s="614" t="s">
        <v>1036</v>
      </c>
      <c r="B173" s="617"/>
      <c r="C173" s="227">
        <f>+C168*2</f>
        <v>5780</v>
      </c>
      <c r="D173" s="609">
        <f>+B173*C173</f>
        <v>0</v>
      </c>
    </row>
    <row r="174" spans="1:19" s="1192" customFormat="1" x14ac:dyDescent="0.35">
      <c r="A174" s="1149" t="s">
        <v>823</v>
      </c>
      <c r="B174" s="1150"/>
      <c r="C174" s="1151"/>
      <c r="D174" s="1210">
        <v>100000</v>
      </c>
      <c r="E174" s="1199"/>
    </row>
    <row r="175" spans="1:19" s="1192" customFormat="1" x14ac:dyDescent="0.35">
      <c r="A175" s="1223"/>
      <c r="B175" s="1150"/>
      <c r="C175" s="1151"/>
      <c r="D175" s="1210"/>
      <c r="E175" s="1199"/>
    </row>
    <row r="176" spans="1:19" x14ac:dyDescent="0.35">
      <c r="A176" s="882" t="s">
        <v>389</v>
      </c>
      <c r="B176" s="883"/>
      <c r="C176" s="884"/>
      <c r="D176" s="1058">
        <f>+D168+D169+D170+D171+D172+D173+D174+D175</f>
        <v>791120</v>
      </c>
    </row>
    <row r="177" spans="1:19" s="1070" customFormat="1" x14ac:dyDescent="0.35">
      <c r="A177" s="739" t="s">
        <v>19</v>
      </c>
      <c r="B177" s="1215"/>
      <c r="C177" s="1216"/>
      <c r="D177" s="736">
        <v>-200000</v>
      </c>
      <c r="E177" s="1234"/>
    </row>
    <row r="178" spans="1:19" x14ac:dyDescent="0.35">
      <c r="A178" s="724" t="s">
        <v>19</v>
      </c>
      <c r="B178" s="729"/>
      <c r="C178" s="729"/>
      <c r="D178" s="731">
        <v>-20000</v>
      </c>
    </row>
    <row r="179" spans="1:19" x14ac:dyDescent="0.35">
      <c r="A179" s="1071" t="s">
        <v>11</v>
      </c>
      <c r="B179" s="1074"/>
      <c r="C179" s="1074"/>
      <c r="D179" s="1075">
        <f>+D176+D177+D178</f>
        <v>571120</v>
      </c>
    </row>
    <row r="182" spans="1:19" ht="23.5" x14ac:dyDescent="0.35">
      <c r="A182" s="1442" t="s">
        <v>1176</v>
      </c>
      <c r="B182" s="1443"/>
      <c r="C182" s="1443"/>
      <c r="D182" s="1444"/>
    </row>
    <row r="183" spans="1:19" x14ac:dyDescent="0.35">
      <c r="A183" s="2"/>
      <c r="B183" s="270"/>
      <c r="C183" s="217"/>
      <c r="D183" s="597"/>
    </row>
    <row r="184" spans="1:19" x14ac:dyDescent="0.35">
      <c r="A184" s="772" t="s">
        <v>3</v>
      </c>
      <c r="B184" s="258">
        <v>192</v>
      </c>
      <c r="C184" s="194">
        <v>3570</v>
      </c>
      <c r="D184" s="598">
        <f>+B184*C184</f>
        <v>685440</v>
      </c>
    </row>
    <row r="185" spans="1:19" x14ac:dyDescent="0.35">
      <c r="A185" s="772" t="s">
        <v>394</v>
      </c>
      <c r="B185" s="258">
        <v>8</v>
      </c>
      <c r="C185" s="194">
        <f>+C184</f>
        <v>3570</v>
      </c>
      <c r="D185" s="609">
        <f>+B185*C185</f>
        <v>28560</v>
      </c>
    </row>
    <row r="186" spans="1:19" s="1042" customFormat="1" x14ac:dyDescent="0.35">
      <c r="A186" s="772" t="s">
        <v>556</v>
      </c>
      <c r="B186" s="258"/>
      <c r="C186" s="194">
        <v>50000</v>
      </c>
      <c r="D186" s="609">
        <f>+C186</f>
        <v>50000</v>
      </c>
      <c r="E186" s="553"/>
      <c r="F186" s="771"/>
      <c r="G186" s="771"/>
      <c r="H186" s="771"/>
      <c r="I186" s="771"/>
      <c r="J186" s="771"/>
      <c r="K186" s="771"/>
      <c r="L186" s="771"/>
      <c r="M186" s="771"/>
      <c r="N186" s="771"/>
      <c r="O186" s="771"/>
      <c r="P186" s="771"/>
      <c r="Q186" s="771"/>
      <c r="R186" s="771"/>
      <c r="S186" s="771"/>
    </row>
    <row r="187" spans="1:19" s="1042" customFormat="1" x14ac:dyDescent="0.35">
      <c r="A187" s="614" t="s">
        <v>6</v>
      </c>
      <c r="B187" s="617"/>
      <c r="C187" s="227">
        <v>50000</v>
      </c>
      <c r="D187" s="609">
        <v>50000</v>
      </c>
      <c r="E187" s="553"/>
      <c r="F187" s="771"/>
      <c r="G187" s="771"/>
      <c r="H187" s="771"/>
      <c r="I187" s="771"/>
      <c r="J187" s="771"/>
      <c r="K187" s="771"/>
      <c r="L187" s="771"/>
      <c r="M187" s="771"/>
      <c r="N187" s="771"/>
      <c r="O187" s="771"/>
      <c r="P187" s="771"/>
      <c r="Q187" s="771"/>
      <c r="R187" s="771"/>
      <c r="S187" s="771"/>
    </row>
    <row r="188" spans="1:19" s="1042" customFormat="1" x14ac:dyDescent="0.35">
      <c r="A188" s="614" t="s">
        <v>1035</v>
      </c>
      <c r="B188" s="617"/>
      <c r="C188" s="227">
        <f>+C184*1.5</f>
        <v>5355</v>
      </c>
      <c r="D188" s="609">
        <f>+B188*C188</f>
        <v>0</v>
      </c>
      <c r="E188" s="553"/>
      <c r="F188" s="771"/>
      <c r="G188" s="771"/>
      <c r="H188" s="771"/>
      <c r="I188" s="771"/>
      <c r="J188" s="771"/>
      <c r="K188" s="771"/>
      <c r="L188" s="771"/>
      <c r="M188" s="771"/>
      <c r="N188" s="771"/>
      <c r="O188" s="771"/>
      <c r="P188" s="771"/>
      <c r="Q188" s="771"/>
      <c r="R188" s="771"/>
      <c r="S188" s="771"/>
    </row>
    <row r="189" spans="1:19" s="1042" customFormat="1" x14ac:dyDescent="0.35">
      <c r="A189" s="614" t="s">
        <v>1036</v>
      </c>
      <c r="B189" s="617"/>
      <c r="C189" s="227">
        <f>+C184*2</f>
        <v>7140</v>
      </c>
      <c r="D189" s="609">
        <f>+C189*0</f>
        <v>0</v>
      </c>
      <c r="E189" s="553"/>
      <c r="F189" s="771"/>
      <c r="G189" s="771"/>
      <c r="H189" s="771"/>
      <c r="I189" s="771"/>
      <c r="J189" s="771"/>
      <c r="K189" s="771"/>
      <c r="L189" s="771"/>
      <c r="M189" s="771"/>
      <c r="N189" s="771"/>
      <c r="O189" s="771"/>
      <c r="P189" s="771"/>
      <c r="Q189" s="771"/>
      <c r="R189" s="771"/>
      <c r="S189" s="771"/>
    </row>
    <row r="190" spans="1:19" s="1042" customFormat="1" x14ac:dyDescent="0.35">
      <c r="A190" s="614" t="s">
        <v>823</v>
      </c>
      <c r="B190" s="617"/>
      <c r="C190" s="227"/>
      <c r="D190" s="609">
        <v>100000</v>
      </c>
      <c r="E190" s="553"/>
      <c r="F190" s="771"/>
      <c r="G190" s="771"/>
      <c r="H190" s="771"/>
      <c r="I190" s="771"/>
      <c r="J190" s="771"/>
      <c r="K190" s="771"/>
      <c r="L190" s="771"/>
      <c r="M190" s="771"/>
      <c r="N190" s="771"/>
      <c r="O190" s="771"/>
      <c r="P190" s="771"/>
      <c r="Q190" s="771"/>
      <c r="R190" s="771"/>
      <c r="S190" s="771"/>
    </row>
    <row r="191" spans="1:19" s="1042" customFormat="1" x14ac:dyDescent="0.35">
      <c r="A191" s="1223"/>
      <c r="B191" s="617"/>
      <c r="C191" s="227"/>
      <c r="D191" s="609"/>
      <c r="E191" s="553"/>
      <c r="F191" s="771"/>
      <c r="G191" s="771"/>
      <c r="H191" s="771"/>
      <c r="I191" s="771"/>
      <c r="J191" s="771"/>
      <c r="K191" s="771"/>
      <c r="L191" s="771"/>
      <c r="M191" s="771"/>
      <c r="N191" s="771"/>
      <c r="O191" s="771"/>
      <c r="P191" s="771"/>
      <c r="Q191" s="771"/>
      <c r="R191" s="771"/>
      <c r="S191" s="771"/>
    </row>
    <row r="192" spans="1:19" s="1042" customFormat="1" x14ac:dyDescent="0.35">
      <c r="A192" s="882" t="s">
        <v>389</v>
      </c>
      <c r="B192" s="883"/>
      <c r="C192" s="884"/>
      <c r="D192" s="1058">
        <f>+D184+D185+D186+D187+D188+D189+D190+D191</f>
        <v>914000</v>
      </c>
      <c r="E192" s="553"/>
      <c r="F192" s="771"/>
      <c r="G192" s="771"/>
      <c r="H192" s="771"/>
      <c r="I192" s="771"/>
      <c r="J192" s="771"/>
      <c r="K192" s="771"/>
      <c r="L192" s="771"/>
      <c r="M192" s="771"/>
      <c r="N192" s="771"/>
      <c r="O192" s="771"/>
      <c r="P192" s="771"/>
      <c r="Q192" s="771"/>
      <c r="R192" s="771"/>
      <c r="S192" s="771"/>
    </row>
    <row r="193" spans="1:19" s="1042" customFormat="1" x14ac:dyDescent="0.35">
      <c r="A193" s="1211" t="s">
        <v>19</v>
      </c>
      <c r="B193" s="1212"/>
      <c r="C193" s="1213"/>
      <c r="D193" s="736">
        <v>-150000</v>
      </c>
      <c r="E193" s="553"/>
      <c r="F193" s="771"/>
      <c r="G193" s="771"/>
      <c r="H193" s="771"/>
      <c r="I193" s="771"/>
      <c r="J193" s="771"/>
      <c r="K193" s="771"/>
      <c r="L193" s="771"/>
      <c r="M193" s="771"/>
      <c r="N193" s="771"/>
      <c r="O193" s="771"/>
      <c r="P193" s="771"/>
      <c r="Q193" s="771"/>
      <c r="R193" s="771"/>
      <c r="S193" s="771"/>
    </row>
    <row r="194" spans="1:19" s="1042" customFormat="1" x14ac:dyDescent="0.35">
      <c r="A194" s="724"/>
      <c r="B194" s="729"/>
      <c r="C194" s="729"/>
      <c r="D194" s="731"/>
      <c r="E194" s="553"/>
      <c r="F194" s="771"/>
      <c r="G194" s="771"/>
      <c r="H194" s="771"/>
      <c r="I194" s="771"/>
      <c r="J194" s="771"/>
      <c r="K194" s="771"/>
      <c r="L194" s="771"/>
      <c r="M194" s="771"/>
      <c r="N194" s="771"/>
      <c r="O194" s="771"/>
      <c r="P194" s="771"/>
      <c r="Q194" s="771"/>
      <c r="R194" s="771"/>
      <c r="S194" s="771"/>
    </row>
    <row r="195" spans="1:19" s="1042" customFormat="1" x14ac:dyDescent="0.35">
      <c r="A195" s="1071" t="s">
        <v>11</v>
      </c>
      <c r="B195" s="1074"/>
      <c r="C195" s="1074"/>
      <c r="D195" s="1075">
        <f>+D192+D193+D194</f>
        <v>764000</v>
      </c>
      <c r="E195" s="553"/>
      <c r="F195" s="771"/>
      <c r="G195" s="771"/>
      <c r="H195" s="771"/>
      <c r="I195" s="771"/>
      <c r="J195" s="771"/>
      <c r="K195" s="771"/>
      <c r="L195" s="771"/>
      <c r="M195" s="771"/>
      <c r="N195" s="771"/>
      <c r="O195" s="771"/>
      <c r="P195" s="771"/>
      <c r="Q195" s="771"/>
      <c r="R195" s="771"/>
      <c r="S195" s="771"/>
    </row>
    <row r="199" spans="1:19" s="1042" customFormat="1" ht="23.5" x14ac:dyDescent="0.35">
      <c r="A199" s="1442" t="s">
        <v>1156</v>
      </c>
      <c r="B199" s="1443"/>
      <c r="C199" s="1443"/>
      <c r="D199" s="1444"/>
      <c r="E199" s="553"/>
      <c r="F199" s="771"/>
      <c r="G199" s="771"/>
      <c r="H199" s="771"/>
      <c r="I199" s="771"/>
      <c r="J199" s="771"/>
      <c r="K199" s="771"/>
      <c r="L199" s="771"/>
      <c r="M199" s="771"/>
      <c r="N199" s="771"/>
      <c r="O199" s="771"/>
      <c r="P199" s="771"/>
      <c r="Q199" s="771"/>
      <c r="R199" s="771"/>
      <c r="S199" s="771"/>
    </row>
    <row r="200" spans="1:19" s="1042" customFormat="1" x14ac:dyDescent="0.35">
      <c r="A200" s="2"/>
      <c r="B200" s="270"/>
      <c r="C200" s="217"/>
      <c r="D200" s="597"/>
      <c r="E200" s="553"/>
      <c r="F200" s="771"/>
      <c r="G200" s="771"/>
      <c r="H200" s="771"/>
      <c r="I200" s="771"/>
      <c r="J200" s="771"/>
      <c r="K200" s="771"/>
      <c r="L200" s="771"/>
      <c r="M200" s="771"/>
      <c r="N200" s="771"/>
      <c r="O200" s="771"/>
      <c r="P200" s="771"/>
      <c r="Q200" s="771"/>
      <c r="R200" s="771"/>
      <c r="S200" s="771"/>
    </row>
    <row r="201" spans="1:19" s="1042" customFormat="1" x14ac:dyDescent="0.35">
      <c r="A201" s="772" t="s">
        <v>3</v>
      </c>
      <c r="B201" s="258">
        <v>112</v>
      </c>
      <c r="C201" s="194">
        <v>3570</v>
      </c>
      <c r="D201" s="598">
        <f>+B201*C201</f>
        <v>399840</v>
      </c>
      <c r="E201" s="553"/>
      <c r="F201" s="771"/>
      <c r="G201" s="771"/>
      <c r="H201" s="771"/>
      <c r="I201" s="771"/>
      <c r="J201" s="771"/>
      <c r="K201" s="771"/>
      <c r="L201" s="771"/>
      <c r="M201" s="771"/>
      <c r="N201" s="771"/>
      <c r="O201" s="771"/>
      <c r="P201" s="771"/>
      <c r="Q201" s="771"/>
      <c r="R201" s="771"/>
      <c r="S201" s="771"/>
    </row>
    <row r="202" spans="1:19" s="1042" customFormat="1" x14ac:dyDescent="0.35">
      <c r="A202" s="772" t="s">
        <v>403</v>
      </c>
      <c r="B202" s="258">
        <v>8</v>
      </c>
      <c r="C202" s="194">
        <f>+C201</f>
        <v>3570</v>
      </c>
      <c r="D202" s="609">
        <f>+B202*C202</f>
        <v>28560</v>
      </c>
      <c r="E202" s="553"/>
      <c r="F202" s="771"/>
      <c r="G202" s="771"/>
      <c r="H202" s="771"/>
      <c r="I202" s="771"/>
      <c r="J202" s="771"/>
      <c r="K202" s="771"/>
      <c r="L202" s="771"/>
      <c r="M202" s="771"/>
      <c r="N202" s="771"/>
      <c r="O202" s="771"/>
      <c r="P202" s="771"/>
      <c r="Q202" s="771"/>
      <c r="R202" s="771"/>
      <c r="S202" s="771"/>
    </row>
    <row r="203" spans="1:19" s="1042" customFormat="1" x14ac:dyDescent="0.35">
      <c r="A203" s="772" t="s">
        <v>287</v>
      </c>
      <c r="B203" s="258"/>
      <c r="C203" s="194">
        <v>50000</v>
      </c>
      <c r="D203" s="609">
        <v>25000</v>
      </c>
      <c r="E203" s="553"/>
      <c r="F203" s="771"/>
      <c r="G203" s="771"/>
      <c r="H203" s="771"/>
      <c r="I203" s="771"/>
      <c r="J203" s="771"/>
      <c r="K203" s="771"/>
      <c r="L203" s="771"/>
      <c r="M203" s="771"/>
      <c r="N203" s="771"/>
      <c r="O203" s="771"/>
      <c r="P203" s="771"/>
      <c r="Q203" s="771"/>
      <c r="R203" s="771"/>
      <c r="S203" s="771"/>
    </row>
    <row r="204" spans="1:19" s="1042" customFormat="1" x14ac:dyDescent="0.35">
      <c r="A204" s="614" t="s">
        <v>1157</v>
      </c>
      <c r="B204" s="617"/>
      <c r="C204" s="227">
        <v>100000</v>
      </c>
      <c r="D204" s="609">
        <v>50000</v>
      </c>
      <c r="E204" s="553"/>
      <c r="F204" s="771"/>
      <c r="G204" s="771"/>
      <c r="H204" s="771"/>
      <c r="I204" s="771"/>
      <c r="J204" s="771"/>
      <c r="K204" s="771"/>
      <c r="L204" s="771"/>
      <c r="M204" s="771"/>
      <c r="N204" s="771"/>
      <c r="O204" s="771"/>
      <c r="P204" s="771"/>
      <c r="Q204" s="771"/>
      <c r="R204" s="771"/>
      <c r="S204" s="771"/>
    </row>
    <row r="205" spans="1:19" s="1042" customFormat="1" x14ac:dyDescent="0.35">
      <c r="A205" s="614" t="s">
        <v>1035</v>
      </c>
      <c r="B205" s="617"/>
      <c r="C205" s="227"/>
      <c r="D205" s="609"/>
      <c r="E205" s="553"/>
      <c r="F205" s="771"/>
      <c r="G205" s="771"/>
      <c r="H205" s="771"/>
      <c r="I205" s="771"/>
      <c r="J205" s="771"/>
      <c r="K205" s="771"/>
      <c r="L205" s="771"/>
      <c r="M205" s="771"/>
      <c r="N205" s="771"/>
      <c r="O205" s="771"/>
      <c r="P205" s="771"/>
      <c r="Q205" s="771"/>
      <c r="R205" s="771"/>
      <c r="S205" s="771"/>
    </row>
    <row r="206" spans="1:19" s="1042" customFormat="1" x14ac:dyDescent="0.35">
      <c r="A206" s="614" t="s">
        <v>1036</v>
      </c>
      <c r="B206" s="617"/>
      <c r="C206" s="227"/>
      <c r="D206" s="609"/>
      <c r="E206" s="553"/>
      <c r="F206" s="771"/>
      <c r="G206" s="771"/>
      <c r="H206" s="771"/>
      <c r="I206" s="771"/>
      <c r="J206" s="771"/>
      <c r="K206" s="771"/>
      <c r="L206" s="771"/>
      <c r="M206" s="771"/>
      <c r="N206" s="771"/>
      <c r="O206" s="771"/>
      <c r="P206" s="771"/>
      <c r="Q206" s="771"/>
      <c r="R206" s="771"/>
      <c r="S206" s="771"/>
    </row>
    <row r="207" spans="1:19" s="1042" customFormat="1" x14ac:dyDescent="0.35">
      <c r="A207" s="614" t="s">
        <v>823</v>
      </c>
      <c r="B207" s="617"/>
      <c r="C207" s="227"/>
      <c r="D207" s="609"/>
      <c r="E207" s="553"/>
      <c r="F207" s="771"/>
      <c r="G207" s="771"/>
      <c r="H207" s="771"/>
      <c r="I207" s="771"/>
      <c r="J207" s="771"/>
      <c r="K207" s="771"/>
      <c r="L207" s="771"/>
      <c r="M207" s="771"/>
      <c r="N207" s="771"/>
      <c r="O207" s="771"/>
      <c r="P207" s="771"/>
      <c r="Q207" s="771"/>
      <c r="R207" s="771"/>
      <c r="S207" s="771"/>
    </row>
    <row r="208" spans="1:19" s="1042" customFormat="1" x14ac:dyDescent="0.35">
      <c r="A208" s="1223" t="s">
        <v>1158</v>
      </c>
      <c r="B208" s="617">
        <v>24</v>
      </c>
      <c r="C208" s="227">
        <f>+C201</f>
        <v>3570</v>
      </c>
      <c r="D208" s="609">
        <f>+B208*C208</f>
        <v>85680</v>
      </c>
      <c r="E208" s="553"/>
      <c r="F208" s="771"/>
      <c r="G208" s="771"/>
      <c r="H208" s="771"/>
      <c r="I208" s="771"/>
      <c r="J208" s="771"/>
      <c r="K208" s="771"/>
      <c r="L208" s="771"/>
      <c r="M208" s="771"/>
      <c r="N208" s="771"/>
      <c r="O208" s="771"/>
      <c r="P208" s="771"/>
      <c r="Q208" s="771"/>
      <c r="R208" s="771"/>
      <c r="S208" s="771"/>
    </row>
    <row r="209" spans="1:19" s="1042" customFormat="1" x14ac:dyDescent="0.35">
      <c r="A209" s="882" t="s">
        <v>389</v>
      </c>
      <c r="B209" s="883"/>
      <c r="C209" s="884"/>
      <c r="D209" s="1058">
        <f>+D201+D202+D203+D204+D205+D206+D207+D208</f>
        <v>589080</v>
      </c>
      <c r="E209" s="553"/>
      <c r="F209" s="771"/>
      <c r="G209" s="771"/>
      <c r="H209" s="771"/>
      <c r="I209" s="771"/>
      <c r="J209" s="771"/>
      <c r="K209" s="771"/>
      <c r="L209" s="771"/>
      <c r="M209" s="771"/>
      <c r="N209" s="771"/>
      <c r="O209" s="771"/>
      <c r="P209" s="771"/>
      <c r="Q209" s="771"/>
      <c r="R209" s="771"/>
      <c r="S209" s="771"/>
    </row>
    <row r="210" spans="1:19" s="1042" customFormat="1" x14ac:dyDescent="0.35">
      <c r="A210" s="1211"/>
      <c r="B210" s="1212"/>
      <c r="C210" s="1213"/>
      <c r="D210" s="1214"/>
      <c r="E210" s="553"/>
      <c r="F210" s="771"/>
      <c r="G210" s="771"/>
      <c r="H210" s="771"/>
      <c r="I210" s="771"/>
      <c r="J210" s="771"/>
      <c r="K210" s="771"/>
      <c r="L210" s="771"/>
      <c r="M210" s="771"/>
      <c r="N210" s="771"/>
      <c r="O210" s="771"/>
      <c r="P210" s="771"/>
      <c r="Q210" s="771"/>
      <c r="R210" s="771"/>
      <c r="S210" s="771"/>
    </row>
    <row r="211" spans="1:19" s="1042" customFormat="1" x14ac:dyDescent="0.35">
      <c r="A211" s="724"/>
      <c r="B211" s="729"/>
      <c r="C211" s="729"/>
      <c r="D211" s="731"/>
      <c r="E211" s="553"/>
      <c r="F211" s="771"/>
      <c r="G211" s="771"/>
      <c r="H211" s="771"/>
      <c r="I211" s="771"/>
      <c r="J211" s="771"/>
      <c r="K211" s="771"/>
      <c r="L211" s="771"/>
      <c r="M211" s="771"/>
      <c r="N211" s="771"/>
      <c r="O211" s="771"/>
      <c r="P211" s="771"/>
      <c r="Q211" s="771"/>
      <c r="R211" s="771"/>
      <c r="S211" s="771"/>
    </row>
    <row r="212" spans="1:19" s="1042" customFormat="1" x14ac:dyDescent="0.35">
      <c r="A212" s="1071" t="s">
        <v>11</v>
      </c>
      <c r="B212" s="1074"/>
      <c r="C212" s="1074"/>
      <c r="D212" s="1075">
        <f>+D209+D210+D211</f>
        <v>589080</v>
      </c>
      <c r="E212" s="553"/>
      <c r="F212" s="771"/>
      <c r="G212" s="771"/>
      <c r="H212" s="771"/>
      <c r="I212" s="771"/>
      <c r="J212" s="771"/>
      <c r="K212" s="771"/>
      <c r="L212" s="771"/>
      <c r="M212" s="771"/>
      <c r="N212" s="771"/>
      <c r="O212" s="771"/>
      <c r="P212" s="771"/>
      <c r="Q212" s="771"/>
      <c r="R212" s="771"/>
      <c r="S212" s="771"/>
    </row>
  </sheetData>
  <mergeCells count="22">
    <mergeCell ref="A81:C81"/>
    <mergeCell ref="A3:D3"/>
    <mergeCell ref="A13:C13"/>
    <mergeCell ref="A16:C16"/>
    <mergeCell ref="A19:D19"/>
    <mergeCell ref="A29:C29"/>
    <mergeCell ref="A35:D35"/>
    <mergeCell ref="A45:C45"/>
    <mergeCell ref="A52:D52"/>
    <mergeCell ref="A63:C63"/>
    <mergeCell ref="A68:D68"/>
    <mergeCell ref="A78:C78"/>
    <mergeCell ref="A149:D149"/>
    <mergeCell ref="A166:D166"/>
    <mergeCell ref="A182:D182"/>
    <mergeCell ref="A199:D199"/>
    <mergeCell ref="A84:D84"/>
    <mergeCell ref="A97:C97"/>
    <mergeCell ref="A102:D102"/>
    <mergeCell ref="A112:C112"/>
    <mergeCell ref="A118:D118"/>
    <mergeCell ref="A134:D134"/>
  </mergeCells>
  <pageMargins left="0.31496062992125984" right="0.11811023622047245" top="0" bottom="0" header="0.31496062992125984" footer="0.31496062992125984"/>
  <pageSetup paperSize="9" scale="24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6665-56D3-45A1-A650-533D7E178387}">
  <sheetPr>
    <pageSetUpPr fitToPage="1"/>
  </sheetPr>
  <dimension ref="A1:E48"/>
  <sheetViews>
    <sheetView workbookViewId="0">
      <selection activeCell="E48" sqref="E48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6.90625" style="774" customWidth="1"/>
    <col min="4" max="4" width="21.1796875" style="774" customWidth="1"/>
    <col min="5" max="5" width="25.26953125" style="771" customWidth="1"/>
    <col min="6" max="16384" width="10.90625" style="771"/>
  </cols>
  <sheetData>
    <row r="1" spans="1:5" s="658" customFormat="1" ht="28.5" x14ac:dyDescent="0.65">
      <c r="A1" s="946"/>
      <c r="B1" s="1122" t="s">
        <v>1181</v>
      </c>
      <c r="C1" s="983"/>
      <c r="D1" s="983"/>
    </row>
    <row r="2" spans="1:5" s="658" customFormat="1" ht="28.5" x14ac:dyDescent="0.65">
      <c r="A2" s="946"/>
      <c r="B2" s="1122" t="s">
        <v>973</v>
      </c>
      <c r="C2" s="983">
        <f>+C17+C23</f>
        <v>9763000</v>
      </c>
      <c r="D2" s="983"/>
    </row>
    <row r="4" spans="1:5" x14ac:dyDescent="0.35">
      <c r="A4" s="1014"/>
      <c r="B4" s="964" t="s">
        <v>7</v>
      </c>
      <c r="C4" s="1052" t="s">
        <v>870</v>
      </c>
    </row>
    <row r="5" spans="1:5" x14ac:dyDescent="0.35">
      <c r="B5" s="258" t="s">
        <v>10</v>
      </c>
      <c r="C5" s="194">
        <v>681000</v>
      </c>
      <c r="E5" s="774"/>
    </row>
    <row r="6" spans="1:5" x14ac:dyDescent="0.35">
      <c r="B6" s="258" t="s">
        <v>16</v>
      </c>
      <c r="C6" s="194">
        <v>617000</v>
      </c>
    </row>
    <row r="7" spans="1:5" x14ac:dyDescent="0.35">
      <c r="B7" s="258" t="s">
        <v>0</v>
      </c>
      <c r="C7" s="194">
        <v>876000</v>
      </c>
    </row>
    <row r="8" spans="1:5" x14ac:dyDescent="0.35">
      <c r="B8" s="258" t="s">
        <v>245</v>
      </c>
      <c r="C8" s="194">
        <v>519000</v>
      </c>
    </row>
    <row r="9" spans="1:5" x14ac:dyDescent="0.35">
      <c r="B9" s="258" t="s">
        <v>463</v>
      </c>
      <c r="C9" s="194">
        <v>819000</v>
      </c>
    </row>
    <row r="10" spans="1:5" x14ac:dyDescent="0.35">
      <c r="B10" s="258" t="s">
        <v>1116</v>
      </c>
      <c r="C10" s="194">
        <v>801000</v>
      </c>
    </row>
    <row r="11" spans="1:5" x14ac:dyDescent="0.35">
      <c r="B11" s="258" t="s">
        <v>260</v>
      </c>
      <c r="C11" s="194">
        <v>986000</v>
      </c>
    </row>
    <row r="12" spans="1:5" x14ac:dyDescent="0.35">
      <c r="B12" s="617" t="s">
        <v>613</v>
      </c>
      <c r="C12" s="227">
        <v>1201000</v>
      </c>
    </row>
    <row r="13" spans="1:5" x14ac:dyDescent="0.35">
      <c r="B13" s="315" t="s">
        <v>1068</v>
      </c>
      <c r="C13" s="194">
        <v>572000</v>
      </c>
      <c r="E13" s="774"/>
    </row>
    <row r="14" spans="1:5" x14ac:dyDescent="0.35">
      <c r="B14" s="315" t="s">
        <v>1089</v>
      </c>
      <c r="C14" s="194">
        <v>764000</v>
      </c>
    </row>
    <row r="15" spans="1:5" x14ac:dyDescent="0.35">
      <c r="B15" s="315"/>
      <c r="C15" s="194"/>
    </row>
    <row r="16" spans="1:5" x14ac:dyDescent="0.35">
      <c r="B16" s="315"/>
      <c r="C16" s="194"/>
    </row>
    <row r="17" spans="1:4" x14ac:dyDescent="0.35">
      <c r="B17" s="1016" t="s">
        <v>872</v>
      </c>
      <c r="C17" s="195">
        <f>SUM(C5:C15)</f>
        <v>7836000</v>
      </c>
    </row>
    <row r="18" spans="1:4" x14ac:dyDescent="0.35">
      <c r="B18" s="261"/>
    </row>
    <row r="19" spans="1:4" x14ac:dyDescent="0.35">
      <c r="B19" s="261"/>
    </row>
    <row r="20" spans="1:4" x14ac:dyDescent="0.35">
      <c r="B20" s="261"/>
    </row>
    <row r="21" spans="1:4" x14ac:dyDescent="0.35">
      <c r="B21" s="258" t="s">
        <v>267</v>
      </c>
      <c r="C21" s="194">
        <v>969000</v>
      </c>
    </row>
    <row r="22" spans="1:4" x14ac:dyDescent="0.35">
      <c r="B22" s="258" t="s">
        <v>1038</v>
      </c>
      <c r="C22" s="194">
        <v>958000</v>
      </c>
    </row>
    <row r="23" spans="1:4" s="90" customFormat="1" x14ac:dyDescent="0.35">
      <c r="B23" s="274" t="s">
        <v>972</v>
      </c>
      <c r="C23" s="195">
        <f>+C21+C22</f>
        <v>1927000</v>
      </c>
      <c r="D23" s="553"/>
    </row>
    <row r="26" spans="1:4" x14ac:dyDescent="0.35">
      <c r="B26" s="274" t="s">
        <v>7</v>
      </c>
      <c r="C26" s="1052" t="s">
        <v>272</v>
      </c>
      <c r="D26" s="1109" t="s">
        <v>200</v>
      </c>
    </row>
    <row r="27" spans="1:4" x14ac:dyDescent="0.35">
      <c r="A27" s="771">
        <v>1</v>
      </c>
      <c r="B27" s="258" t="s">
        <v>10</v>
      </c>
      <c r="C27" s="194">
        <v>4133</v>
      </c>
      <c r="D27" s="598">
        <v>50000</v>
      </c>
    </row>
    <row r="28" spans="1:4" x14ac:dyDescent="0.35">
      <c r="A28" s="771">
        <v>2</v>
      </c>
      <c r="B28" s="258" t="s">
        <v>16</v>
      </c>
      <c r="C28" s="194">
        <v>4133</v>
      </c>
      <c r="D28" s="598">
        <v>50000</v>
      </c>
    </row>
    <row r="29" spans="1:4" x14ac:dyDescent="0.35">
      <c r="A29" s="771">
        <v>3</v>
      </c>
      <c r="B29" s="258" t="s">
        <v>0</v>
      </c>
      <c r="C29" s="194">
        <v>4972</v>
      </c>
      <c r="D29" s="598">
        <v>50000</v>
      </c>
    </row>
    <row r="30" spans="1:4" x14ac:dyDescent="0.35">
      <c r="A30" s="176">
        <v>4</v>
      </c>
      <c r="B30" s="258" t="s">
        <v>267</v>
      </c>
      <c r="C30" s="194">
        <v>3570</v>
      </c>
      <c r="D30" s="598">
        <v>50000</v>
      </c>
    </row>
    <row r="31" spans="1:4" x14ac:dyDescent="0.35">
      <c r="A31" s="176">
        <v>5</v>
      </c>
      <c r="B31" s="258" t="s">
        <v>245</v>
      </c>
      <c r="C31" s="194">
        <v>3305</v>
      </c>
      <c r="D31" s="598">
        <v>50000</v>
      </c>
    </row>
    <row r="32" spans="1:4" x14ac:dyDescent="0.35">
      <c r="A32" s="176">
        <v>6</v>
      </c>
      <c r="B32" s="258" t="s">
        <v>463</v>
      </c>
      <c r="C32" s="194">
        <v>3284</v>
      </c>
      <c r="D32" s="598">
        <v>50000</v>
      </c>
    </row>
    <row r="33" spans="1:4" x14ac:dyDescent="0.35">
      <c r="A33" s="176">
        <v>7</v>
      </c>
      <c r="B33" s="258" t="s">
        <v>553</v>
      </c>
      <c r="C33" s="194">
        <v>3305</v>
      </c>
      <c r="D33" s="598">
        <v>50000</v>
      </c>
    </row>
    <row r="34" spans="1:4" x14ac:dyDescent="0.35">
      <c r="A34" s="176">
        <v>8</v>
      </c>
      <c r="B34" s="258" t="s">
        <v>260</v>
      </c>
      <c r="C34" s="194">
        <v>4442</v>
      </c>
      <c r="D34" s="598">
        <v>50000</v>
      </c>
    </row>
    <row r="35" spans="1:4" x14ac:dyDescent="0.35">
      <c r="A35" s="176">
        <v>9</v>
      </c>
      <c r="B35" s="258" t="s">
        <v>613</v>
      </c>
      <c r="C35" s="194">
        <v>4442</v>
      </c>
      <c r="D35" s="598">
        <v>50000</v>
      </c>
    </row>
    <row r="36" spans="1:4" x14ac:dyDescent="0.35">
      <c r="A36" s="176">
        <v>10</v>
      </c>
      <c r="B36" s="258" t="s">
        <v>1038</v>
      </c>
      <c r="C36" s="194">
        <v>3570</v>
      </c>
      <c r="D36" s="598">
        <v>50000</v>
      </c>
    </row>
    <row r="37" spans="1:4" x14ac:dyDescent="0.35">
      <c r="A37" s="176">
        <v>11</v>
      </c>
      <c r="B37" s="315" t="s">
        <v>1068</v>
      </c>
      <c r="C37" s="194">
        <v>2890</v>
      </c>
      <c r="D37" s="598">
        <v>50000</v>
      </c>
    </row>
    <row r="38" spans="1:4" x14ac:dyDescent="0.35">
      <c r="A38" s="176">
        <v>12</v>
      </c>
      <c r="B38" s="315" t="s">
        <v>1089</v>
      </c>
      <c r="C38" s="194">
        <v>3570</v>
      </c>
      <c r="D38" s="598">
        <v>50000</v>
      </c>
    </row>
    <row r="39" spans="1:4" x14ac:dyDescent="0.35">
      <c r="A39" s="176">
        <v>13</v>
      </c>
      <c r="B39" s="315" t="s">
        <v>1117</v>
      </c>
      <c r="C39" s="194">
        <v>3570</v>
      </c>
      <c r="D39" s="598">
        <v>50000</v>
      </c>
    </row>
    <row r="40" spans="1:4" x14ac:dyDescent="0.35">
      <c r="B40" s="315"/>
      <c r="C40" s="194"/>
      <c r="D40" s="598"/>
    </row>
    <row r="41" spans="1:4" x14ac:dyDescent="0.35">
      <c r="B41" s="1121"/>
      <c r="C41" s="204"/>
      <c r="D41" s="205"/>
    </row>
    <row r="43" spans="1:4" x14ac:dyDescent="0.35">
      <c r="A43" s="701" t="s">
        <v>106</v>
      </c>
      <c r="B43" s="702" t="s">
        <v>873</v>
      </c>
      <c r="C43" s="1013" t="s">
        <v>803</v>
      </c>
      <c r="D43" s="1092" t="s">
        <v>7</v>
      </c>
    </row>
    <row r="44" spans="1:4" x14ac:dyDescent="0.35">
      <c r="A44" s="703">
        <v>17</v>
      </c>
      <c r="B44" s="703">
        <v>9</v>
      </c>
      <c r="C44" s="964">
        <f>+A44*B44</f>
        <v>153</v>
      </c>
      <c r="D44" s="593" t="s">
        <v>874</v>
      </c>
    </row>
    <row r="45" spans="1:4" x14ac:dyDescent="0.35">
      <c r="A45" s="703">
        <v>4</v>
      </c>
      <c r="B45" s="703">
        <v>8</v>
      </c>
      <c r="C45" s="964">
        <f>+A45*B45</f>
        <v>32</v>
      </c>
      <c r="D45" s="593" t="s">
        <v>117</v>
      </c>
    </row>
    <row r="46" spans="1:4" x14ac:dyDescent="0.35">
      <c r="A46" s="703">
        <v>1</v>
      </c>
      <c r="B46" s="703">
        <v>7</v>
      </c>
      <c r="C46" s="964">
        <f>+A46*B46</f>
        <v>7</v>
      </c>
      <c r="D46" s="593"/>
    </row>
    <row r="47" spans="1:4" x14ac:dyDescent="0.35">
      <c r="A47" s="703">
        <v>1</v>
      </c>
      <c r="B47" s="703">
        <v>8</v>
      </c>
      <c r="C47" s="964">
        <f>+A47*B47</f>
        <v>8</v>
      </c>
      <c r="D47" s="593" t="s">
        <v>111</v>
      </c>
    </row>
    <row r="48" spans="1:4" x14ac:dyDescent="0.35">
      <c r="A48" s="568"/>
      <c r="B48" s="773"/>
      <c r="C48" s="964">
        <f>+C44+C45+C46+C47</f>
        <v>200</v>
      </c>
      <c r="D48" s="593" t="s">
        <v>1178</v>
      </c>
    </row>
  </sheetData>
  <pageMargins left="0.7" right="0.7" top="0.75" bottom="0.75" header="0.3" footer="0.3"/>
  <pageSetup paperSize="9" scale="94" fitToHeight="0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0DE3-B0A1-4518-8364-8AF227123F1C}">
  <sheetPr>
    <pageSetUpPr fitToPage="1"/>
  </sheetPr>
  <dimension ref="A1:S193"/>
  <sheetViews>
    <sheetView topLeftCell="A112" zoomScaleNormal="100" workbookViewId="0">
      <selection activeCell="I14" sqref="I14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45870</v>
      </c>
    </row>
    <row r="3" spans="1:18" ht="25.5" customHeight="1" x14ac:dyDescent="0.35">
      <c r="A3" s="1466" t="s">
        <v>1185</v>
      </c>
      <c r="B3" s="1431"/>
      <c r="C3" s="1431"/>
      <c r="D3" s="1431"/>
    </row>
    <row r="4" spans="1:18" s="1236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f>192-8</f>
        <v>184</v>
      </c>
      <c r="C5" s="227">
        <v>4753</v>
      </c>
      <c r="D5" s="598">
        <f>+B5*C5</f>
        <v>874552</v>
      </c>
      <c r="E5" s="553" t="s">
        <v>1066</v>
      </c>
      <c r="Q5" s="1236"/>
    </row>
    <row r="6" spans="1:18" ht="18" customHeight="1" x14ac:dyDescent="0.35">
      <c r="A6" s="772" t="s">
        <v>1186</v>
      </c>
      <c r="B6" s="258">
        <v>0</v>
      </c>
      <c r="C6" s="227">
        <f>+C5</f>
        <v>4753</v>
      </c>
      <c r="D6" s="598">
        <f>+B6*C6</f>
        <v>0</v>
      </c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v>50000</v>
      </c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F8" s="176"/>
    </row>
    <row r="9" spans="1:18" ht="18" customHeight="1" x14ac:dyDescent="0.35">
      <c r="A9" s="772" t="s">
        <v>467</v>
      </c>
      <c r="B9" s="258"/>
      <c r="C9" s="194">
        <f>+C5*1.5</f>
        <v>7129.5</v>
      </c>
      <c r="D9" s="598">
        <f>+B9*C9</f>
        <v>0</v>
      </c>
      <c r="F9" s="176"/>
    </row>
    <row r="10" spans="1:18" ht="18" customHeight="1" x14ac:dyDescent="0.35">
      <c r="A10" s="772" t="s">
        <v>281</v>
      </c>
      <c r="B10" s="258"/>
      <c r="C10" s="194">
        <f>+C5*2</f>
        <v>9506</v>
      </c>
      <c r="D10" s="598">
        <f>+B10*C10</f>
        <v>0</v>
      </c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>
        <v>250000</v>
      </c>
      <c r="E11" s="1199"/>
      <c r="F11" s="1191"/>
      <c r="R11" s="1193"/>
    </row>
    <row r="12" spans="1:18" s="1192" customFormat="1" ht="18" customHeight="1" x14ac:dyDescent="0.35">
      <c r="A12" s="1149"/>
      <c r="B12" s="1150"/>
      <c r="C12" s="1151"/>
      <c r="D12" s="1152"/>
      <c r="E12" s="1199"/>
      <c r="F12" s="1191"/>
      <c r="R12" s="1193"/>
    </row>
    <row r="13" spans="1:18" ht="18" customHeight="1" x14ac:dyDescent="0.35">
      <c r="A13" s="1470" t="s">
        <v>389</v>
      </c>
      <c r="B13" s="1470"/>
      <c r="C13" s="1470"/>
      <c r="D13" s="599">
        <f>+D5+D6+D7+D8+D9+D10+D11+D12</f>
        <v>1274552</v>
      </c>
      <c r="F13" s="248"/>
      <c r="G13" s="248"/>
      <c r="H13" s="248"/>
      <c r="I13" s="248"/>
      <c r="J13" s="248"/>
      <c r="K13" s="248"/>
      <c r="L13" s="248"/>
      <c r="M13" s="248"/>
      <c r="O13" s="1236"/>
    </row>
    <row r="14" spans="1:18" ht="18" customHeight="1" x14ac:dyDescent="0.35">
      <c r="A14" s="800" t="s">
        <v>1187</v>
      </c>
      <c r="B14" s="720"/>
      <c r="C14" s="720"/>
      <c r="D14" s="722">
        <v>-522956.12</v>
      </c>
      <c r="F14" s="248"/>
      <c r="G14" s="248"/>
      <c r="H14" s="248"/>
      <c r="I14" s="248"/>
      <c r="J14" s="248"/>
      <c r="K14" s="248"/>
      <c r="L14" s="248"/>
      <c r="M14" s="248"/>
      <c r="O14" s="1236"/>
    </row>
    <row r="15" spans="1:18" ht="18" customHeight="1" x14ac:dyDescent="0.35">
      <c r="A15" s="1141"/>
      <c r="B15" s="721"/>
      <c r="C15" s="905"/>
      <c r="D15" s="722"/>
      <c r="F15" s="248"/>
      <c r="G15" s="248"/>
      <c r="H15" s="248"/>
      <c r="I15" s="248"/>
      <c r="J15" s="248"/>
      <c r="K15" s="248"/>
      <c r="L15" s="248"/>
      <c r="M15" s="248"/>
      <c r="O15" s="1236"/>
    </row>
    <row r="16" spans="1:18" ht="18" customHeight="1" x14ac:dyDescent="0.35">
      <c r="A16" s="1433" t="s">
        <v>11</v>
      </c>
      <c r="B16" s="1433"/>
      <c r="C16" s="1433"/>
      <c r="D16" s="603">
        <f>+D13+D14+D15</f>
        <v>751595.88</v>
      </c>
      <c r="F16" s="321"/>
      <c r="G16" s="321"/>
      <c r="H16" s="473"/>
      <c r="I16" s="321"/>
      <c r="J16" s="321"/>
      <c r="Q16" s="1236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236"/>
    </row>
    <row r="18" spans="1:19" s="908" customFormat="1" ht="18" customHeight="1" x14ac:dyDescent="0.35">
      <c r="A18" s="689"/>
      <c r="B18" s="689"/>
      <c r="C18" s="689"/>
      <c r="D18" s="688"/>
      <c r="E18" s="768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1188</v>
      </c>
      <c r="B19" s="1451"/>
      <c r="C19" s="1451"/>
      <c r="D19" s="1452"/>
      <c r="E19" s="796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>
        <v>184</v>
      </c>
      <c r="C21" s="211">
        <v>4547</v>
      </c>
      <c r="D21" s="211">
        <f>+B21*C21</f>
        <v>836648</v>
      </c>
      <c r="E21" s="553" t="s">
        <v>1154</v>
      </c>
      <c r="J21" s="182"/>
    </row>
    <row r="22" spans="1:19" ht="18" customHeight="1" x14ac:dyDescent="0.35">
      <c r="A22" s="607" t="s">
        <v>1189</v>
      </c>
      <c r="B22" s="267">
        <v>0</v>
      </c>
      <c r="C22" s="211">
        <f>+C21</f>
        <v>4547</v>
      </c>
      <c r="D22" s="211">
        <f>+B22*C22</f>
        <v>0</v>
      </c>
      <c r="J22" s="182"/>
    </row>
    <row r="23" spans="1:19" ht="18" customHeight="1" x14ac:dyDescent="0.35">
      <c r="A23" s="772" t="s">
        <v>196</v>
      </c>
      <c r="B23" s="267"/>
      <c r="C23" s="211">
        <v>50000</v>
      </c>
      <c r="D23" s="211">
        <f>+C23</f>
        <v>50000</v>
      </c>
      <c r="I23" s="1236"/>
    </row>
    <row r="24" spans="1:19" ht="18" customHeight="1" x14ac:dyDescent="0.35">
      <c r="A24" s="772" t="s">
        <v>6</v>
      </c>
      <c r="B24" s="267"/>
      <c r="C24" s="211">
        <v>100000</v>
      </c>
      <c r="D24" s="211">
        <f>+C24</f>
        <v>100000</v>
      </c>
      <c r="I24" s="1236"/>
    </row>
    <row r="25" spans="1:19" ht="18" customHeight="1" x14ac:dyDescent="0.35">
      <c r="A25" s="772" t="s">
        <v>1028</v>
      </c>
      <c r="B25" s="267">
        <v>13</v>
      </c>
      <c r="C25" s="211">
        <f>+C21*1.5</f>
        <v>6820.5</v>
      </c>
      <c r="D25" s="211">
        <f>B25*C25</f>
        <v>88666.5</v>
      </c>
      <c r="E25" s="1025"/>
      <c r="F25" s="181"/>
      <c r="G25" s="187"/>
      <c r="H25" s="188"/>
      <c r="I25" s="1236"/>
      <c r="L25" s="1236"/>
    </row>
    <row r="26" spans="1:19" ht="18" customHeight="1" x14ac:dyDescent="0.35">
      <c r="A26" s="772" t="s">
        <v>281</v>
      </c>
      <c r="B26" s="267"/>
      <c r="C26" s="211">
        <f>+C21*2</f>
        <v>9094</v>
      </c>
      <c r="D26" s="211">
        <f>+B26*C26</f>
        <v>0</v>
      </c>
      <c r="E26" s="1025"/>
      <c r="F26" s="181"/>
      <c r="G26" s="187"/>
      <c r="H26" s="188"/>
      <c r="I26" s="1236"/>
      <c r="L26" s="1236"/>
    </row>
    <row r="27" spans="1:19" s="1192" customFormat="1" ht="18" customHeight="1" x14ac:dyDescent="0.35">
      <c r="A27" s="1149" t="s">
        <v>1040</v>
      </c>
      <c r="B27" s="1196"/>
      <c r="C27" s="1197"/>
      <c r="D27" s="1197">
        <v>250000</v>
      </c>
      <c r="E27" s="1233"/>
      <c r="F27" s="1198"/>
      <c r="G27" s="1195"/>
      <c r="H27" s="1195"/>
      <c r="I27" s="1193"/>
      <c r="L27" s="1193"/>
    </row>
    <row r="28" spans="1:19" s="1192" customFormat="1" ht="18" customHeight="1" x14ac:dyDescent="0.35">
      <c r="A28" s="1200"/>
      <c r="B28" s="1220"/>
      <c r="C28" s="1221"/>
      <c r="D28" s="1197"/>
      <c r="E28" s="1233"/>
      <c r="F28" s="1198"/>
      <c r="G28" s="1195"/>
      <c r="H28" s="1195"/>
      <c r="I28" s="1193"/>
      <c r="L28" s="1193"/>
    </row>
    <row r="29" spans="1:19" s="1236" customFormat="1" ht="18" customHeight="1" x14ac:dyDescent="0.35">
      <c r="A29" s="1463" t="s">
        <v>389</v>
      </c>
      <c r="B29" s="1464"/>
      <c r="C29" s="1465"/>
      <c r="D29" s="599">
        <f>+D21+D22+D23+D24+D25+D26+D27+D28</f>
        <v>1325314.5</v>
      </c>
      <c r="E29" s="553"/>
      <c r="F29" s="181"/>
      <c r="G29" s="181"/>
      <c r="H29" s="184"/>
      <c r="I29" s="771"/>
      <c r="K29" s="771"/>
      <c r="L29" s="771"/>
    </row>
    <row r="30" spans="1:19" s="1236" customFormat="1" ht="18" customHeight="1" x14ac:dyDescent="0.35">
      <c r="A30" s="825" t="s">
        <v>1190</v>
      </c>
      <c r="B30" s="824"/>
      <c r="C30" s="823"/>
      <c r="D30" s="930">
        <v>-300000</v>
      </c>
      <c r="E30" s="553"/>
      <c r="F30" s="181"/>
      <c r="G30" s="181"/>
      <c r="H30" s="184"/>
      <c r="I30" s="771"/>
      <c r="K30" s="771"/>
      <c r="L30" s="771"/>
    </row>
    <row r="31" spans="1:19" ht="18" customHeight="1" x14ac:dyDescent="0.35">
      <c r="A31" s="786" t="s">
        <v>11</v>
      </c>
      <c r="B31" s="783"/>
      <c r="C31" s="783"/>
      <c r="D31" s="784">
        <f>+D29+D30</f>
        <v>1025314.5</v>
      </c>
      <c r="F31" s="181"/>
      <c r="G31" s="181"/>
      <c r="H31" s="184"/>
    </row>
    <row r="32" spans="1:19" ht="18" customHeight="1" x14ac:dyDescent="0.35">
      <c r="A32" s="1047"/>
      <c r="B32" s="594"/>
      <c r="C32" s="594"/>
      <c r="D32" s="595"/>
      <c r="F32" s="181"/>
      <c r="G32" s="181"/>
      <c r="H32" s="184"/>
    </row>
    <row r="33" spans="1:19" ht="18" customHeight="1" x14ac:dyDescent="0.35">
      <c r="A33" s="594"/>
      <c r="B33" s="594"/>
      <c r="C33" s="594"/>
      <c r="D33" s="595"/>
      <c r="F33" s="181"/>
      <c r="G33" s="181"/>
      <c r="H33" s="184"/>
    </row>
    <row r="34" spans="1:19" ht="18" customHeight="1" x14ac:dyDescent="0.35">
      <c r="A34" s="1431" t="s">
        <v>1208</v>
      </c>
      <c r="B34" s="1431"/>
      <c r="C34" s="1431"/>
      <c r="D34" s="1431"/>
      <c r="F34" s="181"/>
      <c r="G34" s="181"/>
      <c r="H34" s="184"/>
    </row>
    <row r="35" spans="1:19" ht="18" customHeight="1" x14ac:dyDescent="0.35">
      <c r="A35" s="2"/>
      <c r="B35" s="270" t="s">
        <v>8</v>
      </c>
      <c r="C35" s="217" t="s">
        <v>4</v>
      </c>
      <c r="D35" s="597" t="s">
        <v>9</v>
      </c>
      <c r="F35" s="181"/>
      <c r="G35" s="181"/>
      <c r="H35" s="184"/>
    </row>
    <row r="36" spans="1:19" ht="18" customHeight="1" x14ac:dyDescent="0.35">
      <c r="A36" s="772" t="s">
        <v>253</v>
      </c>
      <c r="B36" s="258">
        <v>184</v>
      </c>
      <c r="C36" s="194">
        <v>5967</v>
      </c>
      <c r="D36" s="598">
        <f>+B36*C36</f>
        <v>1097928</v>
      </c>
      <c r="E36" s="553" t="s">
        <v>1064</v>
      </c>
      <c r="F36" s="181"/>
      <c r="G36" s="181"/>
      <c r="H36" s="184"/>
    </row>
    <row r="37" spans="1:19" ht="18" customHeight="1" x14ac:dyDescent="0.35">
      <c r="A37" s="772" t="s">
        <v>1189</v>
      </c>
      <c r="B37" s="258">
        <v>0</v>
      </c>
      <c r="C37" s="194">
        <f>+C36</f>
        <v>5967</v>
      </c>
      <c r="D37" s="598">
        <f>+B37*C37</f>
        <v>0</v>
      </c>
      <c r="F37" s="181"/>
      <c r="G37" s="181"/>
      <c r="H37" s="184"/>
    </row>
    <row r="38" spans="1:19" ht="15" customHeight="1" x14ac:dyDescent="0.35">
      <c r="A38" s="772" t="s">
        <v>196</v>
      </c>
      <c r="B38" s="258"/>
      <c r="C38" s="194">
        <v>50000</v>
      </c>
      <c r="D38" s="598">
        <f>+C38</f>
        <v>50000</v>
      </c>
      <c r="F38" s="181"/>
      <c r="G38" s="181"/>
      <c r="H38" s="184"/>
      <c r="I38" s="1236"/>
    </row>
    <row r="39" spans="1:19" ht="15" customHeight="1" x14ac:dyDescent="0.35">
      <c r="A39" s="772" t="s">
        <v>6</v>
      </c>
      <c r="B39" s="258"/>
      <c r="C39" s="194">
        <v>100000</v>
      </c>
      <c r="D39" s="598">
        <f>+C39</f>
        <v>100000</v>
      </c>
      <c r="F39" s="181"/>
      <c r="G39" s="181"/>
      <c r="H39" s="184"/>
      <c r="I39" s="1236"/>
    </row>
    <row r="40" spans="1:19" ht="15" customHeight="1" x14ac:dyDescent="0.35">
      <c r="A40" s="772" t="s">
        <v>1029</v>
      </c>
      <c r="B40" s="315">
        <v>4</v>
      </c>
      <c r="C40" s="194">
        <f>+C36*1.5</f>
        <v>8950.5</v>
      </c>
      <c r="D40" s="598">
        <f>+B40*C40</f>
        <v>35802</v>
      </c>
      <c r="F40" s="181"/>
      <c r="G40" s="181"/>
      <c r="H40" s="184"/>
      <c r="I40" s="1236"/>
    </row>
    <row r="41" spans="1:19" ht="15" customHeight="1" x14ac:dyDescent="0.35">
      <c r="A41" s="772" t="s">
        <v>449</v>
      </c>
      <c r="B41" s="315"/>
      <c r="C41" s="194">
        <f>+C36*2</f>
        <v>11934</v>
      </c>
      <c r="D41" s="598">
        <f>+B41*C41</f>
        <v>0</v>
      </c>
      <c r="F41" s="181"/>
      <c r="G41" s="416"/>
      <c r="H41" s="184"/>
      <c r="I41" s="1236"/>
    </row>
    <row r="42" spans="1:19" s="1192" customFormat="1" ht="15" customHeight="1" x14ac:dyDescent="0.35">
      <c r="A42" s="1149" t="s">
        <v>1040</v>
      </c>
      <c r="B42" s="1232"/>
      <c r="C42" s="1151"/>
      <c r="D42" s="1152">
        <v>250000</v>
      </c>
      <c r="E42" s="1199"/>
      <c r="F42" s="1198"/>
      <c r="G42" s="1203"/>
      <c r="H42" s="1198"/>
      <c r="I42" s="1193"/>
    </row>
    <row r="43" spans="1:19" s="1192" customFormat="1" ht="15" customHeight="1" x14ac:dyDescent="0.35">
      <c r="A43" s="1149"/>
      <c r="B43" s="1232"/>
      <c r="C43" s="1151"/>
      <c r="D43" s="1152"/>
      <c r="E43" s="1199"/>
      <c r="F43" s="1198"/>
      <c r="G43" s="1203"/>
      <c r="H43" s="1198"/>
      <c r="I43" s="1193"/>
    </row>
    <row r="44" spans="1:19" ht="15" customHeight="1" x14ac:dyDescent="0.35">
      <c r="A44" s="1459" t="s">
        <v>389</v>
      </c>
      <c r="B44" s="1459"/>
      <c r="C44" s="1459"/>
      <c r="D44" s="599">
        <f>+D36+D37+D38+D39+D40+D41+D42+D43</f>
        <v>1533730</v>
      </c>
      <c r="J44" s="176"/>
      <c r="K44" s="176"/>
      <c r="L44" s="176"/>
      <c r="M44" s="181"/>
      <c r="N44" s="181"/>
      <c r="O44" s="184"/>
      <c r="Q44" s="1236"/>
    </row>
    <row r="45" spans="1:19" s="1236" customFormat="1" ht="15" customHeight="1" x14ac:dyDescent="0.35">
      <c r="A45" s="921" t="s">
        <v>1191</v>
      </c>
      <c r="B45" s="727" t="s">
        <v>63</v>
      </c>
      <c r="C45" s="727" t="s">
        <v>63</v>
      </c>
      <c r="D45" s="722">
        <v>-531997.9</v>
      </c>
      <c r="E45" s="1025"/>
      <c r="F45" s="774"/>
      <c r="G45" s="771"/>
      <c r="H45" s="771"/>
      <c r="I45" s="771"/>
      <c r="J45" s="176"/>
      <c r="K45" s="176"/>
      <c r="L45" s="176"/>
      <c r="M45" s="176"/>
      <c r="N45" s="176"/>
      <c r="O45" s="176"/>
      <c r="P45" s="771"/>
      <c r="Q45" s="771"/>
      <c r="R45" s="771"/>
      <c r="S45" s="771"/>
    </row>
    <row r="46" spans="1:19" s="1236" customFormat="1" ht="15" customHeight="1" x14ac:dyDescent="0.35">
      <c r="A46" s="921"/>
      <c r="B46" s="727"/>
      <c r="C46" s="727"/>
      <c r="D46" s="722"/>
      <c r="E46" s="1025"/>
      <c r="F46" s="774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236" customFormat="1" ht="15" customHeight="1" x14ac:dyDescent="0.35">
      <c r="A47" s="1103" t="s">
        <v>11</v>
      </c>
      <c r="B47" s="1104"/>
      <c r="C47" s="1231"/>
      <c r="D47" s="675">
        <f>+D44+D45+D46</f>
        <v>1001732.1</v>
      </c>
      <c r="E47" s="1025"/>
      <c r="F47" s="771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s="1236" customFormat="1" ht="15" customHeight="1" x14ac:dyDescent="0.35">
      <c r="A48" s="1224" t="s">
        <v>1149</v>
      </c>
      <c r="B48" s="1225"/>
      <c r="C48" s="1226"/>
      <c r="D48" s="844">
        <v>250000</v>
      </c>
      <c r="E48" s="1025"/>
      <c r="F48" s="771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ht="15" customHeight="1" x14ac:dyDescent="0.35">
      <c r="A49" s="1229" t="s">
        <v>1207</v>
      </c>
      <c r="B49" s="1149"/>
      <c r="C49" s="1149"/>
      <c r="D49" s="1230">
        <f>+D47+D48</f>
        <v>1251732.1000000001</v>
      </c>
      <c r="K49" s="183"/>
      <c r="L49" s="183"/>
      <c r="M49" s="176"/>
      <c r="N49" s="176"/>
      <c r="O49" s="176"/>
      <c r="Q49" s="1236"/>
    </row>
    <row r="50" spans="1:19" ht="15" customHeight="1" x14ac:dyDescent="0.35">
      <c r="A50" s="1145"/>
      <c r="B50" s="1227"/>
      <c r="C50" s="1227"/>
      <c r="D50" s="1228"/>
      <c r="K50" s="183"/>
      <c r="L50" s="183"/>
      <c r="M50" s="176"/>
      <c r="N50" s="176"/>
      <c r="O50" s="176"/>
      <c r="Q50" s="1236"/>
    </row>
    <row r="51" spans="1:19" ht="15" customHeight="1" x14ac:dyDescent="0.35">
      <c r="A51" s="1442" t="s">
        <v>1192</v>
      </c>
      <c r="B51" s="1443"/>
      <c r="C51" s="1443"/>
      <c r="D51" s="1444"/>
      <c r="S51" s="1236"/>
    </row>
    <row r="52" spans="1:19" x14ac:dyDescent="0.35">
      <c r="A52" s="2" t="s">
        <v>7</v>
      </c>
      <c r="B52" s="270" t="s">
        <v>8</v>
      </c>
      <c r="C52" s="217" t="s">
        <v>4</v>
      </c>
      <c r="D52" s="597" t="s">
        <v>9</v>
      </c>
    </row>
    <row r="53" spans="1:19" x14ac:dyDescent="0.35">
      <c r="A53" s="772" t="s">
        <v>253</v>
      </c>
      <c r="B53" s="258">
        <f>192-8</f>
        <v>184</v>
      </c>
      <c r="C53" s="227">
        <v>3927</v>
      </c>
      <c r="D53" s="598">
        <f>+B53*C53</f>
        <v>722568</v>
      </c>
      <c r="E53" s="553" t="s">
        <v>1154</v>
      </c>
    </row>
    <row r="54" spans="1:19" x14ac:dyDescent="0.35">
      <c r="A54" s="772" t="s">
        <v>1189</v>
      </c>
      <c r="B54" s="258"/>
      <c r="C54" s="227">
        <f>+C53</f>
        <v>3927</v>
      </c>
      <c r="D54" s="598">
        <f>+B54*C54</f>
        <v>0</v>
      </c>
    </row>
    <row r="55" spans="1:19" x14ac:dyDescent="0.35">
      <c r="A55" s="772" t="s">
        <v>266</v>
      </c>
      <c r="B55" s="258"/>
      <c r="C55" s="227">
        <v>50000</v>
      </c>
      <c r="D55" s="598">
        <f>+C55</f>
        <v>50000</v>
      </c>
    </row>
    <row r="56" spans="1:19" x14ac:dyDescent="0.35">
      <c r="A56" s="772" t="s">
        <v>6</v>
      </c>
      <c r="B56" s="258"/>
      <c r="C56" s="227">
        <v>100000</v>
      </c>
      <c r="D56" s="598">
        <f>+C56</f>
        <v>100000</v>
      </c>
    </row>
    <row r="57" spans="1:19" x14ac:dyDescent="0.35">
      <c r="A57" s="772" t="s">
        <v>1030</v>
      </c>
      <c r="B57" s="258">
        <v>3</v>
      </c>
      <c r="C57" s="194">
        <f>+C53*1.5</f>
        <v>5890.5</v>
      </c>
      <c r="D57" s="598">
        <f>+B57*C57</f>
        <v>17671.5</v>
      </c>
    </row>
    <row r="58" spans="1:19" x14ac:dyDescent="0.35">
      <c r="A58" s="772" t="s">
        <v>449</v>
      </c>
      <c r="B58" s="258"/>
      <c r="C58" s="194">
        <f>+C53*2</f>
        <v>7854</v>
      </c>
      <c r="D58" s="598">
        <f>+B58*C58</f>
        <v>0</v>
      </c>
    </row>
    <row r="59" spans="1:19" s="1192" customFormat="1" x14ac:dyDescent="0.35">
      <c r="A59" s="1200" t="s">
        <v>823</v>
      </c>
      <c r="B59" s="1208"/>
      <c r="C59" s="1202"/>
      <c r="D59" s="1152">
        <v>150000</v>
      </c>
      <c r="E59" s="1199"/>
    </row>
    <row r="60" spans="1:19" s="1192" customFormat="1" x14ac:dyDescent="0.35">
      <c r="A60" s="1200"/>
      <c r="B60" s="1208"/>
      <c r="C60" s="1202"/>
      <c r="D60" s="1152"/>
      <c r="E60" s="1199"/>
    </row>
    <row r="61" spans="1:19" x14ac:dyDescent="0.35">
      <c r="A61" s="1463" t="s">
        <v>389</v>
      </c>
      <c r="B61" s="1464"/>
      <c r="C61" s="1465"/>
      <c r="D61" s="599">
        <f>+D53+D54+D55+D56+D57+D58+D59+D60</f>
        <v>1040239.5</v>
      </c>
      <c r="F61" s="774"/>
    </row>
    <row r="62" spans="1:19" x14ac:dyDescent="0.35">
      <c r="A62" s="904" t="s">
        <v>19</v>
      </c>
      <c r="B62" s="922"/>
      <c r="C62" s="720"/>
      <c r="D62" s="722"/>
    </row>
    <row r="63" spans="1:19" x14ac:dyDescent="0.35">
      <c r="A63" s="672" t="s">
        <v>11</v>
      </c>
      <c r="B63" s="1209"/>
      <c r="C63" s="674"/>
      <c r="D63" s="675">
        <f>+D61+D62</f>
        <v>1040239.5</v>
      </c>
    </row>
    <row r="64" spans="1:19" x14ac:dyDescent="0.35">
      <c r="B64" s="771"/>
      <c r="C64" s="771"/>
      <c r="D64" s="771"/>
    </row>
    <row r="66" spans="1:6" ht="14.5" customHeight="1" x14ac:dyDescent="0.35">
      <c r="A66" s="1442" t="s">
        <v>1193</v>
      </c>
      <c r="B66" s="1443"/>
      <c r="C66" s="1443"/>
      <c r="D66" s="1444"/>
    </row>
    <row r="67" spans="1:6" ht="14.5" customHeight="1" x14ac:dyDescent="0.35">
      <c r="A67" s="2" t="s">
        <v>7</v>
      </c>
      <c r="B67" s="270" t="s">
        <v>8</v>
      </c>
      <c r="C67" s="217" t="s">
        <v>4</v>
      </c>
      <c r="D67" s="597" t="s">
        <v>63</v>
      </c>
    </row>
    <row r="68" spans="1:6" ht="14.5" customHeight="1" x14ac:dyDescent="0.35">
      <c r="A68" s="772" t="s">
        <v>3</v>
      </c>
      <c r="B68" s="258">
        <v>166</v>
      </c>
      <c r="C68" s="227">
        <v>3636</v>
      </c>
      <c r="D68" s="598">
        <f>+B68*C68</f>
        <v>603576</v>
      </c>
      <c r="E68" s="553" t="s">
        <v>1154</v>
      </c>
    </row>
    <row r="69" spans="1:6" ht="14.5" customHeight="1" x14ac:dyDescent="0.35">
      <c r="A69" s="772" t="s">
        <v>1194</v>
      </c>
      <c r="B69" s="258">
        <v>16</v>
      </c>
      <c r="C69" s="227">
        <f>+C68</f>
        <v>3636</v>
      </c>
      <c r="D69" s="598">
        <f>+B69*C69</f>
        <v>58176</v>
      </c>
    </row>
    <row r="70" spans="1:6" ht="14.5" customHeight="1" x14ac:dyDescent="0.35">
      <c r="A70" s="772" t="s">
        <v>1189</v>
      </c>
      <c r="B70" s="258"/>
      <c r="C70" s="227">
        <f>+C68</f>
        <v>3636</v>
      </c>
      <c r="D70" s="598">
        <f>+B70*C70</f>
        <v>0</v>
      </c>
    </row>
    <row r="71" spans="1:6" x14ac:dyDescent="0.35">
      <c r="A71" s="772" t="s">
        <v>266</v>
      </c>
      <c r="B71" s="258"/>
      <c r="C71" s="227">
        <v>50000</v>
      </c>
      <c r="D71" s="598"/>
    </row>
    <row r="72" spans="1:6" x14ac:dyDescent="0.35">
      <c r="A72" s="772" t="s">
        <v>6</v>
      </c>
      <c r="B72" s="258"/>
      <c r="C72" s="227">
        <v>100000</v>
      </c>
      <c r="D72" s="598">
        <v>100000</v>
      </c>
    </row>
    <row r="73" spans="1:6" s="1069" customFormat="1" x14ac:dyDescent="0.35">
      <c r="A73" s="614" t="s">
        <v>270</v>
      </c>
      <c r="B73" s="617">
        <v>1.5</v>
      </c>
      <c r="C73" s="227">
        <f>+C68*1.5</f>
        <v>5454</v>
      </c>
      <c r="D73" s="598">
        <f>+B73*C73</f>
        <v>8181</v>
      </c>
      <c r="E73" s="553"/>
    </row>
    <row r="74" spans="1:6" x14ac:dyDescent="0.35">
      <c r="A74" s="772" t="s">
        <v>281</v>
      </c>
      <c r="B74" s="258"/>
      <c r="C74" s="227">
        <f>+C68*2</f>
        <v>7272</v>
      </c>
      <c r="D74" s="598">
        <f>+B74*C74</f>
        <v>0</v>
      </c>
    </row>
    <row r="75" spans="1:6" s="1192" customFormat="1" x14ac:dyDescent="0.35">
      <c r="A75" s="1200" t="s">
        <v>1040</v>
      </c>
      <c r="B75" s="1208"/>
      <c r="C75" s="1202"/>
      <c r="D75" s="1152">
        <v>130000</v>
      </c>
      <c r="E75" s="1199"/>
    </row>
    <row r="76" spans="1:6" s="1192" customFormat="1" x14ac:dyDescent="0.35">
      <c r="A76" s="1200"/>
      <c r="B76" s="1208"/>
      <c r="C76" s="1202"/>
      <c r="D76" s="1152"/>
      <c r="E76" s="1199"/>
    </row>
    <row r="77" spans="1:6" x14ac:dyDescent="0.35">
      <c r="A77" s="1463" t="s">
        <v>389</v>
      </c>
      <c r="B77" s="1464"/>
      <c r="C77" s="1465"/>
      <c r="D77" s="599">
        <f>+D68+D70+D71+D72+D73+D74+D75+D76</f>
        <v>841757</v>
      </c>
      <c r="F77" s="774"/>
    </row>
    <row r="78" spans="1:6" x14ac:dyDescent="0.35">
      <c r="A78" s="723" t="s">
        <v>1195</v>
      </c>
      <c r="B78" s="721"/>
      <c r="C78" s="721"/>
      <c r="D78" s="722">
        <v>-290000</v>
      </c>
    </row>
    <row r="79" spans="1:6" ht="15.5" x14ac:dyDescent="0.35">
      <c r="A79" s="1460" t="s">
        <v>11</v>
      </c>
      <c r="B79" s="1461"/>
      <c r="C79" s="1462"/>
      <c r="D79" s="603">
        <f>+D77+D78</f>
        <v>551757</v>
      </c>
    </row>
    <row r="80" spans="1:6" s="90" customFormat="1" x14ac:dyDescent="0.35">
      <c r="A80" s="1035"/>
      <c r="B80" s="1042"/>
      <c r="C80" s="553"/>
      <c r="D80" s="1051"/>
      <c r="E80" s="553"/>
    </row>
    <row r="82" spans="1:6" ht="23.5" x14ac:dyDescent="0.35">
      <c r="A82" s="1442" t="s">
        <v>1196</v>
      </c>
      <c r="B82" s="1443"/>
      <c r="C82" s="1443"/>
      <c r="D82" s="1444"/>
    </row>
    <row r="83" spans="1:6" x14ac:dyDescent="0.35">
      <c r="A83" s="2" t="s">
        <v>7</v>
      </c>
      <c r="B83" s="270" t="s">
        <v>388</v>
      </c>
      <c r="C83" s="217" t="s">
        <v>272</v>
      </c>
      <c r="D83" s="597" t="s">
        <v>9</v>
      </c>
    </row>
    <row r="84" spans="1:6" x14ac:dyDescent="0.35">
      <c r="A84" s="772" t="s">
        <v>3</v>
      </c>
      <c r="B84" s="258">
        <v>184</v>
      </c>
      <c r="C84" s="227">
        <v>3613</v>
      </c>
      <c r="D84" s="598">
        <f>+B84*C84</f>
        <v>664792</v>
      </c>
      <c r="E84" s="553" t="s">
        <v>1154</v>
      </c>
    </row>
    <row r="85" spans="1:6" x14ac:dyDescent="0.35">
      <c r="A85" s="772" t="s">
        <v>1189</v>
      </c>
      <c r="B85" s="258"/>
      <c r="C85" s="227">
        <f>+C84</f>
        <v>3613</v>
      </c>
      <c r="D85" s="598">
        <f>+B85*C85</f>
        <v>0</v>
      </c>
    </row>
    <row r="86" spans="1:6" x14ac:dyDescent="0.35">
      <c r="A86" s="772" t="s">
        <v>6</v>
      </c>
      <c r="B86" s="258"/>
      <c r="C86" s="227">
        <v>80000</v>
      </c>
      <c r="D86" s="598">
        <f>+C86</f>
        <v>80000</v>
      </c>
    </row>
    <row r="87" spans="1:6" x14ac:dyDescent="0.35">
      <c r="A87" s="772" t="s">
        <v>200</v>
      </c>
      <c r="B87" s="258"/>
      <c r="C87" s="227">
        <v>50000</v>
      </c>
      <c r="D87" s="598">
        <v>50000</v>
      </c>
    </row>
    <row r="88" spans="1:6" x14ac:dyDescent="0.35">
      <c r="A88" s="772" t="s">
        <v>1032</v>
      </c>
      <c r="B88" s="258">
        <v>13</v>
      </c>
      <c r="C88" s="227">
        <f>+C84*1.5</f>
        <v>5419.5</v>
      </c>
      <c r="D88" s="811">
        <f>+B88*C88</f>
        <v>70453.5</v>
      </c>
    </row>
    <row r="89" spans="1:6" x14ac:dyDescent="0.35">
      <c r="A89" s="772" t="s">
        <v>757</v>
      </c>
      <c r="B89" s="258"/>
      <c r="C89" s="227">
        <f>+C84*2</f>
        <v>7226</v>
      </c>
      <c r="D89" s="598">
        <f>+B89*C89</f>
        <v>0</v>
      </c>
    </row>
    <row r="90" spans="1:6" s="1192" customFormat="1" x14ac:dyDescent="0.35">
      <c r="A90" s="1149" t="s">
        <v>1033</v>
      </c>
      <c r="B90" s="1150"/>
      <c r="C90" s="1151"/>
      <c r="D90" s="1152">
        <v>300000</v>
      </c>
      <c r="E90" s="1199"/>
    </row>
    <row r="91" spans="1:6" s="1192" customFormat="1" x14ac:dyDescent="0.35">
      <c r="A91" s="1149"/>
      <c r="B91" s="1150"/>
      <c r="C91" s="1151"/>
      <c r="D91" s="1152"/>
      <c r="E91" s="1199"/>
    </row>
    <row r="92" spans="1:6" x14ac:dyDescent="0.35">
      <c r="A92" s="1036" t="s">
        <v>389</v>
      </c>
      <c r="B92" s="681"/>
      <c r="C92" s="1037"/>
      <c r="D92" s="1038">
        <f>+D84+D85+D86+D87+D88+D89+D90+D91</f>
        <v>1165245.5</v>
      </c>
    </row>
    <row r="93" spans="1:6" x14ac:dyDescent="0.35">
      <c r="A93" s="772" t="s">
        <v>1190</v>
      </c>
      <c r="B93" s="258"/>
      <c r="C93" s="227"/>
      <c r="D93" s="731">
        <v>-300000</v>
      </c>
      <c r="F93" s="774"/>
    </row>
    <row r="94" spans="1:6" x14ac:dyDescent="0.35">
      <c r="A94" s="772"/>
      <c r="B94" s="258"/>
      <c r="C94" s="227"/>
      <c r="D94" s="731"/>
    </row>
    <row r="95" spans="1:6" ht="15.5" x14ac:dyDescent="0.35">
      <c r="A95" s="1460" t="s">
        <v>11</v>
      </c>
      <c r="B95" s="1461"/>
      <c r="C95" s="1462"/>
      <c r="D95" s="603">
        <f>+D92+D93+D94</f>
        <v>865245.5</v>
      </c>
    </row>
    <row r="96" spans="1:6" ht="15.5" x14ac:dyDescent="0.35">
      <c r="A96" s="723" t="s">
        <v>631</v>
      </c>
      <c r="B96" s="723"/>
      <c r="C96" s="723"/>
      <c r="D96" s="832">
        <v>-190000</v>
      </c>
    </row>
    <row r="97" spans="1:5" ht="15.5" x14ac:dyDescent="0.35">
      <c r="A97" s="611" t="s">
        <v>1010</v>
      </c>
      <c r="B97" s="611"/>
      <c r="C97" s="611"/>
      <c r="D97" s="603">
        <f>+D95+D96</f>
        <v>675245.5</v>
      </c>
    </row>
    <row r="98" spans="1:5" s="90" customFormat="1" x14ac:dyDescent="0.35">
      <c r="B98" s="1042"/>
      <c r="C98" s="553"/>
      <c r="D98" s="1051" t="s">
        <v>63</v>
      </c>
      <c r="E98" s="553"/>
    </row>
    <row r="100" spans="1:5" ht="23.5" x14ac:dyDescent="0.35">
      <c r="A100" s="1431" t="s">
        <v>1197</v>
      </c>
      <c r="B100" s="1431"/>
      <c r="C100" s="1431"/>
      <c r="D100" s="1431"/>
    </row>
    <row r="101" spans="1:5" x14ac:dyDescent="0.35">
      <c r="A101" s="2" t="s">
        <v>7</v>
      </c>
      <c r="B101" s="270" t="s">
        <v>8</v>
      </c>
      <c r="C101" s="217" t="s">
        <v>4</v>
      </c>
      <c r="D101" s="597" t="s">
        <v>9</v>
      </c>
    </row>
    <row r="102" spans="1:5" x14ac:dyDescent="0.35">
      <c r="A102" s="772" t="s">
        <v>3</v>
      </c>
      <c r="B102" s="258">
        <v>184</v>
      </c>
      <c r="C102" s="227">
        <v>3636</v>
      </c>
      <c r="D102" s="598">
        <f>+B102*C102</f>
        <v>669024</v>
      </c>
      <c r="E102" s="553" t="s">
        <v>1154</v>
      </c>
    </row>
    <row r="103" spans="1:5" x14ac:dyDescent="0.35">
      <c r="A103" s="772" t="s">
        <v>1186</v>
      </c>
      <c r="B103" s="258"/>
      <c r="C103" s="227">
        <v>0</v>
      </c>
      <c r="D103" s="598">
        <f>+B103*C103</f>
        <v>0</v>
      </c>
    </row>
    <row r="104" spans="1:5" x14ac:dyDescent="0.35">
      <c r="A104" s="772" t="s">
        <v>200</v>
      </c>
      <c r="B104" s="258"/>
      <c r="C104" s="227">
        <v>50000</v>
      </c>
      <c r="D104" s="598">
        <v>50000</v>
      </c>
    </row>
    <row r="105" spans="1:5" x14ac:dyDescent="0.35">
      <c r="A105" s="772" t="s">
        <v>6</v>
      </c>
      <c r="B105" s="258"/>
      <c r="C105" s="194">
        <v>100000</v>
      </c>
      <c r="D105" s="598">
        <f>+C105</f>
        <v>100000</v>
      </c>
    </row>
    <row r="106" spans="1:5" x14ac:dyDescent="0.35">
      <c r="A106" s="772" t="s">
        <v>1032</v>
      </c>
      <c r="B106" s="258">
        <v>5</v>
      </c>
      <c r="C106" s="194">
        <f>+C102*1.5</f>
        <v>5454</v>
      </c>
      <c r="D106" s="598">
        <f>+B106*C106</f>
        <v>27270</v>
      </c>
    </row>
    <row r="107" spans="1:5" x14ac:dyDescent="0.35">
      <c r="A107" s="772" t="s">
        <v>281</v>
      </c>
      <c r="B107" s="258"/>
      <c r="C107" s="194">
        <f>+C102*2</f>
        <v>7272</v>
      </c>
      <c r="D107" s="598">
        <f>+B107*C107</f>
        <v>0</v>
      </c>
    </row>
    <row r="108" spans="1:5" s="90" customFormat="1" x14ac:dyDescent="0.35">
      <c r="A108" s="141" t="s">
        <v>1033</v>
      </c>
      <c r="B108" s="274"/>
      <c r="C108" s="195"/>
      <c r="D108" s="1017">
        <v>130000</v>
      </c>
      <c r="E108" s="553"/>
    </row>
    <row r="109" spans="1:5" s="90" customFormat="1" x14ac:dyDescent="0.35">
      <c r="A109" s="1145"/>
      <c r="B109" s="1146"/>
      <c r="C109" s="1147"/>
      <c r="D109" s="1017"/>
      <c r="E109" s="553"/>
    </row>
    <row r="110" spans="1:5" x14ac:dyDescent="0.35">
      <c r="A110" s="1463" t="s">
        <v>389</v>
      </c>
      <c r="B110" s="1464"/>
      <c r="C110" s="1465"/>
      <c r="D110" s="599">
        <f>+D102+D103+D104+D105+D106+D107+D108+D109</f>
        <v>976294</v>
      </c>
    </row>
    <row r="111" spans="1:5" x14ac:dyDescent="0.35">
      <c r="A111" s="724" t="s">
        <v>374</v>
      </c>
      <c r="B111" s="729"/>
      <c r="C111" s="730"/>
      <c r="D111" s="731">
        <v>-250000</v>
      </c>
    </row>
    <row r="112" spans="1:5" x14ac:dyDescent="0.35">
      <c r="A112" s="724"/>
      <c r="B112" s="729"/>
      <c r="C112" s="730"/>
      <c r="D112" s="731"/>
    </row>
    <row r="113" spans="1:5" s="997" customFormat="1" ht="15.5" x14ac:dyDescent="0.35">
      <c r="A113" s="992" t="s">
        <v>11</v>
      </c>
      <c r="B113" s="1181"/>
      <c r="C113" s="994"/>
      <c r="D113" s="995">
        <f>+D110+D111+D112</f>
        <v>726294</v>
      </c>
      <c r="E113" s="1026"/>
    </row>
    <row r="114" spans="1:5" s="90" customFormat="1" x14ac:dyDescent="0.35">
      <c r="B114" s="1042"/>
      <c r="C114" s="553"/>
      <c r="D114" s="1051"/>
      <c r="E114" s="553"/>
    </row>
    <row r="116" spans="1:5" ht="23.5" x14ac:dyDescent="0.35">
      <c r="A116" s="1442" t="s">
        <v>1198</v>
      </c>
      <c r="B116" s="1443"/>
      <c r="C116" s="1443"/>
      <c r="D116" s="1444"/>
    </row>
    <row r="117" spans="1:5" x14ac:dyDescent="0.35">
      <c r="A117" s="2" t="s">
        <v>7</v>
      </c>
      <c r="B117" s="270" t="s">
        <v>388</v>
      </c>
      <c r="C117" s="217" t="s">
        <v>629</v>
      </c>
      <c r="D117" s="597" t="s">
        <v>9</v>
      </c>
    </row>
    <row r="118" spans="1:5" x14ac:dyDescent="0.35">
      <c r="A118" s="772" t="s">
        <v>3</v>
      </c>
      <c r="B118" s="258">
        <v>183</v>
      </c>
      <c r="C118" s="194">
        <v>5331</v>
      </c>
      <c r="D118" s="598">
        <f>+B118*C118</f>
        <v>975573</v>
      </c>
      <c r="E118" s="553" t="s">
        <v>1209</v>
      </c>
    </row>
    <row r="119" spans="1:5" x14ac:dyDescent="0.35">
      <c r="A119" s="772" t="s">
        <v>1189</v>
      </c>
      <c r="B119" s="258"/>
      <c r="C119" s="194">
        <f>+C118</f>
        <v>5331</v>
      </c>
      <c r="D119" s="609">
        <f>+B119*C119</f>
        <v>0</v>
      </c>
    </row>
    <row r="120" spans="1:5" x14ac:dyDescent="0.35">
      <c r="A120" s="772" t="s">
        <v>556</v>
      </c>
      <c r="B120" s="258"/>
      <c r="C120" s="194">
        <v>50000</v>
      </c>
      <c r="D120" s="609">
        <f>+C120</f>
        <v>50000</v>
      </c>
    </row>
    <row r="121" spans="1:5" x14ac:dyDescent="0.35">
      <c r="A121" s="772" t="s">
        <v>6</v>
      </c>
      <c r="B121" s="258"/>
      <c r="C121" s="194">
        <v>100000</v>
      </c>
      <c r="D121" s="609">
        <f>+C121</f>
        <v>100000</v>
      </c>
    </row>
    <row r="122" spans="1:5" x14ac:dyDescent="0.35">
      <c r="A122" s="614" t="s">
        <v>628</v>
      </c>
      <c r="B122" s="617">
        <v>0.5</v>
      </c>
      <c r="C122" s="227">
        <f>+C118*1.5</f>
        <v>7996.5</v>
      </c>
      <c r="D122" s="609">
        <f>+B122*C122</f>
        <v>3998.25</v>
      </c>
    </row>
    <row r="123" spans="1:5" x14ac:dyDescent="0.35">
      <c r="A123" s="614" t="s">
        <v>823</v>
      </c>
      <c r="B123" s="617"/>
      <c r="C123" s="227"/>
      <c r="D123" s="609">
        <v>120000</v>
      </c>
    </row>
    <row r="124" spans="1:5" x14ac:dyDescent="0.35">
      <c r="A124" s="614"/>
      <c r="B124" s="617"/>
      <c r="C124" s="227"/>
      <c r="D124" s="609"/>
    </row>
    <row r="125" spans="1:5" s="90" customFormat="1" x14ac:dyDescent="0.35">
      <c r="A125" s="1071" t="s">
        <v>389</v>
      </c>
      <c r="B125" s="1074"/>
      <c r="C125" s="1172"/>
      <c r="D125" s="1173">
        <f>+D118+D119+D120+D121+D122+D123+D124</f>
        <v>1249571.25</v>
      </c>
      <c r="E125" s="553"/>
    </row>
    <row r="126" spans="1:5" x14ac:dyDescent="0.35">
      <c r="A126" s="614" t="s">
        <v>1199</v>
      </c>
      <c r="B126" s="617"/>
      <c r="C126" s="227"/>
      <c r="D126" s="609">
        <v>58900</v>
      </c>
    </row>
    <row r="127" spans="1:5" x14ac:dyDescent="0.35">
      <c r="A127" s="614" t="s">
        <v>1200</v>
      </c>
      <c r="B127" s="617"/>
      <c r="C127" s="227"/>
      <c r="D127" s="609">
        <v>37100</v>
      </c>
    </row>
    <row r="128" spans="1:5" ht="15.5" x14ac:dyDescent="0.35">
      <c r="A128" s="1059" t="s">
        <v>11</v>
      </c>
      <c r="B128" s="1060"/>
      <c r="C128" s="1061"/>
      <c r="D128" s="1167">
        <f>+D125+D126+D127</f>
        <v>1345571.25</v>
      </c>
    </row>
    <row r="131" spans="1:5" ht="23.5" x14ac:dyDescent="0.35">
      <c r="A131" s="1442" t="s">
        <v>1201</v>
      </c>
      <c r="B131" s="1443"/>
      <c r="C131" s="1443"/>
      <c r="D131" s="1444"/>
    </row>
    <row r="132" spans="1:5" x14ac:dyDescent="0.35">
      <c r="A132" s="2" t="s">
        <v>7</v>
      </c>
      <c r="B132" s="270" t="s">
        <v>8</v>
      </c>
      <c r="C132" s="217" t="s">
        <v>4</v>
      </c>
      <c r="D132" s="597" t="s">
        <v>9</v>
      </c>
    </row>
    <row r="133" spans="1:5" x14ac:dyDescent="0.35">
      <c r="A133" s="772" t="s">
        <v>3</v>
      </c>
      <c r="B133" s="258">
        <v>150.5</v>
      </c>
      <c r="C133" s="194">
        <v>5331</v>
      </c>
      <c r="D133" s="598">
        <f>+B133*C133</f>
        <v>802315.5</v>
      </c>
      <c r="E133" s="553" t="s">
        <v>1064</v>
      </c>
    </row>
    <row r="134" spans="1:5" x14ac:dyDescent="0.35">
      <c r="A134" s="772" t="s">
        <v>1189</v>
      </c>
      <c r="B134" s="258"/>
      <c r="C134" s="194">
        <f>+C133</f>
        <v>5331</v>
      </c>
      <c r="D134" s="609">
        <f>+B134*C134</f>
        <v>0</v>
      </c>
    </row>
    <row r="135" spans="1:5" x14ac:dyDescent="0.35">
      <c r="A135" s="772" t="s">
        <v>6</v>
      </c>
      <c r="B135" s="258"/>
      <c r="C135" s="194">
        <v>100000</v>
      </c>
      <c r="D135" s="609">
        <f>+C135</f>
        <v>100000</v>
      </c>
    </row>
    <row r="136" spans="1:5" x14ac:dyDescent="0.35">
      <c r="A136" s="614" t="s">
        <v>556</v>
      </c>
      <c r="B136" s="617"/>
      <c r="C136" s="227">
        <v>50000</v>
      </c>
      <c r="D136" s="609">
        <v>50000</v>
      </c>
    </row>
    <row r="137" spans="1:5" x14ac:dyDescent="0.35">
      <c r="A137" s="614" t="s">
        <v>1035</v>
      </c>
      <c r="B137" s="617">
        <v>0.5</v>
      </c>
      <c r="C137" s="227">
        <f>+C133*1.5</f>
        <v>7996.5</v>
      </c>
      <c r="D137" s="609">
        <f>+B137*C137</f>
        <v>3998.25</v>
      </c>
    </row>
    <row r="138" spans="1:5" s="1192" customFormat="1" x14ac:dyDescent="0.35">
      <c r="A138" s="1149" t="s">
        <v>823</v>
      </c>
      <c r="B138" s="1150"/>
      <c r="C138" s="1151">
        <v>120000</v>
      </c>
      <c r="D138" s="1210">
        <f>+C138</f>
        <v>120000</v>
      </c>
      <c r="E138" s="1199"/>
    </row>
    <row r="139" spans="1:5" x14ac:dyDescent="0.35">
      <c r="A139" s="1149"/>
      <c r="B139" s="617"/>
      <c r="C139" s="227"/>
      <c r="D139" s="609"/>
    </row>
    <row r="140" spans="1:5" x14ac:dyDescent="0.35">
      <c r="A140" s="882" t="s">
        <v>389</v>
      </c>
      <c r="B140" s="883"/>
      <c r="C140" s="884"/>
      <c r="D140" s="1058">
        <f>+D133+D134+D135+D136+D137+D138+D139</f>
        <v>1076313.75</v>
      </c>
    </row>
    <row r="141" spans="1:5" x14ac:dyDescent="0.35">
      <c r="A141" s="724" t="s">
        <v>50</v>
      </c>
      <c r="B141" s="729"/>
      <c r="C141" s="729"/>
      <c r="D141" s="731">
        <v>-270000</v>
      </c>
    </row>
    <row r="142" spans="1:5" x14ac:dyDescent="0.35">
      <c r="A142" s="1071" t="s">
        <v>11</v>
      </c>
      <c r="B142" s="1074"/>
      <c r="C142" s="1074"/>
      <c r="D142" s="1075">
        <f>+D140+D141</f>
        <v>806313.75</v>
      </c>
    </row>
    <row r="146" spans="1:19" s="1042" customFormat="1" ht="23.5" x14ac:dyDescent="0.35">
      <c r="A146" s="1442" t="s">
        <v>1202</v>
      </c>
      <c r="B146" s="1443"/>
      <c r="C146" s="1443"/>
      <c r="D146" s="1444"/>
      <c r="E146" s="553"/>
      <c r="F146" s="771"/>
      <c r="G146" s="771"/>
      <c r="H146" s="771"/>
      <c r="I146" s="771"/>
      <c r="J146" s="771"/>
      <c r="K146" s="771"/>
      <c r="L146" s="771"/>
      <c r="M146" s="771"/>
      <c r="N146" s="771"/>
      <c r="O146" s="771"/>
      <c r="P146" s="771"/>
      <c r="Q146" s="771"/>
      <c r="R146" s="771"/>
      <c r="S146" s="771"/>
    </row>
    <row r="147" spans="1:19" s="1042" customFormat="1" x14ac:dyDescent="0.35">
      <c r="A147" s="2" t="s">
        <v>7</v>
      </c>
      <c r="B147" s="270" t="s">
        <v>388</v>
      </c>
      <c r="C147" s="217" t="s">
        <v>1037</v>
      </c>
      <c r="D147" s="597" t="s">
        <v>9</v>
      </c>
      <c r="E147" s="553"/>
      <c r="F147" s="771"/>
      <c r="G147" s="771"/>
      <c r="H147" s="771"/>
      <c r="I147" s="771"/>
      <c r="J147" s="771"/>
      <c r="K147" s="771"/>
      <c r="L147" s="771"/>
      <c r="M147" s="771"/>
      <c r="N147" s="771"/>
      <c r="O147" s="771"/>
      <c r="P147" s="771"/>
      <c r="Q147" s="771"/>
      <c r="R147" s="771"/>
      <c r="S147" s="771"/>
    </row>
    <row r="148" spans="1:19" s="1042" customFormat="1" x14ac:dyDescent="0.35">
      <c r="A148" s="772" t="s">
        <v>3</v>
      </c>
      <c r="B148" s="258">
        <v>184</v>
      </c>
      <c r="C148" s="194">
        <v>3927</v>
      </c>
      <c r="D148" s="598">
        <f>+B148*C148</f>
        <v>722568</v>
      </c>
      <c r="E148" s="553" t="s">
        <v>1154</v>
      </c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</row>
    <row r="149" spans="1:19" s="1042" customFormat="1" x14ac:dyDescent="0.35">
      <c r="A149" s="772" t="s">
        <v>1189</v>
      </c>
      <c r="B149" s="258"/>
      <c r="C149" s="194">
        <f>+C148</f>
        <v>3927</v>
      </c>
      <c r="D149" s="609">
        <f>+B149*C149</f>
        <v>0</v>
      </c>
      <c r="E149" s="553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042" customFormat="1" x14ac:dyDescent="0.35">
      <c r="A150" s="772" t="s">
        <v>200</v>
      </c>
      <c r="B150" s="258"/>
      <c r="C150" s="194">
        <v>50000</v>
      </c>
      <c r="D150" s="609">
        <f>+C150</f>
        <v>50000</v>
      </c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614" t="s">
        <v>6</v>
      </c>
      <c r="B151" s="617"/>
      <c r="C151" s="227">
        <v>100000</v>
      </c>
      <c r="D151" s="609">
        <f>+C151</f>
        <v>100000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614" t="s">
        <v>1035</v>
      </c>
      <c r="B152" s="617">
        <v>6</v>
      </c>
      <c r="C152" s="227">
        <f>+C148*1.5</f>
        <v>5890.5</v>
      </c>
      <c r="D152" s="609">
        <f>+B152*C152</f>
        <v>35343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614" t="s">
        <v>1036</v>
      </c>
      <c r="B153" s="617"/>
      <c r="C153" s="227">
        <f>+C148*2</f>
        <v>7854</v>
      </c>
      <c r="D153" s="609">
        <f>+C153*0</f>
        <v>0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190" customFormat="1" x14ac:dyDescent="0.35">
      <c r="A154" s="1149" t="s">
        <v>823</v>
      </c>
      <c r="B154" s="1150"/>
      <c r="C154" s="1151"/>
      <c r="D154" s="1210">
        <v>80000</v>
      </c>
      <c r="E154" s="1199"/>
      <c r="F154" s="1192"/>
      <c r="G154" s="1192"/>
      <c r="H154" s="1192"/>
      <c r="I154" s="1192"/>
      <c r="J154" s="1192"/>
      <c r="K154" s="1192"/>
      <c r="L154" s="1192"/>
      <c r="M154" s="1192"/>
      <c r="N154" s="1192"/>
      <c r="O154" s="1192"/>
      <c r="P154" s="1192"/>
      <c r="Q154" s="1192"/>
      <c r="R154" s="1192"/>
      <c r="S154" s="1192"/>
    </row>
    <row r="155" spans="1:19" s="1190" customFormat="1" x14ac:dyDescent="0.35">
      <c r="A155" s="1223"/>
      <c r="B155" s="1150"/>
      <c r="C155" s="1151"/>
      <c r="D155" s="1210"/>
      <c r="E155" s="1199"/>
      <c r="F155" s="1192"/>
      <c r="G155" s="1192"/>
      <c r="H155" s="1192"/>
      <c r="I155" s="1192"/>
      <c r="J155" s="1192"/>
      <c r="K155" s="1192"/>
      <c r="L155" s="1192"/>
      <c r="M155" s="1192"/>
      <c r="N155" s="1192"/>
      <c r="O155" s="1192"/>
      <c r="P155" s="1192"/>
      <c r="Q155" s="1192"/>
      <c r="R155" s="1192"/>
      <c r="S155" s="1192"/>
    </row>
    <row r="156" spans="1:19" s="1042" customFormat="1" x14ac:dyDescent="0.35">
      <c r="A156" s="882" t="s">
        <v>389</v>
      </c>
      <c r="B156" s="883"/>
      <c r="C156" s="884"/>
      <c r="D156" s="1058">
        <f>+D148+D149+D150+D151+D152+D153+D154+D155</f>
        <v>987911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1211"/>
      <c r="B157" s="1212"/>
      <c r="C157" s="1213"/>
      <c r="D157" s="1214"/>
      <c r="E157" s="553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042" customFormat="1" x14ac:dyDescent="0.35">
      <c r="A158" s="724"/>
      <c r="B158" s="729"/>
      <c r="C158" s="729"/>
      <c r="D158" s="731"/>
      <c r="E158" s="553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59" spans="1:19" s="1042" customFormat="1" x14ac:dyDescent="0.35">
      <c r="A159" s="1071" t="s">
        <v>11</v>
      </c>
      <c r="B159" s="1074"/>
      <c r="C159" s="1074"/>
      <c r="D159" s="1075">
        <f>+D156+D157+D158</f>
        <v>987911</v>
      </c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3" spans="1:5" ht="23.5" x14ac:dyDescent="0.35">
      <c r="A163" s="1442" t="s">
        <v>1203</v>
      </c>
      <c r="B163" s="1443"/>
      <c r="C163" s="1443"/>
      <c r="D163" s="1444"/>
    </row>
    <row r="164" spans="1:5" x14ac:dyDescent="0.35">
      <c r="A164" s="2" t="s">
        <v>7</v>
      </c>
      <c r="B164" s="270" t="s">
        <v>425</v>
      </c>
      <c r="C164" s="217" t="s">
        <v>272</v>
      </c>
      <c r="D164" s="597" t="s">
        <v>9</v>
      </c>
    </row>
    <row r="165" spans="1:5" x14ac:dyDescent="0.35">
      <c r="A165" s="772" t="s">
        <v>3</v>
      </c>
      <c r="B165" s="258">
        <v>184</v>
      </c>
      <c r="C165" s="194">
        <v>3179</v>
      </c>
      <c r="D165" s="598">
        <f>+B165*C165</f>
        <v>584936</v>
      </c>
      <c r="E165" s="553" t="s">
        <v>1154</v>
      </c>
    </row>
    <row r="166" spans="1:5" x14ac:dyDescent="0.35">
      <c r="A166" s="772" t="s">
        <v>1189</v>
      </c>
      <c r="B166" s="258"/>
      <c r="C166" s="194">
        <f>+C165</f>
        <v>3179</v>
      </c>
      <c r="D166" s="609">
        <f>+B166*C166</f>
        <v>0</v>
      </c>
    </row>
    <row r="167" spans="1:5" x14ac:dyDescent="0.35">
      <c r="A167" s="772" t="s">
        <v>200</v>
      </c>
      <c r="B167" s="258"/>
      <c r="C167" s="194">
        <v>50000</v>
      </c>
      <c r="D167" s="609">
        <f>+C167</f>
        <v>50000</v>
      </c>
    </row>
    <row r="168" spans="1:5" x14ac:dyDescent="0.35">
      <c r="A168" s="614" t="s">
        <v>6</v>
      </c>
      <c r="B168" s="617"/>
      <c r="C168" s="227">
        <v>40000</v>
      </c>
      <c r="D168" s="609">
        <f>+C168</f>
        <v>40000</v>
      </c>
    </row>
    <row r="169" spans="1:5" x14ac:dyDescent="0.35">
      <c r="A169" s="614" t="s">
        <v>1035</v>
      </c>
      <c r="B169" s="617">
        <v>12.5</v>
      </c>
      <c r="C169" s="227">
        <f>+C165*1.5</f>
        <v>4768.5</v>
      </c>
      <c r="D169" s="609">
        <f>+B169*C169</f>
        <v>59606.25</v>
      </c>
    </row>
    <row r="170" spans="1:5" x14ac:dyDescent="0.35">
      <c r="A170" s="614" t="s">
        <v>1036</v>
      </c>
      <c r="B170" s="617"/>
      <c r="C170" s="227">
        <f>+C165*2</f>
        <v>6358</v>
      </c>
      <c r="D170" s="609">
        <f>+B170*C170</f>
        <v>0</v>
      </c>
    </row>
    <row r="171" spans="1:5" s="1192" customFormat="1" x14ac:dyDescent="0.35">
      <c r="A171" s="1149" t="s">
        <v>823</v>
      </c>
      <c r="B171" s="1150"/>
      <c r="C171" s="1151"/>
      <c r="D171" s="1210">
        <v>100000</v>
      </c>
      <c r="E171" s="1199"/>
    </row>
    <row r="172" spans="1:5" s="1192" customFormat="1" x14ac:dyDescent="0.35">
      <c r="A172" s="1223"/>
      <c r="B172" s="1150"/>
      <c r="C172" s="1151"/>
      <c r="D172" s="1210"/>
      <c r="E172" s="1199"/>
    </row>
    <row r="173" spans="1:5" x14ac:dyDescent="0.35">
      <c r="A173" s="882" t="s">
        <v>389</v>
      </c>
      <c r="B173" s="883"/>
      <c r="C173" s="884"/>
      <c r="D173" s="1058">
        <f>+D165+D166+D167+D168+D169+D170+D171+D172</f>
        <v>834542.25</v>
      </c>
    </row>
    <row r="174" spans="1:5" s="1070" customFormat="1" x14ac:dyDescent="0.35">
      <c r="A174" s="739" t="s">
        <v>19</v>
      </c>
      <c r="B174" s="1215"/>
      <c r="C174" s="1216"/>
      <c r="D174" s="736">
        <v>-200000</v>
      </c>
      <c r="E174" s="1234"/>
    </row>
    <row r="175" spans="1:5" x14ac:dyDescent="0.35">
      <c r="A175" s="724"/>
      <c r="B175" s="729"/>
      <c r="C175" s="729"/>
      <c r="D175" s="731"/>
    </row>
    <row r="176" spans="1:5" x14ac:dyDescent="0.35">
      <c r="A176" s="1071" t="s">
        <v>11</v>
      </c>
      <c r="B176" s="1074"/>
      <c r="C176" s="1074"/>
      <c r="D176" s="1075">
        <f>+D173+D174+D175</f>
        <v>634542.25</v>
      </c>
    </row>
    <row r="179" spans="1:19" ht="23.5" x14ac:dyDescent="0.35">
      <c r="A179" s="1442" t="s">
        <v>1182</v>
      </c>
      <c r="B179" s="1443"/>
      <c r="C179" s="1443"/>
      <c r="D179" s="1444"/>
    </row>
    <row r="180" spans="1:19" x14ac:dyDescent="0.35">
      <c r="A180" s="2"/>
      <c r="B180" s="270"/>
      <c r="C180" s="217"/>
      <c r="D180" s="597"/>
    </row>
    <row r="181" spans="1:19" x14ac:dyDescent="0.35">
      <c r="A181" s="772" t="s">
        <v>3</v>
      </c>
      <c r="B181" s="258">
        <v>96</v>
      </c>
      <c r="C181" s="194">
        <v>3570</v>
      </c>
      <c r="D181" s="598">
        <f>+B181*C181</f>
        <v>342720</v>
      </c>
    </row>
    <row r="182" spans="1:19" x14ac:dyDescent="0.35">
      <c r="A182" s="772" t="s">
        <v>394</v>
      </c>
      <c r="B182" s="258">
        <v>0</v>
      </c>
      <c r="C182" s="194">
        <f>+C181</f>
        <v>3570</v>
      </c>
      <c r="D182" s="609">
        <f>+B182*C182</f>
        <v>0</v>
      </c>
    </row>
    <row r="183" spans="1:19" s="1042" customFormat="1" x14ac:dyDescent="0.35">
      <c r="A183" s="1107" t="s">
        <v>877</v>
      </c>
      <c r="B183" s="258"/>
      <c r="C183" s="194">
        <v>50000</v>
      </c>
      <c r="D183" s="609">
        <f>+C183/2</f>
        <v>25000</v>
      </c>
      <c r="E183" s="553"/>
      <c r="F183" s="771"/>
      <c r="G183" s="771"/>
      <c r="H183" s="771"/>
      <c r="I183" s="771"/>
      <c r="J183" s="771"/>
      <c r="K183" s="771"/>
      <c r="L183" s="771"/>
      <c r="M183" s="771"/>
      <c r="N183" s="771"/>
      <c r="O183" s="771"/>
      <c r="P183" s="771"/>
      <c r="Q183" s="771"/>
      <c r="R183" s="771"/>
      <c r="S183" s="771"/>
    </row>
    <row r="184" spans="1:19" s="1042" customFormat="1" x14ac:dyDescent="0.35">
      <c r="A184" s="614" t="s">
        <v>6</v>
      </c>
      <c r="B184" s="617"/>
      <c r="C184" s="227">
        <v>50000</v>
      </c>
      <c r="D184" s="609">
        <v>50000</v>
      </c>
      <c r="E184" s="553"/>
      <c r="F184" s="771"/>
      <c r="G184" s="771"/>
      <c r="H184" s="771"/>
      <c r="I184" s="771"/>
      <c r="J184" s="771"/>
      <c r="K184" s="771"/>
      <c r="L184" s="771"/>
      <c r="M184" s="771"/>
      <c r="N184" s="771"/>
      <c r="O184" s="771"/>
      <c r="P184" s="771"/>
      <c r="Q184" s="771"/>
      <c r="R184" s="771"/>
      <c r="S184" s="771"/>
    </row>
    <row r="185" spans="1:19" s="1042" customFormat="1" x14ac:dyDescent="0.35">
      <c r="A185" s="614" t="s">
        <v>1035</v>
      </c>
      <c r="B185" s="617"/>
      <c r="C185" s="227">
        <f>+C181*1.5</f>
        <v>5355</v>
      </c>
      <c r="D185" s="609">
        <f>+B185*C185</f>
        <v>0</v>
      </c>
      <c r="E185" s="553"/>
      <c r="F185" s="771"/>
      <c r="G185" s="771"/>
      <c r="H185" s="771"/>
      <c r="I185" s="771"/>
      <c r="J185" s="771"/>
      <c r="K185" s="771"/>
      <c r="L185" s="771"/>
      <c r="M185" s="771"/>
      <c r="N185" s="771"/>
      <c r="O185" s="771"/>
      <c r="P185" s="771"/>
      <c r="Q185" s="771"/>
      <c r="R185" s="771"/>
      <c r="S185" s="771"/>
    </row>
    <row r="186" spans="1:19" s="1042" customFormat="1" x14ac:dyDescent="0.35">
      <c r="A186" s="614" t="s">
        <v>1036</v>
      </c>
      <c r="B186" s="617"/>
      <c r="C186" s="227">
        <f>+C181*2</f>
        <v>7140</v>
      </c>
      <c r="D186" s="609">
        <f>+C186*0</f>
        <v>0</v>
      </c>
      <c r="E186" s="553"/>
      <c r="F186" s="771"/>
      <c r="G186" s="771"/>
      <c r="H186" s="771"/>
      <c r="I186" s="771"/>
      <c r="J186" s="771"/>
      <c r="K186" s="771"/>
      <c r="L186" s="771"/>
      <c r="M186" s="771"/>
      <c r="N186" s="771"/>
      <c r="O186" s="771"/>
      <c r="P186" s="771"/>
      <c r="Q186" s="771"/>
      <c r="R186" s="771"/>
      <c r="S186" s="771"/>
    </row>
    <row r="187" spans="1:19" s="1042" customFormat="1" x14ac:dyDescent="0.35">
      <c r="A187" s="614" t="s">
        <v>823</v>
      </c>
      <c r="B187" s="617"/>
      <c r="C187" s="227"/>
      <c r="D187" s="609">
        <v>50000</v>
      </c>
      <c r="E187" s="553"/>
      <c r="F187" s="771"/>
      <c r="G187" s="771"/>
      <c r="H187" s="771"/>
      <c r="I187" s="771"/>
      <c r="J187" s="771"/>
      <c r="K187" s="771"/>
      <c r="L187" s="771"/>
      <c r="M187" s="771"/>
      <c r="N187" s="771"/>
      <c r="O187" s="771"/>
      <c r="P187" s="771"/>
      <c r="Q187" s="771"/>
      <c r="R187" s="771"/>
      <c r="S187" s="771"/>
    </row>
    <row r="188" spans="1:19" s="1042" customFormat="1" x14ac:dyDescent="0.35">
      <c r="A188" s="1223" t="s">
        <v>1183</v>
      </c>
      <c r="B188" s="617">
        <v>40</v>
      </c>
      <c r="C188" s="227">
        <f>+C181</f>
        <v>3570</v>
      </c>
      <c r="D188" s="609">
        <f>+B188*C188</f>
        <v>142800</v>
      </c>
      <c r="E188" s="553"/>
      <c r="F188" s="771"/>
      <c r="G188" s="771"/>
      <c r="H188" s="771"/>
      <c r="I188" s="771"/>
      <c r="J188" s="771"/>
      <c r="K188" s="771"/>
      <c r="L188" s="771"/>
      <c r="M188" s="771"/>
      <c r="N188" s="771"/>
      <c r="O188" s="771"/>
      <c r="P188" s="771"/>
      <c r="Q188" s="771"/>
      <c r="R188" s="771"/>
      <c r="S188" s="771"/>
    </row>
    <row r="189" spans="1:19" s="1042" customFormat="1" x14ac:dyDescent="0.35">
      <c r="A189" s="1223" t="s">
        <v>1184</v>
      </c>
      <c r="B189" s="617"/>
      <c r="C189" s="227"/>
      <c r="D189" s="609">
        <v>114250</v>
      </c>
      <c r="E189" s="553"/>
      <c r="F189" s="771"/>
      <c r="G189" s="771"/>
      <c r="H189" s="771"/>
      <c r="I189" s="771"/>
      <c r="J189" s="771"/>
      <c r="K189" s="771"/>
      <c r="L189" s="771"/>
      <c r="M189" s="771"/>
      <c r="N189" s="771"/>
      <c r="O189" s="771"/>
      <c r="P189" s="771"/>
      <c r="Q189" s="771"/>
      <c r="R189" s="771"/>
      <c r="S189" s="771"/>
    </row>
    <row r="190" spans="1:19" s="1042" customFormat="1" x14ac:dyDescent="0.35">
      <c r="A190" s="882" t="s">
        <v>389</v>
      </c>
      <c r="B190" s="883"/>
      <c r="C190" s="884"/>
      <c r="D190" s="1058">
        <f>+D181+D182+D183+D184+D185+D186+D187+D188+D189</f>
        <v>724770</v>
      </c>
      <c r="E190" s="553"/>
      <c r="F190" s="771"/>
      <c r="G190" s="771"/>
      <c r="H190" s="771"/>
      <c r="I190" s="771"/>
      <c r="J190" s="771"/>
      <c r="K190" s="771"/>
      <c r="L190" s="771"/>
      <c r="M190" s="771"/>
      <c r="N190" s="771"/>
      <c r="O190" s="771"/>
      <c r="P190" s="771"/>
      <c r="Q190" s="771"/>
      <c r="R190" s="771"/>
      <c r="S190" s="771"/>
    </row>
    <row r="191" spans="1:19" s="1042" customFormat="1" x14ac:dyDescent="0.35">
      <c r="A191" s="1211" t="s">
        <v>19</v>
      </c>
      <c r="B191" s="1212"/>
      <c r="C191" s="1213"/>
      <c r="D191" s="736"/>
      <c r="E191" s="553"/>
      <c r="F191" s="771"/>
      <c r="G191" s="771"/>
      <c r="H191" s="771"/>
      <c r="I191" s="771"/>
      <c r="J191" s="771"/>
      <c r="K191" s="771"/>
      <c r="L191" s="771"/>
      <c r="M191" s="771"/>
      <c r="N191" s="771"/>
      <c r="O191" s="771"/>
      <c r="P191" s="771"/>
      <c r="Q191" s="771"/>
      <c r="R191" s="771"/>
      <c r="S191" s="771"/>
    </row>
    <row r="192" spans="1:19" s="1042" customFormat="1" x14ac:dyDescent="0.35">
      <c r="A192" s="724"/>
      <c r="B192" s="729"/>
      <c r="C192" s="729"/>
      <c r="D192" s="731"/>
      <c r="E192" s="553"/>
      <c r="F192" s="771"/>
      <c r="G192" s="771"/>
      <c r="H192" s="771"/>
      <c r="I192" s="771"/>
      <c r="J192" s="771"/>
      <c r="K192" s="771"/>
      <c r="L192" s="771"/>
      <c r="M192" s="771"/>
      <c r="N192" s="771"/>
      <c r="O192" s="771"/>
      <c r="P192" s="771"/>
      <c r="Q192" s="771"/>
      <c r="R192" s="771"/>
      <c r="S192" s="771"/>
    </row>
    <row r="193" spans="1:19" s="1042" customFormat="1" x14ac:dyDescent="0.35">
      <c r="A193" s="1071" t="s">
        <v>11</v>
      </c>
      <c r="B193" s="1074"/>
      <c r="C193" s="1074"/>
      <c r="D193" s="1075">
        <f>+D190+D191+D192</f>
        <v>724770</v>
      </c>
      <c r="E193" s="553"/>
      <c r="F193" s="771"/>
      <c r="G193" s="771"/>
      <c r="H193" s="771"/>
      <c r="I193" s="771"/>
      <c r="J193" s="771"/>
      <c r="K193" s="771"/>
      <c r="L193" s="771"/>
      <c r="M193" s="771"/>
      <c r="N193" s="771"/>
      <c r="O193" s="771"/>
      <c r="P193" s="771"/>
      <c r="Q193" s="771"/>
      <c r="R193" s="771"/>
      <c r="S193" s="771"/>
    </row>
  </sheetData>
  <mergeCells count="21">
    <mergeCell ref="A79:C79"/>
    <mergeCell ref="A3:D3"/>
    <mergeCell ref="A13:C13"/>
    <mergeCell ref="A16:C16"/>
    <mergeCell ref="A19:D19"/>
    <mergeCell ref="A29:C29"/>
    <mergeCell ref="A34:D34"/>
    <mergeCell ref="A44:C44"/>
    <mergeCell ref="A51:D51"/>
    <mergeCell ref="A61:C61"/>
    <mergeCell ref="A66:D66"/>
    <mergeCell ref="A77:C77"/>
    <mergeCell ref="A146:D146"/>
    <mergeCell ref="A163:D163"/>
    <mergeCell ref="A179:D179"/>
    <mergeCell ref="A82:D82"/>
    <mergeCell ref="A95:C95"/>
    <mergeCell ref="A100:D100"/>
    <mergeCell ref="A110:C110"/>
    <mergeCell ref="A116:D116"/>
    <mergeCell ref="A131:D131"/>
  </mergeCells>
  <pageMargins left="0.31496062992125984" right="0.11811023622047245" top="0" bottom="0" header="0.31496062992125984" footer="0.31496062992125984"/>
  <pageSetup paperSize="9" scale="26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2BB5-1DBF-4EE2-B9C0-F908D6A9408C}">
  <sheetPr>
    <pageSetUpPr fitToPage="1"/>
  </sheetPr>
  <dimension ref="A1:F48"/>
  <sheetViews>
    <sheetView topLeftCell="A10" workbookViewId="0">
      <selection activeCell="F20" sqref="F20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2" style="774" customWidth="1"/>
    <col min="4" max="4" width="26.90625" style="774" customWidth="1"/>
    <col min="5" max="5" width="21.1796875" style="774" customWidth="1"/>
    <col min="6" max="6" width="25.26953125" style="771" customWidth="1"/>
    <col min="7" max="16384" width="10.90625" style="771"/>
  </cols>
  <sheetData>
    <row r="1" spans="1:6" s="658" customFormat="1" ht="28.5" x14ac:dyDescent="0.65">
      <c r="A1" s="946"/>
      <c r="B1" s="1122" t="s">
        <v>1204</v>
      </c>
      <c r="C1" s="1237"/>
      <c r="D1" s="983"/>
      <c r="E1" s="983"/>
    </row>
    <row r="2" spans="1:6" s="658" customFormat="1" ht="28.5" x14ac:dyDescent="0.65">
      <c r="A2" s="946"/>
      <c r="C2" s="1237" t="s">
        <v>973</v>
      </c>
      <c r="D2" s="983">
        <f>+D17+D23</f>
        <v>9742000</v>
      </c>
      <c r="E2" s="983"/>
    </row>
    <row r="4" spans="1:6" x14ac:dyDescent="0.35">
      <c r="A4" s="1014"/>
      <c r="B4" s="964" t="s">
        <v>7</v>
      </c>
      <c r="C4" s="1052" t="s">
        <v>3</v>
      </c>
      <c r="D4" s="1052" t="s">
        <v>1205</v>
      </c>
    </row>
    <row r="5" spans="1:6" x14ac:dyDescent="0.35">
      <c r="B5" s="258" t="s">
        <v>10</v>
      </c>
      <c r="C5" s="194">
        <v>1274552</v>
      </c>
      <c r="D5" s="194">
        <v>752000</v>
      </c>
      <c r="E5" s="774" t="s">
        <v>1210</v>
      </c>
      <c r="F5" s="774"/>
    </row>
    <row r="6" spans="1:6" x14ac:dyDescent="0.35">
      <c r="B6" s="258" t="s">
        <v>16</v>
      </c>
      <c r="C6" s="194">
        <v>1325314.5</v>
      </c>
      <c r="D6" s="194">
        <v>1026000</v>
      </c>
      <c r="E6" s="774" t="s">
        <v>1210</v>
      </c>
    </row>
    <row r="7" spans="1:6" x14ac:dyDescent="0.35">
      <c r="B7" s="258" t="s">
        <v>0</v>
      </c>
      <c r="C7" s="194">
        <v>1533730</v>
      </c>
      <c r="D7" s="194">
        <v>1002000</v>
      </c>
      <c r="E7" s="774" t="s">
        <v>1210</v>
      </c>
    </row>
    <row r="8" spans="1:6" x14ac:dyDescent="0.35">
      <c r="B8" s="258" t="s">
        <v>245</v>
      </c>
      <c r="C8" s="194">
        <v>841757</v>
      </c>
      <c r="D8" s="194">
        <v>552000</v>
      </c>
      <c r="E8" s="774" t="s">
        <v>1210</v>
      </c>
    </row>
    <row r="9" spans="1:6" x14ac:dyDescent="0.35">
      <c r="B9" s="258" t="s">
        <v>463</v>
      </c>
      <c r="C9" s="194">
        <v>1165245.5</v>
      </c>
      <c r="D9" s="194">
        <v>866000</v>
      </c>
      <c r="E9" s="774" t="s">
        <v>1210</v>
      </c>
    </row>
    <row r="10" spans="1:6" x14ac:dyDescent="0.35">
      <c r="B10" s="258" t="s">
        <v>1116</v>
      </c>
      <c r="C10" s="194">
        <v>976294</v>
      </c>
      <c r="D10" s="194">
        <v>727000</v>
      </c>
      <c r="E10" s="774" t="s">
        <v>1210</v>
      </c>
    </row>
    <row r="11" spans="1:6" x14ac:dyDescent="0.35">
      <c r="B11" s="258" t="s">
        <v>260</v>
      </c>
      <c r="C11" s="194">
        <v>1076313</v>
      </c>
      <c r="D11" s="194">
        <v>807000</v>
      </c>
      <c r="E11" s="774" t="s">
        <v>1210</v>
      </c>
    </row>
    <row r="12" spans="1:6" x14ac:dyDescent="0.35">
      <c r="B12" s="617" t="s">
        <v>613</v>
      </c>
      <c r="C12" s="227">
        <v>1345574</v>
      </c>
      <c r="D12" s="227">
        <v>1346000</v>
      </c>
      <c r="E12" s="774" t="s">
        <v>1210</v>
      </c>
    </row>
    <row r="13" spans="1:6" x14ac:dyDescent="0.35">
      <c r="B13" s="315" t="s">
        <v>1068</v>
      </c>
      <c r="C13" s="1238">
        <v>834542</v>
      </c>
      <c r="D13" s="194">
        <v>635000</v>
      </c>
      <c r="E13" s="774" t="s">
        <v>1210</v>
      </c>
      <c r="F13" s="774"/>
    </row>
    <row r="14" spans="1:6" x14ac:dyDescent="0.35">
      <c r="B14" s="315"/>
      <c r="C14" s="1238"/>
      <c r="D14" s="194"/>
    </row>
    <row r="15" spans="1:6" x14ac:dyDescent="0.35">
      <c r="B15" s="315"/>
      <c r="C15" s="1238"/>
      <c r="D15" s="194"/>
    </row>
    <row r="16" spans="1:6" x14ac:dyDescent="0.35">
      <c r="B16" s="315"/>
      <c r="C16" s="1238"/>
      <c r="D16" s="194"/>
    </row>
    <row r="17" spans="1:5" x14ac:dyDescent="0.35">
      <c r="B17" s="1016" t="s">
        <v>872</v>
      </c>
      <c r="C17" s="1239"/>
      <c r="D17" s="195">
        <f>SUM(D5:D15)</f>
        <v>7713000</v>
      </c>
    </row>
    <row r="18" spans="1:5" x14ac:dyDescent="0.35">
      <c r="B18" s="261"/>
    </row>
    <row r="19" spans="1:5" x14ac:dyDescent="0.35">
      <c r="B19" s="261"/>
    </row>
    <row r="20" spans="1:5" x14ac:dyDescent="0.35">
      <c r="B20" s="261"/>
    </row>
    <row r="21" spans="1:5" x14ac:dyDescent="0.35">
      <c r="B21" s="258" t="s">
        <v>267</v>
      </c>
      <c r="C21" s="194">
        <v>1040239.5</v>
      </c>
      <c r="D21" s="194">
        <v>1041000</v>
      </c>
      <c r="E21" s="774" t="s">
        <v>1210</v>
      </c>
    </row>
    <row r="22" spans="1:5" x14ac:dyDescent="0.35">
      <c r="B22" s="258" t="s">
        <v>1038</v>
      </c>
      <c r="C22" s="194">
        <v>987911</v>
      </c>
      <c r="D22" s="194">
        <v>988000</v>
      </c>
      <c r="E22" s="774" t="s">
        <v>1210</v>
      </c>
    </row>
    <row r="23" spans="1:5" s="90" customFormat="1" x14ac:dyDescent="0.35">
      <c r="B23" s="274" t="s">
        <v>972</v>
      </c>
      <c r="C23" s="195"/>
      <c r="D23" s="195">
        <f>+D21+D22</f>
        <v>2029000</v>
      </c>
      <c r="E23" s="553"/>
    </row>
    <row r="26" spans="1:5" x14ac:dyDescent="0.35">
      <c r="B26" s="274" t="s">
        <v>7</v>
      </c>
      <c r="C26" s="1052" t="s">
        <v>272</v>
      </c>
      <c r="D26" s="1052" t="s">
        <v>6</v>
      </c>
      <c r="E26" s="1109" t="s">
        <v>200</v>
      </c>
    </row>
    <row r="27" spans="1:5" x14ac:dyDescent="0.35">
      <c r="A27" s="771">
        <v>1</v>
      </c>
      <c r="B27" s="258" t="s">
        <v>10</v>
      </c>
      <c r="C27" s="194">
        <v>4753</v>
      </c>
      <c r="D27" s="194">
        <v>100000</v>
      </c>
      <c r="E27" s="598">
        <v>50000</v>
      </c>
    </row>
    <row r="28" spans="1:5" x14ac:dyDescent="0.35">
      <c r="A28" s="771">
        <v>2</v>
      </c>
      <c r="B28" s="258" t="s">
        <v>16</v>
      </c>
      <c r="C28" s="194">
        <v>4547</v>
      </c>
      <c r="D28" s="194">
        <v>100000</v>
      </c>
      <c r="E28" s="598">
        <v>50000</v>
      </c>
    </row>
    <row r="29" spans="1:5" x14ac:dyDescent="0.35">
      <c r="A29" s="771">
        <v>3</v>
      </c>
      <c r="B29" s="258" t="s">
        <v>0</v>
      </c>
      <c r="C29" s="194">
        <v>5967</v>
      </c>
      <c r="D29" s="194">
        <v>100000</v>
      </c>
      <c r="E29" s="598">
        <v>50000</v>
      </c>
    </row>
    <row r="30" spans="1:5" x14ac:dyDescent="0.35">
      <c r="A30" s="176">
        <v>4</v>
      </c>
      <c r="B30" s="258" t="s">
        <v>267</v>
      </c>
      <c r="C30" s="194">
        <v>3927</v>
      </c>
      <c r="D30" s="194">
        <v>100000</v>
      </c>
      <c r="E30" s="598">
        <v>50000</v>
      </c>
    </row>
    <row r="31" spans="1:5" x14ac:dyDescent="0.35">
      <c r="A31" s="176">
        <v>5</v>
      </c>
      <c r="B31" s="258" t="s">
        <v>245</v>
      </c>
      <c r="C31" s="194">
        <v>3636</v>
      </c>
      <c r="D31" s="194">
        <v>100000</v>
      </c>
      <c r="E31" s="598">
        <v>50000</v>
      </c>
    </row>
    <row r="32" spans="1:5" x14ac:dyDescent="0.35">
      <c r="A32" s="176">
        <v>6</v>
      </c>
      <c r="B32" s="258" t="s">
        <v>463</v>
      </c>
      <c r="C32" s="194">
        <v>3613</v>
      </c>
      <c r="D32" s="194">
        <v>80000</v>
      </c>
      <c r="E32" s="598">
        <v>50000</v>
      </c>
    </row>
    <row r="33" spans="1:5" x14ac:dyDescent="0.35">
      <c r="A33" s="176">
        <v>7</v>
      </c>
      <c r="B33" s="258" t="s">
        <v>553</v>
      </c>
      <c r="C33" s="194">
        <v>3636</v>
      </c>
      <c r="D33" s="194">
        <v>100000</v>
      </c>
      <c r="E33" s="598">
        <v>50000</v>
      </c>
    </row>
    <row r="34" spans="1:5" x14ac:dyDescent="0.35">
      <c r="A34" s="176">
        <v>8</v>
      </c>
      <c r="B34" s="258" t="s">
        <v>260</v>
      </c>
      <c r="C34" s="194">
        <v>5331</v>
      </c>
      <c r="D34" s="194">
        <v>100000</v>
      </c>
      <c r="E34" s="598">
        <v>50000</v>
      </c>
    </row>
    <row r="35" spans="1:5" x14ac:dyDescent="0.35">
      <c r="A35" s="176">
        <v>9</v>
      </c>
      <c r="B35" s="258" t="s">
        <v>613</v>
      </c>
      <c r="C35" s="194">
        <v>5331</v>
      </c>
      <c r="D35" s="194">
        <v>100000</v>
      </c>
      <c r="E35" s="598">
        <v>50000</v>
      </c>
    </row>
    <row r="36" spans="1:5" x14ac:dyDescent="0.35">
      <c r="A36" s="176">
        <v>10</v>
      </c>
      <c r="B36" s="258" t="s">
        <v>1038</v>
      </c>
      <c r="C36" s="194">
        <v>3927</v>
      </c>
      <c r="D36" s="194">
        <v>100000</v>
      </c>
      <c r="E36" s="598">
        <v>50000</v>
      </c>
    </row>
    <row r="37" spans="1:5" x14ac:dyDescent="0.35">
      <c r="A37" s="176">
        <v>11</v>
      </c>
      <c r="B37" s="315" t="s">
        <v>1068</v>
      </c>
      <c r="C37" s="194">
        <v>3179</v>
      </c>
      <c r="D37" s="194">
        <v>40000</v>
      </c>
      <c r="E37" s="598">
        <v>50000</v>
      </c>
    </row>
    <row r="38" spans="1:5" x14ac:dyDescent="0.35">
      <c r="A38" s="176">
        <v>12</v>
      </c>
      <c r="B38" s="315"/>
      <c r="C38" s="194"/>
      <c r="D38" s="194"/>
      <c r="E38" s="598"/>
    </row>
    <row r="39" spans="1:5" x14ac:dyDescent="0.35">
      <c r="A39" s="176">
        <v>13</v>
      </c>
      <c r="B39" s="315"/>
      <c r="C39" s="194"/>
      <c r="D39" s="194"/>
      <c r="E39" s="598"/>
    </row>
    <row r="40" spans="1:5" x14ac:dyDescent="0.35">
      <c r="B40" s="315"/>
      <c r="C40" s="194"/>
      <c r="D40" s="194"/>
      <c r="E40" s="598"/>
    </row>
    <row r="41" spans="1:5" x14ac:dyDescent="0.35">
      <c r="B41" s="1121"/>
      <c r="C41" s="1240"/>
      <c r="D41" s="204"/>
      <c r="E41" s="205"/>
    </row>
    <row r="43" spans="1:5" x14ac:dyDescent="0.35">
      <c r="A43" s="701" t="s">
        <v>106</v>
      </c>
      <c r="B43" s="702" t="s">
        <v>873</v>
      </c>
      <c r="C43" s="1241"/>
      <c r="D43" s="1013" t="s">
        <v>803</v>
      </c>
      <c r="E43" s="1092" t="s">
        <v>7</v>
      </c>
    </row>
    <row r="44" spans="1:5" x14ac:dyDescent="0.35">
      <c r="A44" s="703">
        <v>16</v>
      </c>
      <c r="B44" s="703">
        <v>9</v>
      </c>
      <c r="C44" s="1242"/>
      <c r="D44" s="964">
        <f>+A44*B44</f>
        <v>144</v>
      </c>
      <c r="E44" s="593" t="s">
        <v>874</v>
      </c>
    </row>
    <row r="45" spans="1:5" x14ac:dyDescent="0.35">
      <c r="A45" s="703">
        <v>5</v>
      </c>
      <c r="B45" s="703">
        <v>8</v>
      </c>
      <c r="C45" s="1242"/>
      <c r="D45" s="964">
        <f>+A45*B45</f>
        <v>40</v>
      </c>
      <c r="E45" s="593" t="s">
        <v>117</v>
      </c>
    </row>
    <row r="46" spans="1:5" x14ac:dyDescent="0.35">
      <c r="A46" s="703"/>
      <c r="B46" s="703">
        <v>7</v>
      </c>
      <c r="C46" s="1242"/>
      <c r="D46" s="964">
        <f>+A46*B46</f>
        <v>0</v>
      </c>
      <c r="E46" s="593"/>
    </row>
    <row r="47" spans="1:5" x14ac:dyDescent="0.35">
      <c r="A47" s="703"/>
      <c r="B47" s="703">
        <v>8</v>
      </c>
      <c r="C47" s="1242"/>
      <c r="D47" s="964">
        <f>+A47*B47</f>
        <v>0</v>
      </c>
      <c r="E47" s="593" t="s">
        <v>111</v>
      </c>
    </row>
    <row r="48" spans="1:5" x14ac:dyDescent="0.35">
      <c r="A48" s="568"/>
      <c r="B48" s="773"/>
      <c r="C48" s="194"/>
      <c r="D48" s="964">
        <f>+D44+D45+D46+D47</f>
        <v>184</v>
      </c>
      <c r="E48" s="593" t="s">
        <v>1206</v>
      </c>
    </row>
  </sheetData>
  <pageMargins left="0.7" right="0.7" top="0.75" bottom="0.75" header="0.3" footer="0.3"/>
  <pageSetup paperSize="9" scale="76" fitToHeight="0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2559-281C-4F47-A6B2-4C61961B9DEB}">
  <sheetPr>
    <pageSetUpPr fitToPage="1"/>
  </sheetPr>
  <dimension ref="A1:S179"/>
  <sheetViews>
    <sheetView topLeftCell="A104" zoomScaleNormal="100" workbookViewId="0">
      <selection activeCell="F108" sqref="F108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 t="s">
        <v>1211</v>
      </c>
    </row>
    <row r="3" spans="1:18" ht="25.5" customHeight="1" x14ac:dyDescent="0.35">
      <c r="A3" s="1466" t="s">
        <v>1212</v>
      </c>
      <c r="B3" s="1431"/>
      <c r="C3" s="1431"/>
      <c r="D3" s="1431"/>
    </row>
    <row r="4" spans="1:18" s="1243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v>185</v>
      </c>
      <c r="C5" s="227">
        <v>4753</v>
      </c>
      <c r="D5" s="598">
        <f>+B5*C5</f>
        <v>879305</v>
      </c>
      <c r="Q5" s="1243"/>
    </row>
    <row r="6" spans="1:18" ht="18" customHeight="1" x14ac:dyDescent="0.35">
      <c r="A6" s="772" t="s">
        <v>403</v>
      </c>
      <c r="B6" s="258">
        <v>8</v>
      </c>
      <c r="C6" s="227">
        <f>+C5</f>
        <v>4753</v>
      </c>
      <c r="D6" s="598">
        <f>+B6*C6</f>
        <v>38024</v>
      </c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v>50000</v>
      </c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F8" s="176"/>
    </row>
    <row r="9" spans="1:18" ht="18" customHeight="1" x14ac:dyDescent="0.35">
      <c r="A9" s="772" t="s">
        <v>467</v>
      </c>
      <c r="B9" s="258">
        <v>0.5</v>
      </c>
      <c r="C9" s="194">
        <f>+C5*1.5</f>
        <v>7129.5</v>
      </c>
      <c r="D9" s="598">
        <f>+B9*C9</f>
        <v>3564.75</v>
      </c>
      <c r="F9" s="176"/>
    </row>
    <row r="10" spans="1:18" ht="18" customHeight="1" x14ac:dyDescent="0.35">
      <c r="A10" s="772" t="s">
        <v>281</v>
      </c>
      <c r="B10" s="258"/>
      <c r="C10" s="194">
        <f>+C5*2</f>
        <v>9506</v>
      </c>
      <c r="D10" s="598">
        <f>+B10*C10</f>
        <v>0</v>
      </c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>
        <v>250000</v>
      </c>
      <c r="E11" s="1199"/>
      <c r="F11" s="1191"/>
      <c r="R11" s="1193"/>
    </row>
    <row r="12" spans="1:18" s="1192" customFormat="1" ht="18" customHeight="1" x14ac:dyDescent="0.35">
      <c r="A12" s="1149"/>
      <c r="B12" s="1150"/>
      <c r="C12" s="1151"/>
      <c r="D12" s="1152"/>
      <c r="E12" s="1199"/>
      <c r="F12" s="1191"/>
      <c r="R12" s="1193"/>
    </row>
    <row r="13" spans="1:18" ht="18" customHeight="1" x14ac:dyDescent="0.35">
      <c r="A13" s="1470" t="s">
        <v>389</v>
      </c>
      <c r="B13" s="1470"/>
      <c r="C13" s="1470"/>
      <c r="D13" s="599">
        <f>+D5+D6+D7+D8+D9+D10+D11+D12</f>
        <v>1320893.75</v>
      </c>
      <c r="F13" s="248"/>
      <c r="G13" s="248"/>
      <c r="H13" s="248"/>
      <c r="I13" s="248"/>
      <c r="J13" s="248"/>
      <c r="K13" s="248"/>
      <c r="L13" s="248"/>
      <c r="M13" s="248"/>
      <c r="O13" s="1243"/>
    </row>
    <row r="14" spans="1:18" ht="18" customHeight="1" x14ac:dyDescent="0.35">
      <c r="A14" s="800" t="s">
        <v>1214</v>
      </c>
      <c r="B14" s="720"/>
      <c r="C14" s="720"/>
      <c r="D14" s="722">
        <f>-571070.15-557844.95</f>
        <v>-1128915.1000000001</v>
      </c>
      <c r="F14" s="248"/>
      <c r="G14" s="248"/>
      <c r="H14" s="248"/>
      <c r="I14" s="248"/>
      <c r="J14" s="248"/>
      <c r="K14" s="248"/>
      <c r="L14" s="248"/>
      <c r="M14" s="248"/>
      <c r="O14" s="1243"/>
    </row>
    <row r="15" spans="1:18" ht="18" customHeight="1" x14ac:dyDescent="0.35">
      <c r="A15" s="1141"/>
      <c r="B15" s="721"/>
      <c r="C15" s="905"/>
      <c r="D15" s="722"/>
      <c r="F15" s="248"/>
      <c r="G15" s="248"/>
      <c r="H15" s="248"/>
      <c r="I15" s="248"/>
      <c r="J15" s="248"/>
      <c r="K15" s="248"/>
      <c r="L15" s="248"/>
      <c r="M15" s="248"/>
      <c r="O15" s="1243"/>
    </row>
    <row r="16" spans="1:18" ht="18" customHeight="1" x14ac:dyDescent="0.35">
      <c r="A16" s="1433" t="s">
        <v>11</v>
      </c>
      <c r="B16" s="1433"/>
      <c r="C16" s="1433"/>
      <c r="D16" s="603">
        <f>+D13+D14+D15</f>
        <v>191978.64999999991</v>
      </c>
      <c r="F16" s="321"/>
      <c r="G16" s="321"/>
      <c r="H16" s="473"/>
      <c r="I16" s="321"/>
      <c r="J16" s="321"/>
      <c r="Q16" s="1243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243"/>
    </row>
    <row r="18" spans="1:19" s="908" customFormat="1" ht="18" customHeight="1" x14ac:dyDescent="0.35">
      <c r="A18" s="689"/>
      <c r="B18" s="689"/>
      <c r="C18" s="689"/>
      <c r="D18" s="688"/>
      <c r="E18" s="768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1215</v>
      </c>
      <c r="B19" s="1451"/>
      <c r="C19" s="1451"/>
      <c r="D19" s="1452"/>
      <c r="E19" s="796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>
        <v>165.5</v>
      </c>
      <c r="C21" s="211">
        <v>4547</v>
      </c>
      <c r="D21" s="211">
        <f>+B21*C21</f>
        <v>752528.5</v>
      </c>
      <c r="J21" s="182"/>
    </row>
    <row r="22" spans="1:19" ht="18" customHeight="1" x14ac:dyDescent="0.35">
      <c r="A22" s="607" t="s">
        <v>394</v>
      </c>
      <c r="B22" s="267">
        <v>8</v>
      </c>
      <c r="C22" s="211">
        <f>+C21</f>
        <v>4547</v>
      </c>
      <c r="D22" s="211">
        <f>+B22*C22</f>
        <v>36376</v>
      </c>
      <c r="J22" s="182"/>
    </row>
    <row r="23" spans="1:19" ht="18" customHeight="1" x14ac:dyDescent="0.35">
      <c r="A23" s="607" t="s">
        <v>1232</v>
      </c>
      <c r="B23" s="267">
        <v>16</v>
      </c>
      <c r="C23" s="211">
        <f>+C21</f>
        <v>4547</v>
      </c>
      <c r="D23" s="211">
        <f>+B23*C23</f>
        <v>72752</v>
      </c>
      <c r="J23" s="182"/>
    </row>
    <row r="24" spans="1:19" ht="18" customHeight="1" x14ac:dyDescent="0.35">
      <c r="A24" s="772" t="s">
        <v>196</v>
      </c>
      <c r="B24" s="267"/>
      <c r="C24" s="211">
        <v>50000</v>
      </c>
      <c r="D24" s="211">
        <f>+C24</f>
        <v>50000</v>
      </c>
      <c r="I24" s="1243"/>
    </row>
    <row r="25" spans="1:19" ht="18" customHeight="1" x14ac:dyDescent="0.35">
      <c r="A25" s="772" t="s">
        <v>6</v>
      </c>
      <c r="B25" s="267"/>
      <c r="C25" s="211">
        <v>100000</v>
      </c>
      <c r="D25" s="211">
        <f>+C25</f>
        <v>100000</v>
      </c>
      <c r="I25" s="1243"/>
    </row>
    <row r="26" spans="1:19" ht="18" customHeight="1" x14ac:dyDescent="0.35">
      <c r="A26" s="772" t="s">
        <v>1028</v>
      </c>
      <c r="B26" s="267">
        <v>8</v>
      </c>
      <c r="C26" s="211">
        <f>+C21*1.5</f>
        <v>6820.5</v>
      </c>
      <c r="D26" s="211">
        <f>B26*C26</f>
        <v>54564</v>
      </c>
      <c r="E26" s="1025"/>
      <c r="F26" s="181"/>
      <c r="G26" s="187"/>
      <c r="H26" s="188"/>
      <c r="I26" s="1243"/>
      <c r="L26" s="1243"/>
    </row>
    <row r="27" spans="1:19" ht="18" customHeight="1" x14ac:dyDescent="0.35">
      <c r="A27" s="772" t="s">
        <v>281</v>
      </c>
      <c r="B27" s="267"/>
      <c r="C27" s="211">
        <f>+C21*2</f>
        <v>9094</v>
      </c>
      <c r="D27" s="211">
        <f>+B27*C27</f>
        <v>0</v>
      </c>
      <c r="E27" s="1025"/>
      <c r="F27" s="181"/>
      <c r="G27" s="187"/>
      <c r="H27" s="188"/>
      <c r="I27" s="1243"/>
      <c r="L27" s="1243"/>
    </row>
    <row r="28" spans="1:19" s="1192" customFormat="1" ht="18" customHeight="1" x14ac:dyDescent="0.35">
      <c r="A28" s="1149" t="s">
        <v>1040</v>
      </c>
      <c r="B28" s="1196"/>
      <c r="C28" s="1197"/>
      <c r="D28" s="1197">
        <v>250000</v>
      </c>
      <c r="E28" s="1233"/>
      <c r="F28" s="1198"/>
      <c r="G28" s="1195"/>
      <c r="H28" s="1195"/>
      <c r="I28" s="1193"/>
      <c r="L28" s="1193"/>
    </row>
    <row r="29" spans="1:19" s="1192" customFormat="1" ht="18" customHeight="1" x14ac:dyDescent="0.35">
      <c r="A29" s="1200"/>
      <c r="B29" s="1220"/>
      <c r="C29" s="1221"/>
      <c r="D29" s="1197"/>
      <c r="E29" s="1233"/>
      <c r="F29" s="1198"/>
      <c r="G29" s="1195"/>
      <c r="H29" s="1195"/>
      <c r="I29" s="1193"/>
      <c r="L29" s="1193"/>
    </row>
    <row r="30" spans="1:19" s="1243" customFormat="1" ht="18" customHeight="1" x14ac:dyDescent="0.35">
      <c r="A30" s="1463" t="s">
        <v>389</v>
      </c>
      <c r="B30" s="1464"/>
      <c r="C30" s="1465"/>
      <c r="D30" s="599">
        <f>+D21+D22+D23+D24+D25+D26+D27+D28+D29</f>
        <v>1316220.5</v>
      </c>
      <c r="E30" s="553"/>
      <c r="F30" s="181"/>
      <c r="G30" s="181"/>
      <c r="H30" s="184"/>
      <c r="I30" s="771"/>
      <c r="K30" s="771"/>
      <c r="L30" s="771"/>
    </row>
    <row r="31" spans="1:19" s="1243" customFormat="1" ht="18" customHeight="1" x14ac:dyDescent="0.35">
      <c r="A31" s="825" t="s">
        <v>1216</v>
      </c>
      <c r="B31" s="824"/>
      <c r="C31" s="823"/>
      <c r="D31" s="930">
        <v>-300000</v>
      </c>
      <c r="E31" s="553"/>
      <c r="F31" s="181"/>
      <c r="G31" s="181"/>
      <c r="H31" s="184"/>
      <c r="I31" s="771"/>
      <c r="K31" s="771"/>
      <c r="L31" s="771"/>
    </row>
    <row r="32" spans="1:19" ht="18" customHeight="1" x14ac:dyDescent="0.35">
      <c r="A32" s="786" t="s">
        <v>11</v>
      </c>
      <c r="B32" s="783"/>
      <c r="C32" s="783"/>
      <c r="D32" s="784">
        <f>+D30+D31</f>
        <v>1016220.5</v>
      </c>
      <c r="F32" s="181"/>
      <c r="G32" s="181"/>
      <c r="H32" s="184"/>
    </row>
    <row r="33" spans="1:19" ht="18" customHeight="1" x14ac:dyDescent="0.35">
      <c r="A33" s="1047"/>
      <c r="B33" s="594"/>
      <c r="C33" s="594"/>
      <c r="D33" s="595"/>
      <c r="F33" s="181"/>
      <c r="G33" s="181"/>
      <c r="H33" s="184"/>
    </row>
    <row r="34" spans="1:19" ht="18" customHeight="1" x14ac:dyDescent="0.35">
      <c r="A34" s="594"/>
      <c r="B34" s="594"/>
      <c r="C34" s="594"/>
      <c r="D34" s="595"/>
      <c r="F34" s="181"/>
      <c r="G34" s="181"/>
      <c r="H34" s="184"/>
    </row>
    <row r="35" spans="1:19" ht="18" customHeight="1" x14ac:dyDescent="0.35">
      <c r="A35" s="1431" t="s">
        <v>1217</v>
      </c>
      <c r="B35" s="1431"/>
      <c r="C35" s="1431"/>
      <c r="D35" s="1431"/>
      <c r="F35" s="181"/>
      <c r="G35" s="181"/>
      <c r="H35" s="184"/>
    </row>
    <row r="36" spans="1:19" ht="18" customHeight="1" x14ac:dyDescent="0.35">
      <c r="A36" s="2"/>
      <c r="B36" s="270" t="s">
        <v>8</v>
      </c>
      <c r="C36" s="217" t="s">
        <v>4</v>
      </c>
      <c r="D36" s="597" t="s">
        <v>9</v>
      </c>
      <c r="F36" s="181"/>
      <c r="G36" s="181"/>
      <c r="H36" s="184"/>
    </row>
    <row r="37" spans="1:19" ht="18" customHeight="1" x14ac:dyDescent="0.35">
      <c r="A37" s="772" t="s">
        <v>253</v>
      </c>
      <c r="B37" s="258">
        <v>185</v>
      </c>
      <c r="C37" s="194">
        <v>5967</v>
      </c>
      <c r="D37" s="598">
        <f>+B37*C37</f>
        <v>1103895</v>
      </c>
      <c r="F37" s="181"/>
      <c r="G37" s="181"/>
      <c r="H37" s="184"/>
    </row>
    <row r="38" spans="1:19" ht="18" customHeight="1" x14ac:dyDescent="0.35">
      <c r="A38" s="772" t="s">
        <v>394</v>
      </c>
      <c r="B38" s="258">
        <v>8</v>
      </c>
      <c r="C38" s="194">
        <f>+C37</f>
        <v>5967</v>
      </c>
      <c r="D38" s="598">
        <f>+B38*C38</f>
        <v>47736</v>
      </c>
      <c r="F38" s="181"/>
      <c r="G38" s="181"/>
      <c r="H38" s="184"/>
    </row>
    <row r="39" spans="1:19" ht="15" customHeight="1" x14ac:dyDescent="0.35">
      <c r="A39" s="772" t="s">
        <v>196</v>
      </c>
      <c r="B39" s="258"/>
      <c r="C39" s="194">
        <v>50000</v>
      </c>
      <c r="D39" s="598">
        <f>+C39</f>
        <v>50000</v>
      </c>
      <c r="F39" s="181"/>
      <c r="G39" s="181"/>
      <c r="H39" s="184"/>
      <c r="I39" s="1243"/>
    </row>
    <row r="40" spans="1:19" ht="15" customHeight="1" x14ac:dyDescent="0.35">
      <c r="A40" s="772" t="s">
        <v>6</v>
      </c>
      <c r="B40" s="258"/>
      <c r="C40" s="194">
        <v>100000</v>
      </c>
      <c r="D40" s="598">
        <f>+C40</f>
        <v>100000</v>
      </c>
      <c r="F40" s="181"/>
      <c r="G40" s="181"/>
      <c r="H40" s="184"/>
      <c r="I40" s="1243"/>
    </row>
    <row r="41" spans="1:19" ht="15" customHeight="1" x14ac:dyDescent="0.35">
      <c r="A41" s="772" t="s">
        <v>1029</v>
      </c>
      <c r="B41" s="315">
        <v>0.5</v>
      </c>
      <c r="C41" s="194">
        <f>+C37*1.5</f>
        <v>8950.5</v>
      </c>
      <c r="D41" s="598">
        <f>+B41*C41</f>
        <v>4475.25</v>
      </c>
      <c r="F41" s="181"/>
      <c r="G41" s="181"/>
      <c r="H41" s="184"/>
      <c r="I41" s="1243"/>
    </row>
    <row r="42" spans="1:19" ht="15" customHeight="1" x14ac:dyDescent="0.35">
      <c r="A42" s="772" t="s">
        <v>449</v>
      </c>
      <c r="B42" s="315"/>
      <c r="C42" s="194">
        <f>+C37*2</f>
        <v>11934</v>
      </c>
      <c r="D42" s="598">
        <f>+B42*C42</f>
        <v>0</v>
      </c>
      <c r="F42" s="181"/>
      <c r="G42" s="416"/>
      <c r="H42" s="184"/>
      <c r="I42" s="1243"/>
    </row>
    <row r="43" spans="1:19" s="1192" customFormat="1" ht="15" customHeight="1" x14ac:dyDescent="0.35">
      <c r="A43" s="1149" t="s">
        <v>1040</v>
      </c>
      <c r="B43" s="1232"/>
      <c r="C43" s="1151"/>
      <c r="D43" s="1152">
        <v>250000</v>
      </c>
      <c r="E43" s="1199"/>
      <c r="F43" s="1198"/>
      <c r="G43" s="1203"/>
      <c r="H43" s="1198"/>
      <c r="I43" s="1193"/>
    </row>
    <row r="44" spans="1:19" s="1192" customFormat="1" ht="15" customHeight="1" x14ac:dyDescent="0.35">
      <c r="A44" s="1149"/>
      <c r="B44" s="1232"/>
      <c r="C44" s="1151"/>
      <c r="D44" s="1152"/>
      <c r="E44" s="1199"/>
      <c r="F44" s="1198"/>
      <c r="G44" s="1203"/>
      <c r="H44" s="1198"/>
      <c r="I44" s="1193"/>
    </row>
    <row r="45" spans="1:19" ht="15" customHeight="1" x14ac:dyDescent="0.35">
      <c r="A45" s="1459" t="s">
        <v>389</v>
      </c>
      <c r="B45" s="1459"/>
      <c r="C45" s="1459"/>
      <c r="D45" s="599">
        <f>+D37+D38+D39+D40+D41+D42+D43+D44</f>
        <v>1556106.25</v>
      </c>
      <c r="J45" s="176"/>
      <c r="K45" s="176"/>
      <c r="L45" s="176"/>
      <c r="M45" s="181"/>
      <c r="N45" s="181"/>
      <c r="O45" s="184"/>
      <c r="Q45" s="1243"/>
    </row>
    <row r="46" spans="1:19" s="1243" customFormat="1" ht="15" customHeight="1" x14ac:dyDescent="0.35">
      <c r="A46" s="921" t="s">
        <v>1218</v>
      </c>
      <c r="B46" s="727" t="s">
        <v>63</v>
      </c>
      <c r="C46" s="727" t="s">
        <v>63</v>
      </c>
      <c r="D46" s="722">
        <f>571070.15+557844.95</f>
        <v>1128915.1000000001</v>
      </c>
      <c r="E46" s="1025"/>
      <c r="F46" s="774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243" customFormat="1" ht="15" customHeight="1" x14ac:dyDescent="0.35">
      <c r="A47" s="921"/>
      <c r="B47" s="727"/>
      <c r="C47" s="727"/>
      <c r="D47" s="722"/>
      <c r="E47" s="1025"/>
      <c r="F47" s="774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s="1243" customFormat="1" ht="15" customHeight="1" x14ac:dyDescent="0.35">
      <c r="A48" s="1103" t="s">
        <v>11</v>
      </c>
      <c r="B48" s="1104"/>
      <c r="C48" s="1231"/>
      <c r="D48" s="675">
        <f>+D45-D46</f>
        <v>427191.14999999991</v>
      </c>
      <c r="E48" s="1025"/>
      <c r="F48" s="771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243" customFormat="1" ht="15" customHeight="1" x14ac:dyDescent="0.35">
      <c r="A49" s="1224" t="s">
        <v>1149</v>
      </c>
      <c r="B49" s="1225"/>
      <c r="C49" s="1226"/>
      <c r="D49" s="844">
        <v>250000</v>
      </c>
      <c r="E49" s="1025"/>
      <c r="F49" s="771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ht="15" customHeight="1" x14ac:dyDescent="0.35">
      <c r="A50" s="1229" t="s">
        <v>1207</v>
      </c>
      <c r="B50" s="1149"/>
      <c r="C50" s="1149"/>
      <c r="D50" s="1230">
        <f>+D48+D49</f>
        <v>677191.14999999991</v>
      </c>
      <c r="K50" s="183"/>
      <c r="L50" s="183"/>
      <c r="M50" s="176"/>
      <c r="N50" s="176"/>
      <c r="O50" s="176"/>
      <c r="Q50" s="1243"/>
    </row>
    <row r="51" spans="1:19" ht="15" customHeight="1" x14ac:dyDescent="0.35">
      <c r="A51" s="1247"/>
      <c r="B51" s="1248"/>
      <c r="C51" s="1248"/>
      <c r="D51" s="1249"/>
      <c r="K51" s="183"/>
      <c r="L51" s="183"/>
      <c r="M51" s="176"/>
      <c r="N51" s="176"/>
      <c r="O51" s="176"/>
      <c r="Q51" s="1244"/>
    </row>
    <row r="52" spans="1:19" s="4" customFormat="1" ht="15" customHeight="1" x14ac:dyDescent="0.35">
      <c r="A52" s="95"/>
      <c r="E52" s="1250"/>
      <c r="K52" s="183"/>
      <c r="L52" s="183"/>
      <c r="M52" s="176"/>
      <c r="N52" s="176"/>
      <c r="O52" s="176"/>
      <c r="Q52" s="1251"/>
    </row>
    <row r="53" spans="1:19" ht="15" customHeight="1" x14ac:dyDescent="0.35">
      <c r="A53" s="1431" t="s">
        <v>1219</v>
      </c>
      <c r="B53" s="1431"/>
      <c r="C53" s="1431"/>
      <c r="D53" s="1431"/>
      <c r="S53" s="1243"/>
    </row>
    <row r="54" spans="1:19" x14ac:dyDescent="0.35">
      <c r="A54" s="2" t="s">
        <v>7</v>
      </c>
      <c r="B54" s="270" t="s">
        <v>8</v>
      </c>
      <c r="C54" s="217" t="s">
        <v>4</v>
      </c>
      <c r="D54" s="597" t="s">
        <v>9</v>
      </c>
    </row>
    <row r="55" spans="1:19" x14ac:dyDescent="0.35">
      <c r="A55" s="772" t="s">
        <v>253</v>
      </c>
      <c r="B55" s="258">
        <v>185</v>
      </c>
      <c r="C55" s="227">
        <v>3927</v>
      </c>
      <c r="D55" s="598">
        <f>+B55*C55</f>
        <v>726495</v>
      </c>
    </row>
    <row r="56" spans="1:19" x14ac:dyDescent="0.35">
      <c r="A56" s="772" t="s">
        <v>394</v>
      </c>
      <c r="B56" s="258">
        <v>8</v>
      </c>
      <c r="C56" s="227">
        <f>+C55</f>
        <v>3927</v>
      </c>
      <c r="D56" s="598">
        <f>+B56*C56</f>
        <v>31416</v>
      </c>
    </row>
    <row r="57" spans="1:19" x14ac:dyDescent="0.35">
      <c r="A57" s="772" t="s">
        <v>266</v>
      </c>
      <c r="B57" s="258"/>
      <c r="C57" s="227">
        <v>50000</v>
      </c>
      <c r="D57" s="598">
        <f>+C57</f>
        <v>50000</v>
      </c>
    </row>
    <row r="58" spans="1:19" x14ac:dyDescent="0.35">
      <c r="A58" s="772" t="s">
        <v>6</v>
      </c>
      <c r="B58" s="258"/>
      <c r="C58" s="227">
        <v>100000</v>
      </c>
      <c r="D58" s="598">
        <f>+C58</f>
        <v>100000</v>
      </c>
    </row>
    <row r="59" spans="1:19" x14ac:dyDescent="0.35">
      <c r="A59" s="772" t="s">
        <v>1030</v>
      </c>
      <c r="B59" s="258">
        <v>1.5</v>
      </c>
      <c r="C59" s="194">
        <f>+C55*1.5</f>
        <v>5890.5</v>
      </c>
      <c r="D59" s="598">
        <f>+B59*C59</f>
        <v>8835.75</v>
      </c>
    </row>
    <row r="60" spans="1:19" x14ac:dyDescent="0.35">
      <c r="A60" s="772" t="s">
        <v>449</v>
      </c>
      <c r="B60" s="258"/>
      <c r="C60" s="194">
        <f>+C55*2</f>
        <v>7854</v>
      </c>
      <c r="D60" s="598">
        <f>+B60*C60</f>
        <v>0</v>
      </c>
    </row>
    <row r="61" spans="1:19" s="1192" customFormat="1" x14ac:dyDescent="0.35">
      <c r="A61" s="1200" t="s">
        <v>823</v>
      </c>
      <c r="B61" s="1208"/>
      <c r="C61" s="1202"/>
      <c r="D61" s="1152">
        <v>150000</v>
      </c>
      <c r="E61" s="1199"/>
    </row>
    <row r="62" spans="1:19" s="1192" customFormat="1" x14ac:dyDescent="0.35">
      <c r="A62" s="1200"/>
      <c r="B62" s="1208"/>
      <c r="C62" s="1202"/>
      <c r="D62" s="1152"/>
      <c r="E62" s="1199"/>
    </row>
    <row r="63" spans="1:19" x14ac:dyDescent="0.35">
      <c r="A63" s="1463" t="s">
        <v>389</v>
      </c>
      <c r="B63" s="1464"/>
      <c r="C63" s="1465"/>
      <c r="D63" s="599">
        <f>+D55+D56+D57+D58+D59+D60+D61+D62</f>
        <v>1066746.75</v>
      </c>
      <c r="F63" s="774"/>
    </row>
    <row r="64" spans="1:19" x14ac:dyDescent="0.35">
      <c r="A64" s="904" t="s">
        <v>19</v>
      </c>
      <c r="B64" s="922"/>
      <c r="C64" s="720"/>
      <c r="D64" s="722"/>
    </row>
    <row r="65" spans="1:6" x14ac:dyDescent="0.35">
      <c r="A65" s="672" t="s">
        <v>11</v>
      </c>
      <c r="B65" s="1209"/>
      <c r="C65" s="674"/>
      <c r="D65" s="675">
        <f>+D63+D64</f>
        <v>1066746.75</v>
      </c>
    </row>
    <row r="66" spans="1:6" x14ac:dyDescent="0.35">
      <c r="B66" s="771"/>
      <c r="C66" s="771"/>
      <c r="D66" s="771"/>
    </row>
    <row r="68" spans="1:6" ht="14.5" customHeight="1" x14ac:dyDescent="0.35">
      <c r="A68" s="1442" t="s">
        <v>1220</v>
      </c>
      <c r="B68" s="1443"/>
      <c r="C68" s="1443"/>
      <c r="D68" s="1444"/>
    </row>
    <row r="69" spans="1:6" ht="14.5" customHeight="1" x14ac:dyDescent="0.35">
      <c r="A69" s="2" t="s">
        <v>7</v>
      </c>
      <c r="B69" s="270" t="s">
        <v>8</v>
      </c>
      <c r="C69" s="217" t="s">
        <v>4</v>
      </c>
      <c r="D69" s="597" t="s">
        <v>63</v>
      </c>
    </row>
    <row r="70" spans="1:6" ht="14.5" customHeight="1" x14ac:dyDescent="0.35">
      <c r="A70" s="772" t="s">
        <v>3</v>
      </c>
      <c r="B70" s="258">
        <v>185</v>
      </c>
      <c r="C70" s="227">
        <v>3636</v>
      </c>
      <c r="D70" s="598">
        <f>+B70*C70</f>
        <v>672660</v>
      </c>
    </row>
    <row r="71" spans="1:6" ht="14.5" customHeight="1" x14ac:dyDescent="0.35">
      <c r="A71" s="772" t="s">
        <v>394</v>
      </c>
      <c r="B71" s="258">
        <v>8</v>
      </c>
      <c r="C71" s="227">
        <f>+C70</f>
        <v>3636</v>
      </c>
      <c r="D71" s="598">
        <f>+B71*C71</f>
        <v>29088</v>
      </c>
    </row>
    <row r="72" spans="1:6" x14ac:dyDescent="0.35">
      <c r="A72" s="772" t="s">
        <v>266</v>
      </c>
      <c r="B72" s="258"/>
      <c r="C72" s="227">
        <v>50000</v>
      </c>
      <c r="D72" s="598">
        <f>+C72</f>
        <v>50000</v>
      </c>
    </row>
    <row r="73" spans="1:6" x14ac:dyDescent="0.35">
      <c r="A73" s="772" t="s">
        <v>6</v>
      </c>
      <c r="B73" s="258"/>
      <c r="C73" s="227">
        <v>100000</v>
      </c>
      <c r="D73" s="598">
        <v>100000</v>
      </c>
    </row>
    <row r="74" spans="1:6" s="1069" customFormat="1" x14ac:dyDescent="0.35">
      <c r="A74" s="614" t="s">
        <v>270</v>
      </c>
      <c r="B74" s="617"/>
      <c r="C74" s="227">
        <f>+C70*1.5</f>
        <v>5454</v>
      </c>
      <c r="D74" s="598">
        <f>+B74*C74</f>
        <v>0</v>
      </c>
      <c r="E74" s="553"/>
    </row>
    <row r="75" spans="1:6" x14ac:dyDescent="0.35">
      <c r="A75" s="772" t="s">
        <v>281</v>
      </c>
      <c r="B75" s="258"/>
      <c r="C75" s="227">
        <f>+C70*2</f>
        <v>7272</v>
      </c>
      <c r="D75" s="598">
        <f>+B75*C75</f>
        <v>0</v>
      </c>
    </row>
    <row r="76" spans="1:6" s="1192" customFormat="1" x14ac:dyDescent="0.35">
      <c r="A76" s="1200" t="s">
        <v>1040</v>
      </c>
      <c r="B76" s="1208"/>
      <c r="C76" s="1202"/>
      <c r="D76" s="1152">
        <v>130000</v>
      </c>
      <c r="E76" s="1199"/>
    </row>
    <row r="77" spans="1:6" s="1192" customFormat="1" x14ac:dyDescent="0.35">
      <c r="A77" s="1200"/>
      <c r="B77" s="1208"/>
      <c r="C77" s="1202"/>
      <c r="D77" s="1152"/>
      <c r="E77" s="1199"/>
    </row>
    <row r="78" spans="1:6" x14ac:dyDescent="0.35">
      <c r="A78" s="1463" t="s">
        <v>389</v>
      </c>
      <c r="B78" s="1464"/>
      <c r="C78" s="1465"/>
      <c r="D78" s="599">
        <f>+D70+D71+D72+D73+D74+D75+D76+D77</f>
        <v>981748</v>
      </c>
      <c r="F78" s="774"/>
    </row>
    <row r="79" spans="1:6" x14ac:dyDescent="0.35">
      <c r="A79" s="723" t="s">
        <v>1221</v>
      </c>
      <c r="B79" s="721"/>
      <c r="C79" s="721"/>
      <c r="D79" s="722">
        <v>-350000</v>
      </c>
    </row>
    <row r="80" spans="1:6" ht="15.5" x14ac:dyDescent="0.35">
      <c r="A80" s="1460" t="s">
        <v>11</v>
      </c>
      <c r="B80" s="1461"/>
      <c r="C80" s="1462"/>
      <c r="D80" s="603">
        <f>+D78+D79</f>
        <v>631748</v>
      </c>
    </row>
    <row r="81" spans="1:6" s="90" customFormat="1" x14ac:dyDescent="0.35">
      <c r="A81" s="1035"/>
      <c r="B81" s="1042"/>
      <c r="C81" s="553"/>
      <c r="D81" s="1051"/>
      <c r="E81" s="553"/>
    </row>
    <row r="83" spans="1:6" ht="23.5" x14ac:dyDescent="0.35">
      <c r="A83" s="1442" t="s">
        <v>1222</v>
      </c>
      <c r="B83" s="1443"/>
      <c r="C83" s="1443"/>
      <c r="D83" s="1444"/>
    </row>
    <row r="84" spans="1:6" x14ac:dyDescent="0.35">
      <c r="A84" s="2" t="s">
        <v>7</v>
      </c>
      <c r="B84" s="270" t="s">
        <v>388</v>
      </c>
      <c r="C84" s="217" t="s">
        <v>272</v>
      </c>
      <c r="D84" s="597" t="s">
        <v>9</v>
      </c>
    </row>
    <row r="85" spans="1:6" x14ac:dyDescent="0.35">
      <c r="A85" s="772" t="s">
        <v>3</v>
      </c>
      <c r="B85" s="258">
        <v>176</v>
      </c>
      <c r="C85" s="227">
        <v>3613</v>
      </c>
      <c r="D85" s="598">
        <f>+B85*C85</f>
        <v>635888</v>
      </c>
    </row>
    <row r="86" spans="1:6" x14ac:dyDescent="0.35">
      <c r="A86" s="772" t="s">
        <v>394</v>
      </c>
      <c r="B86" s="258">
        <v>8</v>
      </c>
      <c r="C86" s="227">
        <f>+C85</f>
        <v>3613</v>
      </c>
      <c r="D86" s="598">
        <f>+B86*C86</f>
        <v>28904</v>
      </c>
    </row>
    <row r="87" spans="1:6" x14ac:dyDescent="0.35">
      <c r="A87" s="772" t="s">
        <v>1232</v>
      </c>
      <c r="B87" s="258">
        <v>8</v>
      </c>
      <c r="C87" s="227">
        <f>+C85</f>
        <v>3613</v>
      </c>
      <c r="D87" s="598">
        <f>+B87*C87</f>
        <v>28904</v>
      </c>
    </row>
    <row r="88" spans="1:6" x14ac:dyDescent="0.35">
      <c r="A88" s="772" t="s">
        <v>6</v>
      </c>
      <c r="B88" s="258"/>
      <c r="C88" s="227">
        <v>80000</v>
      </c>
      <c r="D88" s="598">
        <f>+C88</f>
        <v>80000</v>
      </c>
    </row>
    <row r="89" spans="1:6" x14ac:dyDescent="0.35">
      <c r="A89" s="772" t="s">
        <v>200</v>
      </c>
      <c r="B89" s="258"/>
      <c r="C89" s="227">
        <v>50000</v>
      </c>
      <c r="D89" s="598">
        <f>+C89</f>
        <v>50000</v>
      </c>
    </row>
    <row r="90" spans="1:6" x14ac:dyDescent="0.35">
      <c r="A90" s="772" t="s">
        <v>1032</v>
      </c>
      <c r="B90" s="258">
        <v>7.5</v>
      </c>
      <c r="C90" s="227">
        <f>+C85*1.5</f>
        <v>5419.5</v>
      </c>
      <c r="D90" s="811">
        <f>+B90*C90</f>
        <v>40646.25</v>
      </c>
    </row>
    <row r="91" spans="1:6" x14ac:dyDescent="0.35">
      <c r="A91" s="772" t="s">
        <v>757</v>
      </c>
      <c r="B91" s="258"/>
      <c r="C91" s="227">
        <f>+C85*2</f>
        <v>7226</v>
      </c>
      <c r="D91" s="598">
        <f>+B91*C91</f>
        <v>0</v>
      </c>
    </row>
    <row r="92" spans="1:6" s="1192" customFormat="1" x14ac:dyDescent="0.35">
      <c r="A92" s="1149" t="s">
        <v>1033</v>
      </c>
      <c r="B92" s="1150"/>
      <c r="C92" s="1151"/>
      <c r="D92" s="1152">
        <v>300000</v>
      </c>
      <c r="E92" s="1199"/>
    </row>
    <row r="93" spans="1:6" s="1192" customFormat="1" x14ac:dyDescent="0.35">
      <c r="A93" s="1149"/>
      <c r="B93" s="1150"/>
      <c r="C93" s="1151"/>
      <c r="D93" s="1152"/>
      <c r="E93" s="1199"/>
    </row>
    <row r="94" spans="1:6" x14ac:dyDescent="0.35">
      <c r="A94" s="1036" t="s">
        <v>389</v>
      </c>
      <c r="B94" s="681"/>
      <c r="C94" s="1037"/>
      <c r="D94" s="1038">
        <f>+D85+D86+D87+D88+D89+D90+D91+D92+D93</f>
        <v>1164342.25</v>
      </c>
    </row>
    <row r="95" spans="1:6" x14ac:dyDescent="0.35">
      <c r="A95" s="772" t="s">
        <v>1190</v>
      </c>
      <c r="B95" s="258"/>
      <c r="C95" s="227"/>
      <c r="D95" s="731">
        <v>-300000</v>
      </c>
      <c r="F95" s="774"/>
    </row>
    <row r="96" spans="1:6" x14ac:dyDescent="0.35">
      <c r="A96" s="772"/>
      <c r="B96" s="258"/>
      <c r="C96" s="227"/>
      <c r="D96" s="731"/>
    </row>
    <row r="97" spans="1:5" ht="15.5" x14ac:dyDescent="0.35">
      <c r="A97" s="1460" t="s">
        <v>11</v>
      </c>
      <c r="B97" s="1461"/>
      <c r="C97" s="1462"/>
      <c r="D97" s="603">
        <f>+D94+D95+D96</f>
        <v>864342.25</v>
      </c>
    </row>
    <row r="98" spans="1:5" ht="15.5" x14ac:dyDescent="0.35">
      <c r="A98" s="723" t="s">
        <v>631</v>
      </c>
      <c r="B98" s="723"/>
      <c r="C98" s="723"/>
      <c r="D98" s="832">
        <v>-190000</v>
      </c>
    </row>
    <row r="99" spans="1:5" ht="15.5" x14ac:dyDescent="0.35">
      <c r="A99" s="611" t="s">
        <v>1010</v>
      </c>
      <c r="B99" s="611"/>
      <c r="C99" s="611"/>
      <c r="D99" s="603">
        <f>+D97+D98</f>
        <v>674342.25</v>
      </c>
    </row>
    <row r="100" spans="1:5" s="90" customFormat="1" x14ac:dyDescent="0.35">
      <c r="B100" s="1042"/>
      <c r="C100" s="553"/>
      <c r="D100" s="1051" t="s">
        <v>63</v>
      </c>
      <c r="E100" s="553"/>
    </row>
    <row r="102" spans="1:5" ht="23.5" x14ac:dyDescent="0.35">
      <c r="A102" s="1431" t="s">
        <v>1223</v>
      </c>
      <c r="B102" s="1431"/>
      <c r="C102" s="1431"/>
      <c r="D102" s="1431"/>
    </row>
    <row r="103" spans="1:5" x14ac:dyDescent="0.35">
      <c r="A103" s="2" t="s">
        <v>7</v>
      </c>
      <c r="B103" s="270" t="s">
        <v>8</v>
      </c>
      <c r="C103" s="217" t="s">
        <v>4</v>
      </c>
      <c r="D103" s="597" t="s">
        <v>9</v>
      </c>
    </row>
    <row r="104" spans="1:5" x14ac:dyDescent="0.35">
      <c r="A104" s="772" t="s">
        <v>3</v>
      </c>
      <c r="B104" s="258">
        <v>185</v>
      </c>
      <c r="C104" s="227">
        <v>3636</v>
      </c>
      <c r="D104" s="598">
        <f>+B104*C104</f>
        <v>672660</v>
      </c>
    </row>
    <row r="105" spans="1:5" x14ac:dyDescent="0.35">
      <c r="A105" s="772" t="s">
        <v>403</v>
      </c>
      <c r="B105" s="258">
        <v>8</v>
      </c>
      <c r="C105" s="227">
        <f>+C104</f>
        <v>3636</v>
      </c>
      <c r="D105" s="598">
        <f>+B105*C105</f>
        <v>29088</v>
      </c>
    </row>
    <row r="106" spans="1:5" x14ac:dyDescent="0.35">
      <c r="A106" s="772" t="s">
        <v>200</v>
      </c>
      <c r="B106" s="258"/>
      <c r="C106" s="227">
        <v>50000</v>
      </c>
      <c r="D106" s="598">
        <v>50000</v>
      </c>
    </row>
    <row r="107" spans="1:5" x14ac:dyDescent="0.35">
      <c r="A107" s="772" t="s">
        <v>6</v>
      </c>
      <c r="B107" s="258"/>
      <c r="C107" s="194">
        <v>100000</v>
      </c>
      <c r="D107" s="598">
        <f>+C107</f>
        <v>100000</v>
      </c>
    </row>
    <row r="108" spans="1:5" x14ac:dyDescent="0.35">
      <c r="A108" s="772" t="s">
        <v>1032</v>
      </c>
      <c r="B108" s="258">
        <v>4.5</v>
      </c>
      <c r="C108" s="194">
        <f>+C104*1.5</f>
        <v>5454</v>
      </c>
      <c r="D108" s="598">
        <f>+B108*C108</f>
        <v>24543</v>
      </c>
    </row>
    <row r="109" spans="1:5" x14ac:dyDescent="0.35">
      <c r="A109" s="772" t="s">
        <v>281</v>
      </c>
      <c r="B109" s="258"/>
      <c r="C109" s="194">
        <f>+C104*2</f>
        <v>7272</v>
      </c>
      <c r="D109" s="598">
        <f>+B109*C109</f>
        <v>0</v>
      </c>
    </row>
    <row r="110" spans="1:5" s="90" customFormat="1" x14ac:dyDescent="0.35">
      <c r="A110" s="141" t="s">
        <v>1033</v>
      </c>
      <c r="B110" s="274"/>
      <c r="C110" s="195"/>
      <c r="D110" s="1017">
        <v>130000</v>
      </c>
      <c r="E110" s="553"/>
    </row>
    <row r="111" spans="1:5" s="90" customFormat="1" x14ac:dyDescent="0.35">
      <c r="A111" s="1145"/>
      <c r="B111" s="1146"/>
      <c r="C111" s="1147"/>
      <c r="D111" s="1017"/>
      <c r="E111" s="553"/>
    </row>
    <row r="112" spans="1:5" x14ac:dyDescent="0.35">
      <c r="A112" s="1463" t="s">
        <v>389</v>
      </c>
      <c r="B112" s="1464"/>
      <c r="C112" s="1465"/>
      <c r="D112" s="599">
        <f>+D104+D105+D106+D107+D108+D109+D110+D111</f>
        <v>1006291</v>
      </c>
    </row>
    <row r="113" spans="1:5" x14ac:dyDescent="0.35">
      <c r="A113" s="724" t="s">
        <v>374</v>
      </c>
      <c r="B113" s="729"/>
      <c r="C113" s="730"/>
      <c r="D113" s="731">
        <v>-150000</v>
      </c>
    </row>
    <row r="114" spans="1:5" x14ac:dyDescent="0.35">
      <c r="A114" s="724"/>
      <c r="B114" s="729"/>
      <c r="C114" s="730"/>
      <c r="D114" s="731"/>
    </row>
    <row r="115" spans="1:5" s="997" customFormat="1" ht="15.5" x14ac:dyDescent="0.35">
      <c r="A115" s="992" t="s">
        <v>11</v>
      </c>
      <c r="B115" s="1181"/>
      <c r="C115" s="994"/>
      <c r="D115" s="995">
        <f>+D112+D113+D114</f>
        <v>856291</v>
      </c>
      <c r="E115" s="1026"/>
    </row>
    <row r="116" spans="1:5" s="90" customFormat="1" x14ac:dyDescent="0.35">
      <c r="B116" s="1042"/>
      <c r="C116" s="553"/>
      <c r="D116" s="1051"/>
      <c r="E116" s="553"/>
    </row>
    <row r="118" spans="1:5" ht="23.5" x14ac:dyDescent="0.35">
      <c r="A118" s="1442" t="s">
        <v>1224</v>
      </c>
      <c r="B118" s="1443"/>
      <c r="C118" s="1443"/>
      <c r="D118" s="1444"/>
    </row>
    <row r="119" spans="1:5" x14ac:dyDescent="0.35">
      <c r="A119" s="2" t="s">
        <v>7</v>
      </c>
      <c r="B119" s="270" t="s">
        <v>388</v>
      </c>
      <c r="C119" s="217" t="s">
        <v>629</v>
      </c>
      <c r="D119" s="597" t="s">
        <v>9</v>
      </c>
    </row>
    <row r="120" spans="1:5" x14ac:dyDescent="0.35">
      <c r="A120" s="772" t="s">
        <v>3</v>
      </c>
      <c r="B120" s="258">
        <v>182</v>
      </c>
      <c r="C120" s="194">
        <v>5331</v>
      </c>
      <c r="D120" s="598">
        <f>+B120*C120</f>
        <v>970242</v>
      </c>
    </row>
    <row r="121" spans="1:5" x14ac:dyDescent="0.35">
      <c r="A121" s="772" t="s">
        <v>394</v>
      </c>
      <c r="B121" s="258">
        <v>8</v>
      </c>
      <c r="C121" s="194">
        <f>+C120</f>
        <v>5331</v>
      </c>
      <c r="D121" s="609">
        <f>+B121*C121</f>
        <v>42648</v>
      </c>
    </row>
    <row r="122" spans="1:5" x14ac:dyDescent="0.35">
      <c r="A122" s="772" t="s">
        <v>556</v>
      </c>
      <c r="B122" s="258"/>
      <c r="C122" s="194">
        <v>50000</v>
      </c>
      <c r="D122" s="609">
        <f>+C122</f>
        <v>50000</v>
      </c>
    </row>
    <row r="123" spans="1:5" x14ac:dyDescent="0.35">
      <c r="A123" s="772" t="s">
        <v>6</v>
      </c>
      <c r="B123" s="258"/>
      <c r="C123" s="194">
        <v>100000</v>
      </c>
      <c r="D123" s="609">
        <f>+C123</f>
        <v>100000</v>
      </c>
    </row>
    <row r="124" spans="1:5" x14ac:dyDescent="0.35">
      <c r="A124" s="614" t="s">
        <v>628</v>
      </c>
      <c r="B124" s="617">
        <v>1</v>
      </c>
      <c r="C124" s="227">
        <f>+C120*1.5</f>
        <v>7996.5</v>
      </c>
      <c r="D124" s="609">
        <f>+B124*C124</f>
        <v>7996.5</v>
      </c>
    </row>
    <row r="125" spans="1:5" x14ac:dyDescent="0.35">
      <c r="A125" s="614" t="s">
        <v>823</v>
      </c>
      <c r="B125" s="617"/>
      <c r="C125" s="227"/>
      <c r="D125" s="609">
        <v>120000</v>
      </c>
    </row>
    <row r="126" spans="1:5" x14ac:dyDescent="0.35">
      <c r="A126" s="614"/>
      <c r="B126" s="617"/>
      <c r="C126" s="227"/>
      <c r="D126" s="609"/>
    </row>
    <row r="127" spans="1:5" s="90" customFormat="1" x14ac:dyDescent="0.35">
      <c r="A127" s="1071" t="s">
        <v>389</v>
      </c>
      <c r="B127" s="1074"/>
      <c r="C127" s="1172"/>
      <c r="D127" s="1173">
        <f>+D120+D121+D122+D123+D124+D125+D126</f>
        <v>1290886.5</v>
      </c>
      <c r="E127" s="553"/>
    </row>
    <row r="128" spans="1:5" x14ac:dyDescent="0.35">
      <c r="A128" s="614" t="s">
        <v>1225</v>
      </c>
      <c r="B128" s="617"/>
      <c r="C128" s="227"/>
      <c r="D128" s="609">
        <v>58900</v>
      </c>
    </row>
    <row r="129" spans="1:5" x14ac:dyDescent="0.35">
      <c r="A129" s="614" t="s">
        <v>1226</v>
      </c>
      <c r="B129" s="617"/>
      <c r="C129" s="227"/>
      <c r="D129" s="609">
        <v>37100</v>
      </c>
    </row>
    <row r="130" spans="1:5" ht="15.5" x14ac:dyDescent="0.35">
      <c r="A130" s="1059" t="s">
        <v>11</v>
      </c>
      <c r="B130" s="1060"/>
      <c r="C130" s="1061"/>
      <c r="D130" s="1167">
        <f>+D127+D128+D129</f>
        <v>1386886.5</v>
      </c>
    </row>
    <row r="133" spans="1:5" ht="23.5" x14ac:dyDescent="0.35">
      <c r="A133" s="1442" t="s">
        <v>1227</v>
      </c>
      <c r="B133" s="1443"/>
      <c r="C133" s="1443"/>
      <c r="D133" s="1444"/>
    </row>
    <row r="134" spans="1:5" x14ac:dyDescent="0.35">
      <c r="A134" s="2" t="s">
        <v>7</v>
      </c>
      <c r="B134" s="270" t="s">
        <v>8</v>
      </c>
      <c r="C134" s="217" t="s">
        <v>4</v>
      </c>
      <c r="D134" s="597" t="s">
        <v>9</v>
      </c>
    </row>
    <row r="135" spans="1:5" x14ac:dyDescent="0.35">
      <c r="A135" s="772" t="s">
        <v>3</v>
      </c>
      <c r="B135" s="258">
        <v>149.5</v>
      </c>
      <c r="C135" s="194">
        <v>5331</v>
      </c>
      <c r="D135" s="598">
        <f>+B135*C135</f>
        <v>796984.5</v>
      </c>
    </row>
    <row r="136" spans="1:5" x14ac:dyDescent="0.35">
      <c r="A136" s="772" t="s">
        <v>394</v>
      </c>
      <c r="B136" s="258">
        <v>7</v>
      </c>
      <c r="C136" s="194">
        <f>+C135</f>
        <v>5331</v>
      </c>
      <c r="D136" s="609">
        <f>+B136*C136</f>
        <v>37317</v>
      </c>
    </row>
    <row r="137" spans="1:5" x14ac:dyDescent="0.35">
      <c r="A137" s="772" t="s">
        <v>6</v>
      </c>
      <c r="B137" s="258"/>
      <c r="C137" s="194">
        <v>100000</v>
      </c>
      <c r="D137" s="609">
        <f>+C137</f>
        <v>100000</v>
      </c>
    </row>
    <row r="138" spans="1:5" x14ac:dyDescent="0.35">
      <c r="A138" s="614" t="s">
        <v>556</v>
      </c>
      <c r="B138" s="617"/>
      <c r="C138" s="227">
        <v>50000</v>
      </c>
      <c r="D138" s="609">
        <v>50000</v>
      </c>
    </row>
    <row r="139" spans="1:5" x14ac:dyDescent="0.35">
      <c r="A139" s="614" t="s">
        <v>1035</v>
      </c>
      <c r="B139" s="617">
        <v>1.5</v>
      </c>
      <c r="C139" s="227">
        <f>+C135*1.5</f>
        <v>7996.5</v>
      </c>
      <c r="D139" s="609">
        <f>+B139*C139</f>
        <v>11994.75</v>
      </c>
    </row>
    <row r="140" spans="1:5" s="1192" customFormat="1" x14ac:dyDescent="0.35">
      <c r="A140" s="1149" t="s">
        <v>823</v>
      </c>
      <c r="B140" s="1150"/>
      <c r="C140" s="1151">
        <v>120000</v>
      </c>
      <c r="D140" s="1210">
        <f>+C140</f>
        <v>120000</v>
      </c>
      <c r="E140" s="1199"/>
    </row>
    <row r="141" spans="1:5" x14ac:dyDescent="0.35">
      <c r="A141" s="1149"/>
      <c r="B141" s="617"/>
      <c r="C141" s="227"/>
      <c r="D141" s="609"/>
    </row>
    <row r="142" spans="1:5" x14ac:dyDescent="0.35">
      <c r="A142" s="882" t="s">
        <v>389</v>
      </c>
      <c r="B142" s="883"/>
      <c r="C142" s="884"/>
      <c r="D142" s="1058">
        <f>+D135+D136+D137+D138+D139+D140+D141</f>
        <v>1116296.25</v>
      </c>
    </row>
    <row r="143" spans="1:5" x14ac:dyDescent="0.35">
      <c r="A143" s="724" t="s">
        <v>50</v>
      </c>
      <c r="B143" s="729"/>
      <c r="C143" s="729"/>
      <c r="D143" s="731">
        <v>-300000</v>
      </c>
    </row>
    <row r="144" spans="1:5" x14ac:dyDescent="0.35">
      <c r="A144" s="1071" t="s">
        <v>11</v>
      </c>
      <c r="B144" s="1074"/>
      <c r="C144" s="1074"/>
      <c r="D144" s="1075">
        <f>+D142+D143</f>
        <v>816296.25</v>
      </c>
    </row>
    <row r="148" spans="1:19" s="1042" customFormat="1" ht="23.5" x14ac:dyDescent="0.35">
      <c r="A148" s="1442" t="s">
        <v>1228</v>
      </c>
      <c r="B148" s="1443"/>
      <c r="C148" s="1443"/>
      <c r="D148" s="1444"/>
      <c r="E148" s="553"/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</row>
    <row r="149" spans="1:19" s="1042" customFormat="1" x14ac:dyDescent="0.35">
      <c r="A149" s="2" t="s">
        <v>7</v>
      </c>
      <c r="B149" s="270" t="s">
        <v>388</v>
      </c>
      <c r="C149" s="217" t="s">
        <v>1037</v>
      </c>
      <c r="D149" s="597" t="s">
        <v>9</v>
      </c>
      <c r="E149" s="553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042" customFormat="1" x14ac:dyDescent="0.35">
      <c r="A150" s="772" t="s">
        <v>3</v>
      </c>
      <c r="B150" s="258">
        <v>185</v>
      </c>
      <c r="C150" s="194">
        <v>3927</v>
      </c>
      <c r="D150" s="598">
        <f>+B150*C150</f>
        <v>726495</v>
      </c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772" t="s">
        <v>394</v>
      </c>
      <c r="B151" s="258">
        <v>8</v>
      </c>
      <c r="C151" s="194">
        <f>+C150</f>
        <v>3927</v>
      </c>
      <c r="D151" s="609">
        <f>+B151*C151</f>
        <v>31416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772" t="s">
        <v>200</v>
      </c>
      <c r="B152" s="258"/>
      <c r="C152" s="194">
        <v>50000</v>
      </c>
      <c r="D152" s="609">
        <f>+C152</f>
        <v>50000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614" t="s">
        <v>6</v>
      </c>
      <c r="B153" s="617"/>
      <c r="C153" s="227">
        <v>100000</v>
      </c>
      <c r="D153" s="609">
        <f>+C153</f>
        <v>100000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614" t="s">
        <v>1035</v>
      </c>
      <c r="B154" s="617">
        <v>4.5</v>
      </c>
      <c r="C154" s="227">
        <f>+C150*1.5</f>
        <v>5890.5</v>
      </c>
      <c r="D154" s="609">
        <f>+B154*C154</f>
        <v>26507.25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614" t="s">
        <v>1036</v>
      </c>
      <c r="B155" s="617"/>
      <c r="C155" s="227">
        <f>+C150*2</f>
        <v>7854</v>
      </c>
      <c r="D155" s="609">
        <f>+C155*0</f>
        <v>0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190" customFormat="1" x14ac:dyDescent="0.35">
      <c r="A156" s="1149" t="s">
        <v>823</v>
      </c>
      <c r="B156" s="1150"/>
      <c r="C156" s="1151"/>
      <c r="D156" s="1210">
        <v>80000</v>
      </c>
      <c r="E156" s="1199"/>
      <c r="F156" s="1192"/>
      <c r="G156" s="1192"/>
      <c r="H156" s="1192"/>
      <c r="I156" s="1192"/>
      <c r="J156" s="1192"/>
      <c r="K156" s="1192"/>
      <c r="L156" s="1192"/>
      <c r="M156" s="1192"/>
      <c r="N156" s="1192"/>
      <c r="O156" s="1192"/>
      <c r="P156" s="1192"/>
      <c r="Q156" s="1192"/>
      <c r="R156" s="1192"/>
      <c r="S156" s="1192"/>
    </row>
    <row r="157" spans="1:19" s="1190" customFormat="1" x14ac:dyDescent="0.35">
      <c r="A157" s="1223"/>
      <c r="B157" s="1150"/>
      <c r="C157" s="1151"/>
      <c r="D157" s="1210"/>
      <c r="E157" s="1199"/>
      <c r="F157" s="1192"/>
      <c r="G157" s="1192"/>
      <c r="H157" s="1192"/>
      <c r="I157" s="1192"/>
      <c r="J157" s="1192"/>
      <c r="K157" s="1192"/>
      <c r="L157" s="1192"/>
      <c r="M157" s="1192"/>
      <c r="N157" s="1192"/>
      <c r="O157" s="1192"/>
      <c r="P157" s="1192"/>
      <c r="Q157" s="1192"/>
      <c r="R157" s="1192"/>
      <c r="S157" s="1192"/>
    </row>
    <row r="158" spans="1:19" s="1042" customFormat="1" x14ac:dyDescent="0.35">
      <c r="A158" s="882" t="s">
        <v>389</v>
      </c>
      <c r="B158" s="883"/>
      <c r="C158" s="884"/>
      <c r="D158" s="1058">
        <f>+D150+D151+D152+D153+D154+D155+D156+D157</f>
        <v>1014418.25</v>
      </c>
      <c r="E158" s="553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59" spans="1:19" s="1042" customFormat="1" x14ac:dyDescent="0.35">
      <c r="A159" s="1211"/>
      <c r="B159" s="1212"/>
      <c r="C159" s="1213"/>
      <c r="D159" s="1214"/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s="1042" customFormat="1" x14ac:dyDescent="0.35">
      <c r="A160" s="724"/>
      <c r="B160" s="729"/>
      <c r="C160" s="729"/>
      <c r="D160" s="731"/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1071" t="s">
        <v>11</v>
      </c>
      <c r="B161" s="1074"/>
      <c r="C161" s="1074"/>
      <c r="D161" s="1075">
        <f>+D158+D159+D160</f>
        <v>1014418.25</v>
      </c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5" spans="1:19" ht="23.5" x14ac:dyDescent="0.35">
      <c r="A165" s="1442" t="s">
        <v>1229</v>
      </c>
      <c r="B165" s="1443"/>
      <c r="C165" s="1443"/>
      <c r="D165" s="1444"/>
    </row>
    <row r="166" spans="1:19" x14ac:dyDescent="0.35">
      <c r="A166" s="2" t="s">
        <v>7</v>
      </c>
      <c r="B166" s="270" t="s">
        <v>425</v>
      </c>
      <c r="C166" s="217" t="s">
        <v>272</v>
      </c>
      <c r="D166" s="597" t="s">
        <v>9</v>
      </c>
    </row>
    <row r="167" spans="1:19" x14ac:dyDescent="0.35">
      <c r="A167" s="772" t="s">
        <v>3</v>
      </c>
      <c r="B167" s="258">
        <v>167</v>
      </c>
      <c r="C167" s="194">
        <v>3179</v>
      </c>
      <c r="D167" s="598">
        <f>+B167*C167</f>
        <v>530893</v>
      </c>
    </row>
    <row r="168" spans="1:19" x14ac:dyDescent="0.35">
      <c r="A168" s="772" t="s">
        <v>394</v>
      </c>
      <c r="B168" s="258">
        <v>8</v>
      </c>
      <c r="C168" s="194">
        <f>+C167</f>
        <v>3179</v>
      </c>
      <c r="D168" s="609">
        <f>+B168*C168</f>
        <v>25432</v>
      </c>
    </row>
    <row r="169" spans="1:19" x14ac:dyDescent="0.35">
      <c r="A169" s="772" t="s">
        <v>1232</v>
      </c>
      <c r="B169" s="258">
        <v>16</v>
      </c>
      <c r="C169" s="194">
        <f>+C167</f>
        <v>3179</v>
      </c>
      <c r="D169" s="609">
        <f>+B169*C169</f>
        <v>50864</v>
      </c>
    </row>
    <row r="170" spans="1:19" x14ac:dyDescent="0.35">
      <c r="A170" s="772" t="s">
        <v>200</v>
      </c>
      <c r="B170" s="258"/>
      <c r="C170" s="194">
        <v>50000</v>
      </c>
      <c r="D170" s="609">
        <f>+C170</f>
        <v>50000</v>
      </c>
    </row>
    <row r="171" spans="1:19" x14ac:dyDescent="0.35">
      <c r="A171" s="614" t="s">
        <v>6</v>
      </c>
      <c r="B171" s="617"/>
      <c r="C171" s="227">
        <v>40000</v>
      </c>
      <c r="D171" s="609">
        <f>+C171</f>
        <v>40000</v>
      </c>
    </row>
    <row r="172" spans="1:19" x14ac:dyDescent="0.35">
      <c r="A172" s="614" t="s">
        <v>1035</v>
      </c>
      <c r="B172" s="617">
        <v>9</v>
      </c>
      <c r="C172" s="227">
        <f>+C167*1.5</f>
        <v>4768.5</v>
      </c>
      <c r="D172" s="609">
        <f>+B172*C172</f>
        <v>42916.5</v>
      </c>
    </row>
    <row r="173" spans="1:19" x14ac:dyDescent="0.35">
      <c r="A173" s="614" t="s">
        <v>1036</v>
      </c>
      <c r="B173" s="617"/>
      <c r="C173" s="227">
        <f>+C167*2</f>
        <v>6358</v>
      </c>
      <c r="D173" s="609">
        <f>+B173*C173</f>
        <v>0</v>
      </c>
    </row>
    <row r="174" spans="1:19" s="1192" customFormat="1" x14ac:dyDescent="0.35">
      <c r="A174" s="1149" t="s">
        <v>823</v>
      </c>
      <c r="B174" s="1150"/>
      <c r="C174" s="1151"/>
      <c r="D174" s="1210">
        <v>100000</v>
      </c>
      <c r="E174" s="1199"/>
    </row>
    <row r="175" spans="1:19" s="1192" customFormat="1" x14ac:dyDescent="0.35">
      <c r="A175" s="1223"/>
      <c r="B175" s="1150"/>
      <c r="C175" s="1151"/>
      <c r="D175" s="1210"/>
      <c r="E175" s="1199"/>
    </row>
    <row r="176" spans="1:19" x14ac:dyDescent="0.35">
      <c r="A176" s="882" t="s">
        <v>389</v>
      </c>
      <c r="B176" s="883"/>
      <c r="C176" s="884"/>
      <c r="D176" s="1058">
        <f>+D167+D168+D169+D170+D171+D172+D173+D174+D175</f>
        <v>840105.5</v>
      </c>
    </row>
    <row r="177" spans="1:5" s="1070" customFormat="1" x14ac:dyDescent="0.35">
      <c r="A177" s="739" t="s">
        <v>19</v>
      </c>
      <c r="B177" s="1215"/>
      <c r="C177" s="1216"/>
      <c r="D177" s="736">
        <v>-150000</v>
      </c>
      <c r="E177" s="1234"/>
    </row>
    <row r="178" spans="1:5" x14ac:dyDescent="0.35">
      <c r="A178" s="1245" t="s">
        <v>1231</v>
      </c>
      <c r="B178" s="729" t="s">
        <v>1230</v>
      </c>
      <c r="C178" s="729"/>
      <c r="D178" s="731">
        <f>-8*C167</f>
        <v>-25432</v>
      </c>
    </row>
    <row r="179" spans="1:5" x14ac:dyDescent="0.35">
      <c r="A179" s="1071" t="s">
        <v>11</v>
      </c>
      <c r="B179" s="1074"/>
      <c r="C179" s="1074"/>
      <c r="D179" s="1075">
        <f>+D176+D177+D178</f>
        <v>664673.5</v>
      </c>
    </row>
  </sheetData>
  <mergeCells count="20">
    <mergeCell ref="A80:C80"/>
    <mergeCell ref="A3:D3"/>
    <mergeCell ref="A13:C13"/>
    <mergeCell ref="A16:C16"/>
    <mergeCell ref="A19:D19"/>
    <mergeCell ref="A30:C30"/>
    <mergeCell ref="A35:D35"/>
    <mergeCell ref="A45:C45"/>
    <mergeCell ref="A53:D53"/>
    <mergeCell ref="A63:C63"/>
    <mergeCell ref="A68:D68"/>
    <mergeCell ref="A78:C78"/>
    <mergeCell ref="A148:D148"/>
    <mergeCell ref="A165:D165"/>
    <mergeCell ref="A83:D83"/>
    <mergeCell ref="A97:C97"/>
    <mergeCell ref="A102:D102"/>
    <mergeCell ref="A112:C112"/>
    <mergeCell ref="A118:D118"/>
    <mergeCell ref="A133:D133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9F9F-D297-441A-917D-010FDA37831D}">
  <sheetPr>
    <pageSetUpPr fitToPage="1"/>
  </sheetPr>
  <dimension ref="A1:F48"/>
  <sheetViews>
    <sheetView topLeftCell="A10" workbookViewId="0">
      <selection activeCell="E22" sqref="E22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2" style="774" customWidth="1"/>
    <col min="4" max="4" width="26.90625" style="774" customWidth="1"/>
    <col min="5" max="5" width="21.1796875" style="774" customWidth="1"/>
    <col min="6" max="6" width="25.26953125" style="771" customWidth="1"/>
    <col min="7" max="16384" width="10.90625" style="771"/>
  </cols>
  <sheetData>
    <row r="1" spans="1:6" s="658" customFormat="1" ht="28.5" x14ac:dyDescent="0.65">
      <c r="A1" s="946"/>
      <c r="B1" s="1122" t="s">
        <v>1211</v>
      </c>
      <c r="C1" s="1237"/>
      <c r="D1" s="983"/>
      <c r="E1" s="983"/>
    </row>
    <row r="2" spans="1:6" s="658" customFormat="1" ht="28.5" x14ac:dyDescent="0.65">
      <c r="A2" s="946"/>
      <c r="C2" s="1237" t="s">
        <v>973</v>
      </c>
      <c r="D2" s="983">
        <f>+D17+D23</f>
        <v>8941000</v>
      </c>
      <c r="E2" s="983"/>
    </row>
    <row r="4" spans="1:6" x14ac:dyDescent="0.35">
      <c r="A4" s="1014"/>
      <c r="B4" s="964" t="s">
        <v>7</v>
      </c>
      <c r="C4" s="1052" t="s">
        <v>3</v>
      </c>
      <c r="D4" s="1052" t="s">
        <v>1205</v>
      </c>
    </row>
    <row r="5" spans="1:6" x14ac:dyDescent="0.35">
      <c r="B5" s="258" t="s">
        <v>10</v>
      </c>
      <c r="C5" s="194">
        <v>1320894</v>
      </c>
      <c r="D5" s="194">
        <v>192000</v>
      </c>
      <c r="E5" s="774" t="s">
        <v>1210</v>
      </c>
      <c r="F5" s="774"/>
    </row>
    <row r="6" spans="1:6" x14ac:dyDescent="0.35">
      <c r="B6" s="258" t="s">
        <v>16</v>
      </c>
      <c r="C6" s="194">
        <v>1316220</v>
      </c>
      <c r="D6" s="194">
        <v>1017000</v>
      </c>
      <c r="E6" s="774" t="s">
        <v>1210</v>
      </c>
    </row>
    <row r="7" spans="1:6" x14ac:dyDescent="0.35">
      <c r="B7" s="258" t="s">
        <v>0</v>
      </c>
      <c r="C7" s="194">
        <v>1556106</v>
      </c>
      <c r="D7" s="194">
        <v>427000</v>
      </c>
      <c r="E7" s="774" t="s">
        <v>1210</v>
      </c>
    </row>
    <row r="8" spans="1:6" x14ac:dyDescent="0.35">
      <c r="B8" s="258" t="s">
        <v>245</v>
      </c>
      <c r="C8" s="194">
        <v>981748</v>
      </c>
      <c r="D8" s="194">
        <v>632000</v>
      </c>
      <c r="E8" s="774" t="s">
        <v>1210</v>
      </c>
    </row>
    <row r="9" spans="1:6" x14ac:dyDescent="0.35">
      <c r="B9" s="258" t="s">
        <v>463</v>
      </c>
      <c r="C9" s="194">
        <v>1164342</v>
      </c>
      <c r="D9" s="194">
        <v>865000</v>
      </c>
      <c r="E9" s="774" t="s">
        <v>1210</v>
      </c>
    </row>
    <row r="10" spans="1:6" x14ac:dyDescent="0.35">
      <c r="B10" s="258" t="s">
        <v>1116</v>
      </c>
      <c r="C10" s="194">
        <v>1006291</v>
      </c>
      <c r="D10" s="194">
        <v>857000</v>
      </c>
      <c r="E10" s="774" t="s">
        <v>1210</v>
      </c>
    </row>
    <row r="11" spans="1:6" x14ac:dyDescent="0.35">
      <c r="B11" s="258" t="s">
        <v>260</v>
      </c>
      <c r="C11" s="194">
        <v>1116296</v>
      </c>
      <c r="D11" s="194">
        <v>817000</v>
      </c>
      <c r="E11" s="774" t="s">
        <v>1210</v>
      </c>
    </row>
    <row r="12" spans="1:6" x14ac:dyDescent="0.35">
      <c r="B12" s="617" t="s">
        <v>613</v>
      </c>
      <c r="C12" s="227">
        <v>1290886</v>
      </c>
      <c r="D12" s="227">
        <v>1387000</v>
      </c>
      <c r="E12" s="774" t="s">
        <v>1210</v>
      </c>
    </row>
    <row r="13" spans="1:6" x14ac:dyDescent="0.35">
      <c r="B13" s="315" t="s">
        <v>1068</v>
      </c>
      <c r="C13" s="1238">
        <v>840105</v>
      </c>
      <c r="D13" s="194">
        <v>665000</v>
      </c>
      <c r="E13" s="774" t="s">
        <v>1210</v>
      </c>
      <c r="F13" s="774"/>
    </row>
    <row r="14" spans="1:6" x14ac:dyDescent="0.35">
      <c r="B14" s="315"/>
      <c r="C14" s="1238"/>
      <c r="D14" s="194"/>
    </row>
    <row r="15" spans="1:6" x14ac:dyDescent="0.35">
      <c r="B15" s="315"/>
      <c r="C15" s="1238"/>
      <c r="D15" s="194"/>
    </row>
    <row r="16" spans="1:6" x14ac:dyDescent="0.35">
      <c r="B16" s="315"/>
      <c r="C16" s="1238"/>
      <c r="D16" s="194"/>
    </row>
    <row r="17" spans="1:5" x14ac:dyDescent="0.35">
      <c r="B17" s="1016" t="s">
        <v>872</v>
      </c>
      <c r="C17" s="1239"/>
      <c r="D17" s="195">
        <f>SUM(D5:D15)</f>
        <v>6859000</v>
      </c>
    </row>
    <row r="18" spans="1:5" x14ac:dyDescent="0.35">
      <c r="B18" s="261"/>
    </row>
    <row r="19" spans="1:5" x14ac:dyDescent="0.35">
      <c r="B19" s="261"/>
    </row>
    <row r="20" spans="1:5" x14ac:dyDescent="0.35">
      <c r="B20" s="261"/>
    </row>
    <row r="21" spans="1:5" x14ac:dyDescent="0.35">
      <c r="B21" s="258" t="s">
        <v>267</v>
      </c>
      <c r="C21" s="194">
        <v>1066746</v>
      </c>
      <c r="D21" s="194">
        <v>1067000</v>
      </c>
      <c r="E21" s="774" t="s">
        <v>1210</v>
      </c>
    </row>
    <row r="22" spans="1:5" x14ac:dyDescent="0.35">
      <c r="B22" s="258" t="s">
        <v>1038</v>
      </c>
      <c r="C22" s="194">
        <v>1014418</v>
      </c>
      <c r="D22" s="194">
        <v>1015000</v>
      </c>
      <c r="E22" s="774" t="s">
        <v>1210</v>
      </c>
    </row>
    <row r="23" spans="1:5" s="90" customFormat="1" x14ac:dyDescent="0.35">
      <c r="B23" s="274" t="s">
        <v>972</v>
      </c>
      <c r="C23" s="195"/>
      <c r="D23" s="195">
        <f>+D21+D22</f>
        <v>2082000</v>
      </c>
      <c r="E23" s="553"/>
    </row>
    <row r="26" spans="1:5" x14ac:dyDescent="0.35">
      <c r="B26" s="274" t="s">
        <v>7</v>
      </c>
      <c r="C26" s="1052" t="s">
        <v>272</v>
      </c>
      <c r="D26" s="1052" t="s">
        <v>6</v>
      </c>
      <c r="E26" s="1109" t="s">
        <v>200</v>
      </c>
    </row>
    <row r="27" spans="1:5" x14ac:dyDescent="0.35">
      <c r="A27" s="771">
        <v>1</v>
      </c>
      <c r="B27" s="258" t="s">
        <v>10</v>
      </c>
      <c r="C27" s="194">
        <v>4753</v>
      </c>
      <c r="D27" s="194">
        <v>100000</v>
      </c>
      <c r="E27" s="598">
        <v>50000</v>
      </c>
    </row>
    <row r="28" spans="1:5" x14ac:dyDescent="0.35">
      <c r="A28" s="771">
        <v>2</v>
      </c>
      <c r="B28" s="258" t="s">
        <v>16</v>
      </c>
      <c r="C28" s="194">
        <v>4547</v>
      </c>
      <c r="D28" s="194">
        <v>100000</v>
      </c>
      <c r="E28" s="598">
        <v>50000</v>
      </c>
    </row>
    <row r="29" spans="1:5" x14ac:dyDescent="0.35">
      <c r="A29" s="771">
        <v>3</v>
      </c>
      <c r="B29" s="258" t="s">
        <v>0</v>
      </c>
      <c r="C29" s="194">
        <v>5967</v>
      </c>
      <c r="D29" s="194">
        <v>100000</v>
      </c>
      <c r="E29" s="598">
        <v>50000</v>
      </c>
    </row>
    <row r="30" spans="1:5" x14ac:dyDescent="0.35">
      <c r="A30" s="176">
        <v>4</v>
      </c>
      <c r="B30" s="258" t="s">
        <v>267</v>
      </c>
      <c r="C30" s="194">
        <v>3927</v>
      </c>
      <c r="D30" s="194">
        <v>100000</v>
      </c>
      <c r="E30" s="598">
        <v>50000</v>
      </c>
    </row>
    <row r="31" spans="1:5" x14ac:dyDescent="0.35">
      <c r="A31" s="176">
        <v>5</v>
      </c>
      <c r="B31" s="258" t="s">
        <v>245</v>
      </c>
      <c r="C31" s="194">
        <v>3636</v>
      </c>
      <c r="D31" s="194">
        <v>100000</v>
      </c>
      <c r="E31" s="598">
        <v>50000</v>
      </c>
    </row>
    <row r="32" spans="1:5" x14ac:dyDescent="0.35">
      <c r="A32" s="176">
        <v>6</v>
      </c>
      <c r="B32" s="258" t="s">
        <v>463</v>
      </c>
      <c r="C32" s="194">
        <v>3613</v>
      </c>
      <c r="D32" s="194">
        <v>80000</v>
      </c>
      <c r="E32" s="598">
        <v>50000</v>
      </c>
    </row>
    <row r="33" spans="1:5" x14ac:dyDescent="0.35">
      <c r="A33" s="176">
        <v>7</v>
      </c>
      <c r="B33" s="258" t="s">
        <v>553</v>
      </c>
      <c r="C33" s="194">
        <v>3636</v>
      </c>
      <c r="D33" s="194">
        <v>100000</v>
      </c>
      <c r="E33" s="598">
        <v>50000</v>
      </c>
    </row>
    <row r="34" spans="1:5" x14ac:dyDescent="0.35">
      <c r="A34" s="176">
        <v>8</v>
      </c>
      <c r="B34" s="258" t="s">
        <v>260</v>
      </c>
      <c r="C34" s="194">
        <v>5331</v>
      </c>
      <c r="D34" s="194">
        <v>100000</v>
      </c>
      <c r="E34" s="598">
        <v>50000</v>
      </c>
    </row>
    <row r="35" spans="1:5" x14ac:dyDescent="0.35">
      <c r="A35" s="176">
        <v>9</v>
      </c>
      <c r="B35" s="258" t="s">
        <v>613</v>
      </c>
      <c r="C35" s="194">
        <v>5331</v>
      </c>
      <c r="D35" s="194">
        <v>100000</v>
      </c>
      <c r="E35" s="598">
        <v>50000</v>
      </c>
    </row>
    <row r="36" spans="1:5" x14ac:dyDescent="0.35">
      <c r="A36" s="176">
        <v>10</v>
      </c>
      <c r="B36" s="258" t="s">
        <v>1038</v>
      </c>
      <c r="C36" s="194">
        <v>3927</v>
      </c>
      <c r="D36" s="194">
        <v>100000</v>
      </c>
      <c r="E36" s="598">
        <v>50000</v>
      </c>
    </row>
    <row r="37" spans="1:5" x14ac:dyDescent="0.35">
      <c r="A37" s="176">
        <v>11</v>
      </c>
      <c r="B37" s="315" t="s">
        <v>1068</v>
      </c>
      <c r="C37" s="194">
        <v>3179</v>
      </c>
      <c r="D37" s="194">
        <v>40000</v>
      </c>
      <c r="E37" s="598">
        <v>50000</v>
      </c>
    </row>
    <row r="38" spans="1:5" x14ac:dyDescent="0.35">
      <c r="A38" s="176">
        <v>12</v>
      </c>
      <c r="B38" s="315"/>
      <c r="C38" s="194"/>
      <c r="D38" s="194"/>
      <c r="E38" s="598"/>
    </row>
    <row r="39" spans="1:5" x14ac:dyDescent="0.35">
      <c r="A39" s="176">
        <v>13</v>
      </c>
      <c r="B39" s="315"/>
      <c r="C39" s="194"/>
      <c r="D39" s="194"/>
      <c r="E39" s="598"/>
    </row>
    <row r="40" spans="1:5" x14ac:dyDescent="0.35">
      <c r="B40" s="315"/>
      <c r="C40" s="194"/>
      <c r="D40" s="194"/>
      <c r="E40" s="598"/>
    </row>
    <row r="41" spans="1:5" x14ac:dyDescent="0.35">
      <c r="B41" s="1121"/>
      <c r="C41" s="1240"/>
      <c r="D41" s="204"/>
      <c r="E41" s="205"/>
    </row>
    <row r="43" spans="1:5" x14ac:dyDescent="0.35">
      <c r="A43" s="701" t="s">
        <v>106</v>
      </c>
      <c r="B43" s="702" t="s">
        <v>873</v>
      </c>
      <c r="C43" s="1241"/>
      <c r="D43" s="1013" t="s">
        <v>803</v>
      </c>
      <c r="E43" s="1092" t="s">
        <v>7</v>
      </c>
    </row>
    <row r="44" spans="1:5" x14ac:dyDescent="0.35">
      <c r="A44" s="703">
        <v>17</v>
      </c>
      <c r="B44" s="703">
        <v>9</v>
      </c>
      <c r="C44" s="1242"/>
      <c r="D44" s="964">
        <f>+A44*B44</f>
        <v>153</v>
      </c>
      <c r="E44" s="593" t="s">
        <v>874</v>
      </c>
    </row>
    <row r="45" spans="1:5" x14ac:dyDescent="0.35">
      <c r="A45" s="703">
        <v>4</v>
      </c>
      <c r="B45" s="703">
        <v>8</v>
      </c>
      <c r="C45" s="1242"/>
      <c r="D45" s="964">
        <f>+A45*B45</f>
        <v>32</v>
      </c>
      <c r="E45" s="593" t="s">
        <v>117</v>
      </c>
    </row>
    <row r="46" spans="1:5" x14ac:dyDescent="0.35">
      <c r="A46" s="703"/>
      <c r="B46" s="703">
        <v>7</v>
      </c>
      <c r="C46" s="1242"/>
      <c r="D46" s="964">
        <f>+A46*B46</f>
        <v>0</v>
      </c>
      <c r="E46" s="593"/>
    </row>
    <row r="47" spans="1:5" x14ac:dyDescent="0.35">
      <c r="A47" s="703">
        <v>1</v>
      </c>
      <c r="B47" s="703">
        <v>8</v>
      </c>
      <c r="C47" s="1242"/>
      <c r="D47" s="964">
        <f>+A47*B47</f>
        <v>8</v>
      </c>
      <c r="E47" s="593" t="s">
        <v>111</v>
      </c>
    </row>
    <row r="48" spans="1:5" x14ac:dyDescent="0.35">
      <c r="A48" s="568"/>
      <c r="B48" s="773"/>
      <c r="C48" s="194"/>
      <c r="D48" s="964">
        <f>+D44+D45+D46+D47</f>
        <v>193</v>
      </c>
      <c r="E48" s="593" t="s">
        <v>1213</v>
      </c>
    </row>
  </sheetData>
  <pageMargins left="0.7" right="0.7" top="0.75" bottom="0.75" header="0.3" footer="0.3"/>
  <pageSetup paperSize="9" scale="76" fitToHeight="0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BC6-2233-41BB-8BAF-FE85D4D10F59}">
  <sheetPr>
    <pageSetUpPr fitToPage="1"/>
  </sheetPr>
  <dimension ref="A1:S180"/>
  <sheetViews>
    <sheetView topLeftCell="A100" zoomScaleNormal="100" workbookViewId="0">
      <selection activeCell="H175" sqref="H175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45931</v>
      </c>
    </row>
    <row r="3" spans="1:18" ht="25.5" customHeight="1" x14ac:dyDescent="0.35">
      <c r="A3" s="1466" t="s">
        <v>1233</v>
      </c>
      <c r="B3" s="1431"/>
      <c r="C3" s="1431"/>
      <c r="D3" s="1431"/>
    </row>
    <row r="4" spans="1:18" s="1246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v>194</v>
      </c>
      <c r="C5" s="227">
        <v>4753</v>
      </c>
      <c r="D5" s="598">
        <f>+B5*C5</f>
        <v>922082</v>
      </c>
      <c r="Q5" s="1246"/>
    </row>
    <row r="6" spans="1:18" ht="18" customHeight="1" x14ac:dyDescent="0.35">
      <c r="A6" s="772" t="s">
        <v>403</v>
      </c>
      <c r="B6" s="258">
        <v>8</v>
      </c>
      <c r="C6" s="227">
        <f>+C5</f>
        <v>4753</v>
      </c>
      <c r="D6" s="598">
        <f>+B6*C6</f>
        <v>38024</v>
      </c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>
        <v>50000</v>
      </c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>
        <v>100000</v>
      </c>
      <c r="F8" s="176"/>
    </row>
    <row r="9" spans="1:18" ht="18" customHeight="1" x14ac:dyDescent="0.35">
      <c r="A9" s="772" t="s">
        <v>467</v>
      </c>
      <c r="B9" s="258">
        <v>5</v>
      </c>
      <c r="C9" s="194">
        <f>+C5*1.5</f>
        <v>7129.5</v>
      </c>
      <c r="D9" s="598">
        <f>+B9*C9</f>
        <v>35647.5</v>
      </c>
      <c r="F9" s="176"/>
    </row>
    <row r="10" spans="1:18" ht="18" customHeight="1" x14ac:dyDescent="0.35">
      <c r="A10" s="772" t="s">
        <v>281</v>
      </c>
      <c r="B10" s="258"/>
      <c r="C10" s="194">
        <f>+C5*2</f>
        <v>9506</v>
      </c>
      <c r="D10" s="598">
        <f>+B10*C10</f>
        <v>0</v>
      </c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>
        <v>250000</v>
      </c>
      <c r="E11" s="1199"/>
      <c r="F11" s="1191"/>
      <c r="R11" s="1193"/>
    </row>
    <row r="12" spans="1:18" s="1192" customFormat="1" ht="18" customHeight="1" x14ac:dyDescent="0.35">
      <c r="A12" s="1149"/>
      <c r="B12" s="1150"/>
      <c r="C12" s="1151"/>
      <c r="D12" s="1152"/>
      <c r="E12" s="1199"/>
      <c r="F12" s="1191"/>
      <c r="R12" s="1193"/>
    </row>
    <row r="13" spans="1:18" ht="18" customHeight="1" x14ac:dyDescent="0.35">
      <c r="A13" s="1470" t="s">
        <v>389</v>
      </c>
      <c r="B13" s="1470"/>
      <c r="C13" s="1470"/>
      <c r="D13" s="599">
        <f>+D5+D6+D7+D8+D9+D10+D11+D12</f>
        <v>1395753.5</v>
      </c>
      <c r="F13" s="248"/>
      <c r="G13" s="248"/>
      <c r="H13" s="248"/>
      <c r="I13" s="248"/>
      <c r="J13" s="248"/>
      <c r="K13" s="248"/>
      <c r="L13" s="248"/>
      <c r="M13" s="248"/>
      <c r="O13" s="1246"/>
    </row>
    <row r="14" spans="1:18" ht="18" customHeight="1" x14ac:dyDescent="0.35">
      <c r="A14" s="800" t="s">
        <v>1235</v>
      </c>
      <c r="B14" s="720"/>
      <c r="C14" s="720"/>
      <c r="D14" s="722">
        <v>-566538</v>
      </c>
      <c r="F14" s="248"/>
      <c r="G14" s="248"/>
      <c r="H14" s="248"/>
      <c r="I14" s="248"/>
      <c r="J14" s="248"/>
      <c r="K14" s="248"/>
      <c r="L14" s="248"/>
      <c r="M14" s="248"/>
      <c r="O14" s="1246"/>
    </row>
    <row r="15" spans="1:18" ht="18" customHeight="1" x14ac:dyDescent="0.35">
      <c r="A15" s="1141" t="s">
        <v>1234</v>
      </c>
      <c r="B15" s="721"/>
      <c r="C15" s="905"/>
      <c r="D15" s="722">
        <v>-553312.80000000005</v>
      </c>
      <c r="F15" s="248"/>
      <c r="G15" s="248"/>
      <c r="H15" s="248"/>
      <c r="I15" s="248"/>
      <c r="J15" s="248"/>
      <c r="K15" s="248"/>
      <c r="L15" s="248"/>
      <c r="M15" s="248"/>
      <c r="O15" s="1246"/>
    </row>
    <row r="16" spans="1:18" ht="18" customHeight="1" x14ac:dyDescent="0.35">
      <c r="A16" s="1433" t="s">
        <v>11</v>
      </c>
      <c r="B16" s="1433"/>
      <c r="C16" s="1433"/>
      <c r="D16" s="603">
        <f>+D13+D14+D15</f>
        <v>275902.69999999995</v>
      </c>
      <c r="F16" s="321"/>
      <c r="G16" s="321"/>
      <c r="H16" s="473"/>
      <c r="I16" s="321"/>
      <c r="J16" s="321"/>
      <c r="Q16" s="1246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246"/>
    </row>
    <row r="18" spans="1:19" s="908" customFormat="1" ht="18" customHeight="1" x14ac:dyDescent="0.35">
      <c r="A18" s="689"/>
      <c r="B18" s="689"/>
      <c r="C18" s="689"/>
      <c r="D18" s="688"/>
      <c r="E18" s="768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1238</v>
      </c>
      <c r="B19" s="1451"/>
      <c r="C19" s="1451"/>
      <c r="D19" s="1452"/>
      <c r="E19" s="796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>
        <v>194</v>
      </c>
      <c r="C21" s="211">
        <v>4547</v>
      </c>
      <c r="D21" s="211">
        <f>+B21*C21</f>
        <v>882118</v>
      </c>
      <c r="J21" s="182"/>
    </row>
    <row r="22" spans="1:19" ht="18" customHeight="1" x14ac:dyDescent="0.35">
      <c r="A22" s="607" t="s">
        <v>394</v>
      </c>
      <c r="B22" s="267">
        <v>8</v>
      </c>
      <c r="C22" s="211">
        <f>+C21</f>
        <v>4547</v>
      </c>
      <c r="D22" s="211">
        <f>+B22*C22</f>
        <v>36376</v>
      </c>
      <c r="J22" s="182"/>
    </row>
    <row r="23" spans="1:19" ht="18" customHeight="1" x14ac:dyDescent="0.35">
      <c r="A23" s="607" t="s">
        <v>1236</v>
      </c>
      <c r="B23" s="267"/>
      <c r="C23" s="211">
        <f>+C21</f>
        <v>4547</v>
      </c>
      <c r="D23" s="211">
        <f>+B23*C23</f>
        <v>0</v>
      </c>
      <c r="J23" s="182"/>
    </row>
    <row r="24" spans="1:19" ht="18" customHeight="1" x14ac:dyDescent="0.35">
      <c r="A24" s="772" t="s">
        <v>196</v>
      </c>
      <c r="B24" s="267"/>
      <c r="C24" s="211">
        <v>50000</v>
      </c>
      <c r="D24" s="211">
        <f>+C24</f>
        <v>50000</v>
      </c>
      <c r="I24" s="1246"/>
    </row>
    <row r="25" spans="1:19" ht="18" customHeight="1" x14ac:dyDescent="0.35">
      <c r="A25" s="772" t="s">
        <v>6</v>
      </c>
      <c r="B25" s="267"/>
      <c r="C25" s="211">
        <v>100000</v>
      </c>
      <c r="D25" s="211">
        <f>+C25</f>
        <v>100000</v>
      </c>
      <c r="I25" s="1246"/>
    </row>
    <row r="26" spans="1:19" ht="18" customHeight="1" x14ac:dyDescent="0.35">
      <c r="A26" s="772" t="s">
        <v>1028</v>
      </c>
      <c r="B26" s="267">
        <v>7.5</v>
      </c>
      <c r="C26" s="211">
        <f>+C21*1.5</f>
        <v>6820.5</v>
      </c>
      <c r="D26" s="211">
        <f>B26*C26</f>
        <v>51153.75</v>
      </c>
      <c r="E26" s="1025"/>
      <c r="F26" s="181"/>
      <c r="G26" s="187"/>
      <c r="H26" s="188"/>
      <c r="I26" s="1246"/>
      <c r="L26" s="1246"/>
    </row>
    <row r="27" spans="1:19" ht="18" customHeight="1" x14ac:dyDescent="0.35">
      <c r="A27" s="772" t="s">
        <v>281</v>
      </c>
      <c r="B27" s="267"/>
      <c r="C27" s="211">
        <f>+C21*2</f>
        <v>9094</v>
      </c>
      <c r="D27" s="211">
        <f>+B27*C27</f>
        <v>0</v>
      </c>
      <c r="E27" s="1025"/>
      <c r="F27" s="181"/>
      <c r="G27" s="187"/>
      <c r="H27" s="188"/>
      <c r="I27" s="1246"/>
      <c r="L27" s="1246"/>
    </row>
    <row r="28" spans="1:19" s="1192" customFormat="1" ht="18" customHeight="1" x14ac:dyDescent="0.35">
      <c r="A28" s="1149" t="s">
        <v>1040</v>
      </c>
      <c r="B28" s="1196"/>
      <c r="C28" s="1197"/>
      <c r="D28" s="1197">
        <v>250000</v>
      </c>
      <c r="E28" s="1233"/>
      <c r="F28" s="1198"/>
      <c r="G28" s="1195"/>
      <c r="H28" s="1195"/>
      <c r="I28" s="1193"/>
      <c r="L28" s="1193"/>
    </row>
    <row r="29" spans="1:19" s="1192" customFormat="1" ht="18" customHeight="1" x14ac:dyDescent="0.35">
      <c r="A29" s="1149"/>
      <c r="B29" s="1196"/>
      <c r="C29" s="1197"/>
      <c r="D29" s="1197"/>
      <c r="E29" s="1233"/>
      <c r="F29" s="1198"/>
      <c r="G29" s="1195"/>
      <c r="H29" s="1195"/>
      <c r="I29" s="1193"/>
      <c r="L29" s="1193"/>
    </row>
    <row r="30" spans="1:19" s="1246" customFormat="1" ht="18" customHeight="1" x14ac:dyDescent="0.35">
      <c r="A30" s="1459" t="s">
        <v>389</v>
      </c>
      <c r="B30" s="1459"/>
      <c r="C30" s="1459"/>
      <c r="D30" s="599">
        <f>+D21+D22+D23+D24+D25+D26+D27+D28+D29</f>
        <v>1369647.75</v>
      </c>
      <c r="E30" s="553"/>
      <c r="F30" s="181"/>
      <c r="G30" s="181"/>
      <c r="H30" s="184"/>
      <c r="I30" s="771"/>
      <c r="K30" s="771"/>
      <c r="L30" s="771"/>
    </row>
    <row r="31" spans="1:19" s="1246" customFormat="1" ht="18" customHeight="1" x14ac:dyDescent="0.35">
      <c r="A31" s="825" t="s">
        <v>1237</v>
      </c>
      <c r="B31" s="824"/>
      <c r="C31" s="823"/>
      <c r="D31" s="930">
        <v>-300000</v>
      </c>
      <c r="E31" s="553"/>
      <c r="F31" s="181"/>
      <c r="G31" s="181"/>
      <c r="H31" s="184"/>
      <c r="I31" s="771"/>
      <c r="K31" s="771"/>
      <c r="L31" s="771"/>
    </row>
    <row r="32" spans="1:19" ht="18" customHeight="1" x14ac:dyDescent="0.35">
      <c r="A32" s="786" t="s">
        <v>11</v>
      </c>
      <c r="B32" s="783"/>
      <c r="C32" s="783"/>
      <c r="D32" s="784">
        <f>+D30+D31</f>
        <v>1069647.75</v>
      </c>
      <c r="F32" s="181"/>
      <c r="G32" s="181"/>
      <c r="H32" s="184"/>
    </row>
    <row r="33" spans="1:19" ht="18" customHeight="1" x14ac:dyDescent="0.35">
      <c r="A33" s="1047"/>
      <c r="B33" s="594"/>
      <c r="C33" s="594"/>
      <c r="D33" s="595"/>
      <c r="F33" s="181"/>
      <c r="G33" s="181"/>
      <c r="H33" s="184"/>
    </row>
    <row r="34" spans="1:19" ht="18" customHeight="1" x14ac:dyDescent="0.35">
      <c r="A34" s="594"/>
      <c r="B34" s="594"/>
      <c r="C34" s="594"/>
      <c r="D34" s="595"/>
      <c r="F34" s="181"/>
      <c r="G34" s="181"/>
      <c r="H34" s="184"/>
    </row>
    <row r="35" spans="1:19" ht="18" customHeight="1" x14ac:dyDescent="0.35">
      <c r="A35" s="1431" t="s">
        <v>1239</v>
      </c>
      <c r="B35" s="1431"/>
      <c r="C35" s="1431"/>
      <c r="D35" s="1431"/>
      <c r="F35" s="181"/>
      <c r="G35" s="181"/>
      <c r="H35" s="184"/>
    </row>
    <row r="36" spans="1:19" ht="18" customHeight="1" x14ac:dyDescent="0.35">
      <c r="A36" s="2"/>
      <c r="B36" s="270" t="s">
        <v>8</v>
      </c>
      <c r="C36" s="217" t="s">
        <v>4</v>
      </c>
      <c r="D36" s="597" t="s">
        <v>9</v>
      </c>
      <c r="F36" s="181"/>
      <c r="G36" s="181"/>
      <c r="H36" s="184"/>
    </row>
    <row r="37" spans="1:19" ht="18" customHeight="1" x14ac:dyDescent="0.35">
      <c r="A37" s="772" t="s">
        <v>253</v>
      </c>
      <c r="B37" s="258">
        <v>194</v>
      </c>
      <c r="C37" s="194">
        <v>5967</v>
      </c>
      <c r="D37" s="598">
        <f>+B37*C37</f>
        <v>1157598</v>
      </c>
      <c r="F37" s="181"/>
      <c r="G37" s="181"/>
      <c r="H37" s="184"/>
    </row>
    <row r="38" spans="1:19" ht="18" customHeight="1" x14ac:dyDescent="0.35">
      <c r="A38" s="772" t="s">
        <v>394</v>
      </c>
      <c r="B38" s="258">
        <v>8</v>
      </c>
      <c r="C38" s="194">
        <f>+C37</f>
        <v>5967</v>
      </c>
      <c r="D38" s="598">
        <f>+B38*C38</f>
        <v>47736</v>
      </c>
      <c r="F38" s="181"/>
      <c r="G38" s="181"/>
      <c r="H38" s="184"/>
    </row>
    <row r="39" spans="1:19" ht="15" customHeight="1" x14ac:dyDescent="0.35">
      <c r="A39" s="772" t="s">
        <v>196</v>
      </c>
      <c r="B39" s="258"/>
      <c r="C39" s="194">
        <v>50000</v>
      </c>
      <c r="D39" s="598">
        <f>+C39</f>
        <v>50000</v>
      </c>
      <c r="F39" s="181"/>
      <c r="G39" s="181"/>
      <c r="H39" s="184"/>
      <c r="I39" s="1246"/>
    </row>
    <row r="40" spans="1:19" ht="15" customHeight="1" x14ac:dyDescent="0.35">
      <c r="A40" s="772" t="s">
        <v>6</v>
      </c>
      <c r="B40" s="258"/>
      <c r="C40" s="194">
        <v>100000</v>
      </c>
      <c r="D40" s="598">
        <f>+C40</f>
        <v>100000</v>
      </c>
      <c r="F40" s="181"/>
      <c r="G40" s="181"/>
      <c r="H40" s="184"/>
      <c r="I40" s="1246"/>
    </row>
    <row r="41" spans="1:19" ht="15" customHeight="1" x14ac:dyDescent="0.35">
      <c r="A41" s="772" t="s">
        <v>1029</v>
      </c>
      <c r="B41" s="315">
        <v>4</v>
      </c>
      <c r="C41" s="194">
        <f>+C37*1.5</f>
        <v>8950.5</v>
      </c>
      <c r="D41" s="598">
        <f>+B41*C41</f>
        <v>35802</v>
      </c>
      <c r="F41" s="181"/>
      <c r="G41" s="181"/>
      <c r="H41" s="184"/>
      <c r="I41" s="1246"/>
    </row>
    <row r="42" spans="1:19" ht="15" customHeight="1" x14ac:dyDescent="0.35">
      <c r="A42" s="772" t="s">
        <v>449</v>
      </c>
      <c r="B42" s="315"/>
      <c r="C42" s="194">
        <f>+C37*2</f>
        <v>11934</v>
      </c>
      <c r="D42" s="598">
        <f>+B42*C42</f>
        <v>0</v>
      </c>
      <c r="F42" s="181"/>
      <c r="G42" s="416"/>
      <c r="H42" s="184"/>
      <c r="I42" s="1246"/>
    </row>
    <row r="43" spans="1:19" s="1192" customFormat="1" ht="15" customHeight="1" x14ac:dyDescent="0.35">
      <c r="A43" s="1149" t="s">
        <v>1040</v>
      </c>
      <c r="B43" s="1232"/>
      <c r="C43" s="1151"/>
      <c r="D43" s="1152">
        <v>250000</v>
      </c>
      <c r="E43" s="1199"/>
      <c r="F43" s="1198"/>
      <c r="G43" s="1203"/>
      <c r="H43" s="1198"/>
      <c r="I43" s="1193"/>
    </row>
    <row r="44" spans="1:19" s="1192" customFormat="1" ht="15" customHeight="1" x14ac:dyDescent="0.35">
      <c r="A44" s="1149"/>
      <c r="B44" s="1232"/>
      <c r="C44" s="1151"/>
      <c r="D44" s="1152"/>
      <c r="E44" s="1199"/>
      <c r="F44" s="1198"/>
      <c r="G44" s="1203"/>
      <c r="H44" s="1198"/>
      <c r="I44" s="1193"/>
    </row>
    <row r="45" spans="1:19" ht="15" customHeight="1" x14ac:dyDescent="0.35">
      <c r="A45" s="1459" t="s">
        <v>389</v>
      </c>
      <c r="B45" s="1459"/>
      <c r="C45" s="1459"/>
      <c r="D45" s="599">
        <f>+D37+D38+D39+D40+D41+D42+D43+D44</f>
        <v>1641136</v>
      </c>
      <c r="J45" s="176"/>
      <c r="K45" s="176"/>
      <c r="L45" s="176"/>
      <c r="M45" s="181"/>
      <c r="N45" s="181"/>
      <c r="O45" s="184"/>
      <c r="Q45" s="1246"/>
    </row>
    <row r="46" spans="1:19" s="1246" customFormat="1" ht="15" customHeight="1" x14ac:dyDescent="0.35">
      <c r="A46" s="921" t="str">
        <f t="shared" ref="A46:A47" si="0">A14</f>
        <v>DEPOSITO P/BCO. (1er.QUINC/10/25)</v>
      </c>
      <c r="B46" s="727" t="s">
        <v>63</v>
      </c>
      <c r="C46" s="727" t="s">
        <v>63</v>
      </c>
      <c r="D46" s="722">
        <v>-566538</v>
      </c>
      <c r="E46" s="1025"/>
      <c r="F46" s="774"/>
      <c r="G46" s="771"/>
      <c r="H46" s="771"/>
      <c r="I46" s="771"/>
      <c r="J46" s="176"/>
      <c r="K46" s="176"/>
      <c r="L46" s="176"/>
      <c r="M46" s="176"/>
      <c r="N46" s="176"/>
      <c r="O46" s="176"/>
      <c r="P46" s="771"/>
      <c r="Q46" s="771"/>
      <c r="R46" s="771"/>
      <c r="S46" s="771"/>
    </row>
    <row r="47" spans="1:19" s="1246" customFormat="1" ht="15" customHeight="1" x14ac:dyDescent="0.35">
      <c r="A47" s="921" t="str">
        <f t="shared" si="0"/>
        <v>DEPOSITO P/BCO. (2da.QUINC/10/25)</v>
      </c>
      <c r="B47" s="727"/>
      <c r="C47" s="727"/>
      <c r="D47" s="722">
        <v>-553312.80000000005</v>
      </c>
      <c r="E47" s="1025"/>
      <c r="F47" s="774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s="1246" customFormat="1" ht="15" customHeight="1" x14ac:dyDescent="0.35">
      <c r="A48" s="1103" t="s">
        <v>11</v>
      </c>
      <c r="B48" s="1104"/>
      <c r="C48" s="1231"/>
      <c r="D48" s="675">
        <f>+D45+D46+D47</f>
        <v>521285.19999999995</v>
      </c>
      <c r="E48" s="1025"/>
      <c r="F48" s="771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246" customFormat="1" ht="15" customHeight="1" x14ac:dyDescent="0.35">
      <c r="A49" s="1224" t="s">
        <v>1149</v>
      </c>
      <c r="B49" s="1225"/>
      <c r="C49" s="1226"/>
      <c r="D49" s="844">
        <v>250000</v>
      </c>
      <c r="E49" s="1025"/>
      <c r="F49" s="771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ht="15" customHeight="1" x14ac:dyDescent="0.35">
      <c r="A50" s="1229" t="s">
        <v>1254</v>
      </c>
      <c r="B50" s="1229"/>
      <c r="C50" s="1229"/>
      <c r="D50" s="1230">
        <f>+D48+D49</f>
        <v>771285.2</v>
      </c>
      <c r="K50" s="183"/>
      <c r="L50" s="183"/>
      <c r="M50" s="176"/>
      <c r="N50" s="176"/>
      <c r="O50" s="176"/>
      <c r="Q50" s="1246"/>
    </row>
    <row r="51" spans="1:19" ht="15" customHeight="1" x14ac:dyDescent="0.35">
      <c r="A51" s="1247"/>
      <c r="B51" s="1248"/>
      <c r="C51" s="1248"/>
      <c r="D51" s="1249"/>
      <c r="K51" s="183"/>
      <c r="L51" s="183"/>
      <c r="M51" s="176"/>
      <c r="N51" s="176"/>
      <c r="O51" s="176"/>
      <c r="Q51" s="1246"/>
    </row>
    <row r="52" spans="1:19" s="4" customFormat="1" ht="15" customHeight="1" x14ac:dyDescent="0.35">
      <c r="A52" s="95"/>
      <c r="E52" s="1250"/>
      <c r="K52" s="183"/>
      <c r="L52" s="183"/>
      <c r="M52" s="176"/>
      <c r="N52" s="176"/>
      <c r="O52" s="176"/>
      <c r="Q52" s="1251"/>
    </row>
    <row r="53" spans="1:19" ht="15" customHeight="1" x14ac:dyDescent="0.35">
      <c r="A53" s="1431" t="s">
        <v>1240</v>
      </c>
      <c r="B53" s="1431"/>
      <c r="C53" s="1431"/>
      <c r="D53" s="1431"/>
      <c r="S53" s="1246"/>
    </row>
    <row r="54" spans="1:19" x14ac:dyDescent="0.35">
      <c r="A54" s="2" t="s">
        <v>7</v>
      </c>
      <c r="B54" s="270" t="s">
        <v>8</v>
      </c>
      <c r="C54" s="217" t="s">
        <v>4</v>
      </c>
      <c r="D54" s="597" t="s">
        <v>9</v>
      </c>
    </row>
    <row r="55" spans="1:19" x14ac:dyDescent="0.35">
      <c r="A55" s="772" t="s">
        <v>253</v>
      </c>
      <c r="B55" s="258">
        <v>194</v>
      </c>
      <c r="C55" s="227">
        <v>3927</v>
      </c>
      <c r="D55" s="598">
        <f>+B55*C55</f>
        <v>761838</v>
      </c>
    </row>
    <row r="56" spans="1:19" x14ac:dyDescent="0.35">
      <c r="A56" s="772" t="s">
        <v>394</v>
      </c>
      <c r="B56" s="258">
        <v>8</v>
      </c>
      <c r="C56" s="227">
        <f>+C55</f>
        <v>3927</v>
      </c>
      <c r="D56" s="598">
        <f>+B56*C56</f>
        <v>31416</v>
      </c>
    </row>
    <row r="57" spans="1:19" x14ac:dyDescent="0.35">
      <c r="A57" s="772" t="s">
        <v>266</v>
      </c>
      <c r="B57" s="258"/>
      <c r="C57" s="227">
        <v>50000</v>
      </c>
      <c r="D57" s="598">
        <f>+C57</f>
        <v>50000</v>
      </c>
    </row>
    <row r="58" spans="1:19" x14ac:dyDescent="0.35">
      <c r="A58" s="772" t="s">
        <v>6</v>
      </c>
      <c r="B58" s="258"/>
      <c r="C58" s="227">
        <v>100000</v>
      </c>
      <c r="D58" s="598">
        <f>+C58</f>
        <v>100000</v>
      </c>
    </row>
    <row r="59" spans="1:19" x14ac:dyDescent="0.35">
      <c r="A59" s="772" t="s">
        <v>1030</v>
      </c>
      <c r="B59" s="258">
        <v>5</v>
      </c>
      <c r="C59" s="194">
        <f>+C55*1.5</f>
        <v>5890.5</v>
      </c>
      <c r="D59" s="598">
        <f>+B59*C59</f>
        <v>29452.5</v>
      </c>
    </row>
    <row r="60" spans="1:19" x14ac:dyDescent="0.35">
      <c r="A60" s="772" t="s">
        <v>449</v>
      </c>
      <c r="B60" s="258"/>
      <c r="C60" s="194">
        <f>+C55*2</f>
        <v>7854</v>
      </c>
      <c r="D60" s="598">
        <f>+B60*C60</f>
        <v>0</v>
      </c>
    </row>
    <row r="61" spans="1:19" s="1192" customFormat="1" x14ac:dyDescent="0.35">
      <c r="A61" s="1149" t="s">
        <v>823</v>
      </c>
      <c r="B61" s="1150"/>
      <c r="C61" s="1151"/>
      <c r="D61" s="1152">
        <v>150000</v>
      </c>
      <c r="E61" s="1199"/>
    </row>
    <row r="62" spans="1:19" s="1192" customFormat="1" x14ac:dyDescent="0.35">
      <c r="A62" s="1149"/>
      <c r="B62" s="1150"/>
      <c r="C62" s="1151"/>
      <c r="D62" s="1152"/>
      <c r="E62" s="1199"/>
    </row>
    <row r="63" spans="1:19" x14ac:dyDescent="0.35">
      <c r="A63" s="1459" t="s">
        <v>389</v>
      </c>
      <c r="B63" s="1459"/>
      <c r="C63" s="1459"/>
      <c r="D63" s="599">
        <f>+D55+D56+D57+D58+D59+D60+D61+D62</f>
        <v>1122706.5</v>
      </c>
      <c r="F63" s="774"/>
    </row>
    <row r="64" spans="1:19" x14ac:dyDescent="0.35">
      <c r="A64" s="904" t="s">
        <v>19</v>
      </c>
      <c r="B64" s="922"/>
      <c r="C64" s="720"/>
      <c r="D64" s="722"/>
    </row>
    <row r="65" spans="1:6" x14ac:dyDescent="0.35">
      <c r="A65" s="129" t="s">
        <v>11</v>
      </c>
      <c r="B65" s="1103"/>
      <c r="C65" s="197"/>
      <c r="D65" s="675">
        <f>+D63+D64</f>
        <v>1122706.5</v>
      </c>
    </row>
    <row r="66" spans="1:6" x14ac:dyDescent="0.35">
      <c r="B66" s="771"/>
      <c r="C66" s="771"/>
      <c r="D66" s="771"/>
    </row>
    <row r="68" spans="1:6" ht="14.5" customHeight="1" x14ac:dyDescent="0.35">
      <c r="A68" s="1431" t="s">
        <v>1241</v>
      </c>
      <c r="B68" s="1431"/>
      <c r="C68" s="1431"/>
      <c r="D68" s="1431"/>
    </row>
    <row r="69" spans="1:6" ht="14.5" customHeight="1" x14ac:dyDescent="0.35">
      <c r="A69" s="2" t="s">
        <v>7</v>
      </c>
      <c r="B69" s="270" t="s">
        <v>8</v>
      </c>
      <c r="C69" s="217" t="s">
        <v>4</v>
      </c>
      <c r="D69" s="597" t="s">
        <v>63</v>
      </c>
    </row>
    <row r="70" spans="1:6" ht="14.5" customHeight="1" x14ac:dyDescent="0.35">
      <c r="A70" s="772" t="s">
        <v>3</v>
      </c>
      <c r="B70" s="258">
        <v>194</v>
      </c>
      <c r="C70" s="227">
        <v>3636</v>
      </c>
      <c r="D70" s="598">
        <f>+B70*C70</f>
        <v>705384</v>
      </c>
    </row>
    <row r="71" spans="1:6" ht="14.5" customHeight="1" x14ac:dyDescent="0.35">
      <c r="A71" s="772" t="s">
        <v>394</v>
      </c>
      <c r="B71" s="258">
        <v>8</v>
      </c>
      <c r="C71" s="227">
        <f>+C70</f>
        <v>3636</v>
      </c>
      <c r="D71" s="598">
        <f>+B71*C71</f>
        <v>29088</v>
      </c>
    </row>
    <row r="72" spans="1:6" x14ac:dyDescent="0.35">
      <c r="A72" s="772" t="s">
        <v>266</v>
      </c>
      <c r="B72" s="258"/>
      <c r="C72" s="227">
        <v>50000</v>
      </c>
      <c r="D72" s="598">
        <f>+C72</f>
        <v>50000</v>
      </c>
    </row>
    <row r="73" spans="1:6" x14ac:dyDescent="0.35">
      <c r="A73" s="772" t="s">
        <v>6</v>
      </c>
      <c r="B73" s="258"/>
      <c r="C73" s="227">
        <v>100000</v>
      </c>
      <c r="D73" s="598">
        <v>100000</v>
      </c>
    </row>
    <row r="74" spans="1:6" s="1069" customFormat="1" x14ac:dyDescent="0.35">
      <c r="A74" s="614" t="s">
        <v>270</v>
      </c>
      <c r="B74" s="617">
        <v>8</v>
      </c>
      <c r="C74" s="227">
        <f>+C70*1.5</f>
        <v>5454</v>
      </c>
      <c r="D74" s="598">
        <f>+B74*C74</f>
        <v>43632</v>
      </c>
      <c r="E74" s="553"/>
    </row>
    <row r="75" spans="1:6" x14ac:dyDescent="0.35">
      <c r="A75" s="772" t="s">
        <v>281</v>
      </c>
      <c r="B75" s="258"/>
      <c r="C75" s="227">
        <f>+C70*2</f>
        <v>7272</v>
      </c>
      <c r="D75" s="598">
        <f>+B75*C75</f>
        <v>0</v>
      </c>
    </row>
    <row r="76" spans="1:6" s="1192" customFormat="1" x14ac:dyDescent="0.35">
      <c r="A76" s="1149" t="s">
        <v>1040</v>
      </c>
      <c r="B76" s="1150"/>
      <c r="C76" s="1151"/>
      <c r="D76" s="1152">
        <v>130000</v>
      </c>
      <c r="E76" s="1199"/>
    </row>
    <row r="77" spans="1:6" s="1192" customFormat="1" x14ac:dyDescent="0.35">
      <c r="A77" s="1149"/>
      <c r="B77" s="1150"/>
      <c r="C77" s="1151"/>
      <c r="D77" s="1152"/>
      <c r="E77" s="1199"/>
    </row>
    <row r="78" spans="1:6" x14ac:dyDescent="0.35">
      <c r="A78" s="1459" t="s">
        <v>389</v>
      </c>
      <c r="B78" s="1459"/>
      <c r="C78" s="1459"/>
      <c r="D78" s="599">
        <f>+D70+D71+D72+D73+D74+D75+D76+D77</f>
        <v>1058104</v>
      </c>
      <c r="F78" s="774"/>
    </row>
    <row r="79" spans="1:6" x14ac:dyDescent="0.35">
      <c r="A79" s="723" t="s">
        <v>1242</v>
      </c>
      <c r="B79" s="721"/>
      <c r="C79" s="721"/>
      <c r="D79" s="722">
        <v>-600000</v>
      </c>
    </row>
    <row r="80" spans="1:6" ht="15.5" x14ac:dyDescent="0.35">
      <c r="A80" s="1471" t="s">
        <v>11</v>
      </c>
      <c r="B80" s="1471"/>
      <c r="C80" s="1471"/>
      <c r="D80" s="603">
        <f>+D78+D79</f>
        <v>458104</v>
      </c>
    </row>
    <row r="81" spans="1:6" s="90" customFormat="1" x14ac:dyDescent="0.35">
      <c r="A81" s="1035"/>
      <c r="B81" s="1042"/>
      <c r="C81" s="553"/>
      <c r="D81" s="1051"/>
      <c r="E81" s="553"/>
    </row>
    <row r="83" spans="1:6" ht="23.5" x14ac:dyDescent="0.35">
      <c r="A83" s="1431" t="s">
        <v>1243</v>
      </c>
      <c r="B83" s="1431"/>
      <c r="C83" s="1431"/>
      <c r="D83" s="1431"/>
    </row>
    <row r="84" spans="1:6" x14ac:dyDescent="0.35">
      <c r="A84" s="2" t="s">
        <v>7</v>
      </c>
      <c r="B84" s="270" t="s">
        <v>388</v>
      </c>
      <c r="C84" s="217" t="s">
        <v>272</v>
      </c>
      <c r="D84" s="597" t="s">
        <v>9</v>
      </c>
    </row>
    <row r="85" spans="1:6" x14ac:dyDescent="0.35">
      <c r="A85" s="772" t="s">
        <v>3</v>
      </c>
      <c r="B85" s="258">
        <f>194-8</f>
        <v>186</v>
      </c>
      <c r="C85" s="227">
        <v>3613</v>
      </c>
      <c r="D85" s="598">
        <f>+B85*C85</f>
        <v>672018</v>
      </c>
    </row>
    <row r="86" spans="1:6" x14ac:dyDescent="0.35">
      <c r="A86" s="772" t="s">
        <v>394</v>
      </c>
      <c r="B86" s="258">
        <v>8</v>
      </c>
      <c r="C86" s="227">
        <f>+C85</f>
        <v>3613</v>
      </c>
      <c r="D86" s="598">
        <f>+B86*C86</f>
        <v>28904</v>
      </c>
    </row>
    <row r="87" spans="1:6" x14ac:dyDescent="0.35">
      <c r="A87" s="772" t="s">
        <v>1244</v>
      </c>
      <c r="B87" s="258">
        <v>8</v>
      </c>
      <c r="C87" s="227">
        <f>+C85</f>
        <v>3613</v>
      </c>
      <c r="D87" s="598">
        <f>+B87*C87</f>
        <v>28904</v>
      </c>
    </row>
    <row r="88" spans="1:6" x14ac:dyDescent="0.35">
      <c r="A88" s="772" t="s">
        <v>6</v>
      </c>
      <c r="B88" s="258"/>
      <c r="C88" s="227">
        <v>80000</v>
      </c>
      <c r="D88" s="598">
        <f>+C88</f>
        <v>80000</v>
      </c>
    </row>
    <row r="89" spans="1:6" x14ac:dyDescent="0.35">
      <c r="A89" s="772" t="s">
        <v>200</v>
      </c>
      <c r="B89" s="258"/>
      <c r="C89" s="227">
        <v>50000</v>
      </c>
      <c r="D89" s="598">
        <f>+C89</f>
        <v>50000</v>
      </c>
    </row>
    <row r="90" spans="1:6" x14ac:dyDescent="0.35">
      <c r="A90" s="772" t="s">
        <v>1032</v>
      </c>
      <c r="B90" s="258">
        <v>5</v>
      </c>
      <c r="C90" s="227">
        <f>+C85*1.5</f>
        <v>5419.5</v>
      </c>
      <c r="D90" s="811">
        <f>+B90*C90</f>
        <v>27097.5</v>
      </c>
    </row>
    <row r="91" spans="1:6" x14ac:dyDescent="0.35">
      <c r="A91" s="772" t="s">
        <v>757</v>
      </c>
      <c r="B91" s="258"/>
      <c r="C91" s="227">
        <f>+C85*2</f>
        <v>7226</v>
      </c>
      <c r="D91" s="598">
        <f>+B91*C91</f>
        <v>0</v>
      </c>
    </row>
    <row r="92" spans="1:6" s="1192" customFormat="1" x14ac:dyDescent="0.35">
      <c r="A92" s="1149" t="s">
        <v>1033</v>
      </c>
      <c r="B92" s="1150"/>
      <c r="C92" s="1151"/>
      <c r="D92" s="1152">
        <v>300000</v>
      </c>
      <c r="E92" s="1199"/>
    </row>
    <row r="93" spans="1:6" s="1192" customFormat="1" x14ac:dyDescent="0.35">
      <c r="A93" s="1149"/>
      <c r="B93" s="1150"/>
      <c r="C93" s="1151"/>
      <c r="D93" s="1152"/>
      <c r="E93" s="1199"/>
    </row>
    <row r="94" spans="1:6" x14ac:dyDescent="0.35">
      <c r="A94" s="1036" t="s">
        <v>389</v>
      </c>
      <c r="B94" s="681"/>
      <c r="C94" s="1037"/>
      <c r="D94" s="1038">
        <f>+D85+D86+D87+D88+D89+D90+D91+D92+D93</f>
        <v>1186923.5</v>
      </c>
    </row>
    <row r="95" spans="1:6" x14ac:dyDescent="0.35">
      <c r="A95" s="772" t="s">
        <v>1237</v>
      </c>
      <c r="B95" s="258"/>
      <c r="C95" s="227"/>
      <c r="D95" s="731">
        <v>-300000</v>
      </c>
      <c r="F95" s="774"/>
    </row>
    <row r="96" spans="1:6" x14ac:dyDescent="0.35">
      <c r="A96" s="772"/>
      <c r="B96" s="258"/>
      <c r="C96" s="227"/>
      <c r="D96" s="731"/>
    </row>
    <row r="97" spans="1:5" ht="15.5" x14ac:dyDescent="0.35">
      <c r="A97" s="1471" t="s">
        <v>11</v>
      </c>
      <c r="B97" s="1471"/>
      <c r="C97" s="1471"/>
      <c r="D97" s="603">
        <f>+D94+D95+D96</f>
        <v>886923.5</v>
      </c>
    </row>
    <row r="98" spans="1:5" ht="15.5" x14ac:dyDescent="0.35">
      <c r="A98" s="723" t="s">
        <v>631</v>
      </c>
      <c r="B98" s="723"/>
      <c r="C98" s="723"/>
      <c r="D98" s="832">
        <v>-190000</v>
      </c>
    </row>
    <row r="99" spans="1:5" ht="15.5" x14ac:dyDescent="0.35">
      <c r="A99" s="611" t="s">
        <v>1010</v>
      </c>
      <c r="B99" s="611"/>
      <c r="C99" s="611"/>
      <c r="D99" s="603">
        <f>+D97+D98</f>
        <v>696923.5</v>
      </c>
    </row>
    <row r="100" spans="1:5" s="90" customFormat="1" x14ac:dyDescent="0.35">
      <c r="B100" s="1042"/>
      <c r="C100" s="553"/>
      <c r="D100" s="1051" t="s">
        <v>63</v>
      </c>
      <c r="E100" s="553"/>
    </row>
    <row r="102" spans="1:5" ht="23.5" x14ac:dyDescent="0.35">
      <c r="A102" s="1431" t="s">
        <v>1245</v>
      </c>
      <c r="B102" s="1431"/>
      <c r="C102" s="1431"/>
      <c r="D102" s="1431"/>
    </row>
    <row r="103" spans="1:5" x14ac:dyDescent="0.35">
      <c r="A103" s="2" t="s">
        <v>7</v>
      </c>
      <c r="B103" s="270" t="s">
        <v>8</v>
      </c>
      <c r="C103" s="217" t="s">
        <v>4</v>
      </c>
      <c r="D103" s="597" t="s">
        <v>9</v>
      </c>
    </row>
    <row r="104" spans="1:5" x14ac:dyDescent="0.35">
      <c r="A104" s="772" t="s">
        <v>3</v>
      </c>
      <c r="B104" s="258">
        <v>194</v>
      </c>
      <c r="C104" s="227">
        <v>3636</v>
      </c>
      <c r="D104" s="598">
        <f>+B104*C104</f>
        <v>705384</v>
      </c>
    </row>
    <row r="105" spans="1:5" x14ac:dyDescent="0.35">
      <c r="A105" s="772" t="s">
        <v>403</v>
      </c>
      <c r="B105" s="258">
        <v>8</v>
      </c>
      <c r="C105" s="227">
        <f>+C104</f>
        <v>3636</v>
      </c>
      <c r="D105" s="598">
        <f>+B105*C105</f>
        <v>29088</v>
      </c>
    </row>
    <row r="106" spans="1:5" x14ac:dyDescent="0.35">
      <c r="A106" s="772" t="s">
        <v>200</v>
      </c>
      <c r="B106" s="258"/>
      <c r="C106" s="227">
        <v>50000</v>
      </c>
      <c r="D106" s="598">
        <v>50000</v>
      </c>
    </row>
    <row r="107" spans="1:5" x14ac:dyDescent="0.35">
      <c r="A107" s="772" t="s">
        <v>6</v>
      </c>
      <c r="B107" s="258"/>
      <c r="C107" s="194">
        <v>100000</v>
      </c>
      <c r="D107" s="598">
        <f>+C107</f>
        <v>100000</v>
      </c>
    </row>
    <row r="108" spans="1:5" x14ac:dyDescent="0.35">
      <c r="A108" s="772" t="s">
        <v>1032</v>
      </c>
      <c r="B108" s="258">
        <v>7</v>
      </c>
      <c r="C108" s="194">
        <f>+C104*1.5</f>
        <v>5454</v>
      </c>
      <c r="D108" s="598">
        <f>+B108*C108</f>
        <v>38178</v>
      </c>
    </row>
    <row r="109" spans="1:5" x14ac:dyDescent="0.35">
      <c r="A109" s="772" t="s">
        <v>281</v>
      </c>
      <c r="B109" s="258"/>
      <c r="C109" s="194">
        <f>+C104*2</f>
        <v>7272</v>
      </c>
      <c r="D109" s="598">
        <f>+B109*C109</f>
        <v>0</v>
      </c>
    </row>
    <row r="110" spans="1:5" s="90" customFormat="1" x14ac:dyDescent="0.35">
      <c r="A110" s="141" t="s">
        <v>1033</v>
      </c>
      <c r="B110" s="274"/>
      <c r="C110" s="195"/>
      <c r="D110" s="1017">
        <v>130000</v>
      </c>
      <c r="E110" s="553"/>
    </row>
    <row r="111" spans="1:5" s="90" customFormat="1" x14ac:dyDescent="0.35">
      <c r="A111" s="1145"/>
      <c r="B111" s="1146"/>
      <c r="C111" s="1147"/>
      <c r="D111" s="1017"/>
      <c r="E111" s="553"/>
    </row>
    <row r="112" spans="1:5" x14ac:dyDescent="0.35">
      <c r="A112" s="1463" t="s">
        <v>389</v>
      </c>
      <c r="B112" s="1464"/>
      <c r="C112" s="1465"/>
      <c r="D112" s="599">
        <f>+D104+D105+D106+D107+D108+D109+D110+D111</f>
        <v>1052650</v>
      </c>
    </row>
    <row r="113" spans="1:5" x14ac:dyDescent="0.35">
      <c r="A113" s="724" t="s">
        <v>374</v>
      </c>
      <c r="B113" s="729"/>
      <c r="C113" s="730"/>
      <c r="D113" s="731">
        <v>-250000</v>
      </c>
    </row>
    <row r="114" spans="1:5" x14ac:dyDescent="0.35">
      <c r="A114" s="724"/>
      <c r="B114" s="729"/>
      <c r="C114" s="730"/>
      <c r="D114" s="731"/>
    </row>
    <row r="115" spans="1:5" s="997" customFormat="1" ht="15.5" x14ac:dyDescent="0.35">
      <c r="A115" s="992" t="s">
        <v>11</v>
      </c>
      <c r="B115" s="1181"/>
      <c r="C115" s="994"/>
      <c r="D115" s="995">
        <f>+D112+D113+D114</f>
        <v>802650</v>
      </c>
      <c r="E115" s="1026"/>
    </row>
    <row r="116" spans="1:5" s="90" customFormat="1" x14ac:dyDescent="0.35">
      <c r="B116" s="1042"/>
      <c r="C116" s="553"/>
      <c r="D116" s="1051"/>
      <c r="E116" s="553"/>
    </row>
    <row r="118" spans="1:5" ht="23.5" x14ac:dyDescent="0.35">
      <c r="A118" s="1431" t="s">
        <v>1246</v>
      </c>
      <c r="B118" s="1431"/>
      <c r="C118" s="1431"/>
      <c r="D118" s="1431"/>
    </row>
    <row r="119" spans="1:5" x14ac:dyDescent="0.35">
      <c r="A119" s="2" t="s">
        <v>7</v>
      </c>
      <c r="B119" s="270" t="s">
        <v>388</v>
      </c>
      <c r="C119" s="217" t="s">
        <v>629</v>
      </c>
      <c r="D119" s="597" t="s">
        <v>9</v>
      </c>
    </row>
    <row r="120" spans="1:5" x14ac:dyDescent="0.35">
      <c r="A120" s="772" t="s">
        <v>3</v>
      </c>
      <c r="B120" s="258">
        <v>194</v>
      </c>
      <c r="C120" s="194">
        <v>5331</v>
      </c>
      <c r="D120" s="598">
        <f>+B120*C120</f>
        <v>1034214</v>
      </c>
    </row>
    <row r="121" spans="1:5" x14ac:dyDescent="0.35">
      <c r="A121" s="772" t="s">
        <v>394</v>
      </c>
      <c r="B121" s="258">
        <v>8</v>
      </c>
      <c r="C121" s="194">
        <f>+C120</f>
        <v>5331</v>
      </c>
      <c r="D121" s="609">
        <f>+B121*C121</f>
        <v>42648</v>
      </c>
    </row>
    <row r="122" spans="1:5" x14ac:dyDescent="0.35">
      <c r="A122" s="772" t="s">
        <v>556</v>
      </c>
      <c r="B122" s="258"/>
      <c r="C122" s="194">
        <v>50000</v>
      </c>
      <c r="D122" s="609">
        <f>+C122</f>
        <v>50000</v>
      </c>
    </row>
    <row r="123" spans="1:5" x14ac:dyDescent="0.35">
      <c r="A123" s="772" t="s">
        <v>6</v>
      </c>
      <c r="B123" s="258"/>
      <c r="C123" s="194">
        <v>100000</v>
      </c>
      <c r="D123" s="609">
        <f>+C123</f>
        <v>100000</v>
      </c>
    </row>
    <row r="124" spans="1:5" x14ac:dyDescent="0.35">
      <c r="A124" s="614" t="s">
        <v>628</v>
      </c>
      <c r="B124" s="617"/>
      <c r="C124" s="227">
        <f>+C120*1.5</f>
        <v>7996.5</v>
      </c>
      <c r="D124" s="609">
        <f>+B124*C124</f>
        <v>0</v>
      </c>
    </row>
    <row r="125" spans="1:5" x14ac:dyDescent="0.35">
      <c r="A125" s="614" t="s">
        <v>823</v>
      </c>
      <c r="B125" s="617"/>
      <c r="C125" s="227"/>
      <c r="D125" s="609">
        <v>120000</v>
      </c>
    </row>
    <row r="126" spans="1:5" x14ac:dyDescent="0.35">
      <c r="A126" s="614"/>
      <c r="B126" s="617"/>
      <c r="C126" s="227"/>
      <c r="D126" s="609"/>
    </row>
    <row r="127" spans="1:5" s="90" customFormat="1" x14ac:dyDescent="0.35">
      <c r="A127" s="1071" t="s">
        <v>389</v>
      </c>
      <c r="B127" s="1074"/>
      <c r="C127" s="1172"/>
      <c r="D127" s="1173">
        <f>+D120+D121+D122+D123+D124+D125+D126</f>
        <v>1346862</v>
      </c>
      <c r="E127" s="553"/>
    </row>
    <row r="128" spans="1:5" x14ac:dyDescent="0.35">
      <c r="A128" s="614" t="s">
        <v>1252</v>
      </c>
      <c r="B128" s="617"/>
      <c r="C128" s="227"/>
      <c r="D128" s="609">
        <v>58900</v>
      </c>
    </row>
    <row r="129" spans="1:5" x14ac:dyDescent="0.35">
      <c r="A129" s="614" t="s">
        <v>1253</v>
      </c>
      <c r="B129" s="617"/>
      <c r="C129" s="227"/>
      <c r="D129" s="609">
        <v>37100</v>
      </c>
    </row>
    <row r="130" spans="1:5" ht="15.5" x14ac:dyDescent="0.35">
      <c r="A130" s="1059" t="s">
        <v>11</v>
      </c>
      <c r="B130" s="1060"/>
      <c r="C130" s="1061"/>
      <c r="D130" s="1167">
        <f>+D127+D128+D129</f>
        <v>1442862</v>
      </c>
    </row>
    <row r="133" spans="1:5" ht="23.5" x14ac:dyDescent="0.35">
      <c r="A133" s="1431" t="s">
        <v>1247</v>
      </c>
      <c r="B133" s="1431"/>
      <c r="C133" s="1431"/>
      <c r="D133" s="1431"/>
    </row>
    <row r="134" spans="1:5" x14ac:dyDescent="0.35">
      <c r="A134" s="2" t="s">
        <v>7</v>
      </c>
      <c r="B134" s="270" t="s">
        <v>8</v>
      </c>
      <c r="C134" s="217" t="s">
        <v>4</v>
      </c>
      <c r="D134" s="597" t="s">
        <v>9</v>
      </c>
    </row>
    <row r="135" spans="1:5" x14ac:dyDescent="0.35">
      <c r="A135" s="772" t="s">
        <v>3</v>
      </c>
      <c r="B135" s="258">
        <v>152.5</v>
      </c>
      <c r="C135" s="194">
        <v>5331</v>
      </c>
      <c r="D135" s="598">
        <f>+B135*C135</f>
        <v>812977.5</v>
      </c>
    </row>
    <row r="136" spans="1:5" x14ac:dyDescent="0.35">
      <c r="A136" s="772" t="s">
        <v>394</v>
      </c>
      <c r="B136" s="258">
        <v>7.5</v>
      </c>
      <c r="C136" s="194">
        <f>+C135</f>
        <v>5331</v>
      </c>
      <c r="D136" s="609">
        <f>+B136*C136</f>
        <v>39982.5</v>
      </c>
    </row>
    <row r="137" spans="1:5" x14ac:dyDescent="0.35">
      <c r="A137" s="772" t="s">
        <v>1244</v>
      </c>
      <c r="B137" s="258">
        <v>7.5</v>
      </c>
      <c r="C137" s="194">
        <f>+C136</f>
        <v>5331</v>
      </c>
      <c r="D137" s="609">
        <f>+B137*C137</f>
        <v>39982.5</v>
      </c>
    </row>
    <row r="138" spans="1:5" x14ac:dyDescent="0.35">
      <c r="A138" s="772" t="s">
        <v>6</v>
      </c>
      <c r="B138" s="258"/>
      <c r="C138" s="194">
        <v>100000</v>
      </c>
      <c r="D138" s="609">
        <f>+C138</f>
        <v>100000</v>
      </c>
    </row>
    <row r="139" spans="1:5" x14ac:dyDescent="0.35">
      <c r="A139" s="614" t="s">
        <v>556</v>
      </c>
      <c r="B139" s="617"/>
      <c r="C139" s="227">
        <v>50000</v>
      </c>
      <c r="D139" s="609">
        <v>50000</v>
      </c>
    </row>
    <row r="140" spans="1:5" x14ac:dyDescent="0.35">
      <c r="A140" s="614" t="s">
        <v>1035</v>
      </c>
      <c r="B140" s="617">
        <v>2</v>
      </c>
      <c r="C140" s="227">
        <f>+C135*1.5</f>
        <v>7996.5</v>
      </c>
      <c r="D140" s="609">
        <f>+B140*C140</f>
        <v>15993</v>
      </c>
    </row>
    <row r="141" spans="1:5" s="1192" customFormat="1" x14ac:dyDescent="0.35">
      <c r="A141" s="1149" t="s">
        <v>823</v>
      </c>
      <c r="B141" s="1150"/>
      <c r="C141" s="1151">
        <v>120000</v>
      </c>
      <c r="D141" s="1210">
        <f>+C141</f>
        <v>120000</v>
      </c>
      <c r="E141" s="1199"/>
    </row>
    <row r="142" spans="1:5" x14ac:dyDescent="0.35">
      <c r="A142" s="1149"/>
      <c r="B142" s="617"/>
      <c r="C142" s="227"/>
      <c r="D142" s="609"/>
    </row>
    <row r="143" spans="1:5" x14ac:dyDescent="0.35">
      <c r="A143" s="882" t="s">
        <v>389</v>
      </c>
      <c r="B143" s="883"/>
      <c r="C143" s="884"/>
      <c r="D143" s="1058">
        <f>+D135+D136+D137+D138+D139+D140+D141+D142</f>
        <v>1178935.5</v>
      </c>
    </row>
    <row r="144" spans="1:5" x14ac:dyDescent="0.35">
      <c r="A144" s="724" t="s">
        <v>1248</v>
      </c>
      <c r="B144" s="729"/>
      <c r="C144" s="729"/>
      <c r="D144" s="731">
        <v>-300000</v>
      </c>
    </row>
    <row r="145" spans="1:19" x14ac:dyDescent="0.35">
      <c r="A145" s="1071" t="s">
        <v>11</v>
      </c>
      <c r="B145" s="1074"/>
      <c r="C145" s="1074"/>
      <c r="D145" s="1075">
        <f>+D143+D144</f>
        <v>878935.5</v>
      </c>
    </row>
    <row r="149" spans="1:19" s="1042" customFormat="1" ht="23.5" x14ac:dyDescent="0.35">
      <c r="A149" s="1442" t="s">
        <v>1249</v>
      </c>
      <c r="B149" s="1443"/>
      <c r="C149" s="1443"/>
      <c r="D149" s="1444"/>
      <c r="E149" s="553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042" customFormat="1" x14ac:dyDescent="0.35">
      <c r="A150" s="2" t="s">
        <v>7</v>
      </c>
      <c r="B150" s="270" t="s">
        <v>388</v>
      </c>
      <c r="C150" s="217" t="s">
        <v>1037</v>
      </c>
      <c r="D150" s="597" t="s">
        <v>9</v>
      </c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772" t="s">
        <v>3</v>
      </c>
      <c r="B151" s="258">
        <v>194</v>
      </c>
      <c r="C151" s="194">
        <v>3927</v>
      </c>
      <c r="D151" s="598">
        <f>+B151*C151</f>
        <v>761838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772" t="s">
        <v>394</v>
      </c>
      <c r="B152" s="258">
        <v>8</v>
      </c>
      <c r="C152" s="194">
        <f>+C151</f>
        <v>3927</v>
      </c>
      <c r="D152" s="609">
        <f>+B152*C152</f>
        <v>31416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72" t="s">
        <v>200</v>
      </c>
      <c r="B153" s="258"/>
      <c r="C153" s="194">
        <v>50000</v>
      </c>
      <c r="D153" s="609">
        <f>+C153</f>
        <v>50000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614" t="s">
        <v>6</v>
      </c>
      <c r="B154" s="617"/>
      <c r="C154" s="227">
        <v>100000</v>
      </c>
      <c r="D154" s="609">
        <f>+C154</f>
        <v>100000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614" t="s">
        <v>1035</v>
      </c>
      <c r="B155" s="617">
        <v>11</v>
      </c>
      <c r="C155" s="227">
        <f>+C151*1.5</f>
        <v>5890.5</v>
      </c>
      <c r="D155" s="609">
        <f>+B155*C155</f>
        <v>64795.5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614" t="s">
        <v>1036</v>
      </c>
      <c r="B156" s="617"/>
      <c r="C156" s="227">
        <f>+C151*2</f>
        <v>7854</v>
      </c>
      <c r="D156" s="609">
        <f>+C156*0</f>
        <v>0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190" customFormat="1" x14ac:dyDescent="0.35">
      <c r="A157" s="1149" t="s">
        <v>823</v>
      </c>
      <c r="B157" s="1150"/>
      <c r="C157" s="1151"/>
      <c r="D157" s="1210">
        <v>80000</v>
      </c>
      <c r="E157" s="1199"/>
      <c r="F157" s="1192"/>
      <c r="G157" s="1192"/>
      <c r="H157" s="1192"/>
      <c r="I157" s="1192"/>
      <c r="J157" s="1192"/>
      <c r="K157" s="1192"/>
      <c r="L157" s="1192"/>
      <c r="M157" s="1192"/>
      <c r="N157" s="1192"/>
      <c r="O157" s="1192"/>
      <c r="P157" s="1192"/>
      <c r="Q157" s="1192"/>
      <c r="R157" s="1192"/>
      <c r="S157" s="1192"/>
    </row>
    <row r="158" spans="1:19" s="1190" customFormat="1" x14ac:dyDescent="0.35">
      <c r="A158" s="1223"/>
      <c r="B158" s="1150"/>
      <c r="C158" s="1151"/>
      <c r="D158" s="1210"/>
      <c r="E158" s="1199"/>
      <c r="F158" s="1192"/>
      <c r="G158" s="1192"/>
      <c r="H158" s="1192"/>
      <c r="I158" s="1192"/>
      <c r="J158" s="1192"/>
      <c r="K158" s="1192"/>
      <c r="L158" s="1192"/>
      <c r="M158" s="1192"/>
      <c r="N158" s="1192"/>
      <c r="O158" s="1192"/>
      <c r="P158" s="1192"/>
      <c r="Q158" s="1192"/>
      <c r="R158" s="1192"/>
      <c r="S158" s="1192"/>
    </row>
    <row r="159" spans="1:19" s="1042" customFormat="1" x14ac:dyDescent="0.35">
      <c r="A159" s="882" t="s">
        <v>389</v>
      </c>
      <c r="B159" s="883"/>
      <c r="C159" s="884"/>
      <c r="D159" s="1058">
        <f>+D151+D152+D153+D154+D155+D156+D157+D158</f>
        <v>1088049.5</v>
      </c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s="1042" customFormat="1" x14ac:dyDescent="0.35">
      <c r="A160" s="1211"/>
      <c r="B160" s="1212"/>
      <c r="C160" s="1213"/>
      <c r="D160" s="1214"/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724"/>
      <c r="B161" s="729"/>
      <c r="C161" s="729"/>
      <c r="D161" s="731"/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1071" t="s">
        <v>11</v>
      </c>
      <c r="B162" s="1074"/>
      <c r="C162" s="1074"/>
      <c r="D162" s="1075">
        <f>+D159+D160+D161</f>
        <v>1088049.5</v>
      </c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6" spans="1:19" ht="23.5" x14ac:dyDescent="0.35">
      <c r="A166" s="1442" t="s">
        <v>1250</v>
      </c>
      <c r="B166" s="1443"/>
      <c r="C166" s="1443"/>
      <c r="D166" s="1444"/>
    </row>
    <row r="167" spans="1:19" x14ac:dyDescent="0.35">
      <c r="A167" s="2" t="s">
        <v>7</v>
      </c>
      <c r="B167" s="270" t="s">
        <v>425</v>
      </c>
      <c r="C167" s="217" t="s">
        <v>272</v>
      </c>
      <c r="D167" s="597" t="s">
        <v>9</v>
      </c>
    </row>
    <row r="168" spans="1:19" x14ac:dyDescent="0.35">
      <c r="A168" s="772" t="s">
        <v>3</v>
      </c>
      <c r="B168" s="258">
        <v>194</v>
      </c>
      <c r="C168" s="194">
        <v>3179</v>
      </c>
      <c r="D168" s="598">
        <f>+B168*C168</f>
        <v>616726</v>
      </c>
    </row>
    <row r="169" spans="1:19" x14ac:dyDescent="0.35">
      <c r="A169" s="772" t="s">
        <v>394</v>
      </c>
      <c r="B169" s="258">
        <v>8</v>
      </c>
      <c r="C169" s="194">
        <f>+C168</f>
        <v>3179</v>
      </c>
      <c r="D169" s="609">
        <f>+B169*C169</f>
        <v>25432</v>
      </c>
    </row>
    <row r="170" spans="1:19" x14ac:dyDescent="0.35">
      <c r="A170" s="772" t="s">
        <v>1236</v>
      </c>
      <c r="B170" s="258"/>
      <c r="C170" s="194">
        <f>+C168</f>
        <v>3179</v>
      </c>
      <c r="D170" s="609">
        <f>+B170*C170</f>
        <v>0</v>
      </c>
    </row>
    <row r="171" spans="1:19" x14ac:dyDescent="0.35">
      <c r="A171" s="772" t="s">
        <v>200</v>
      </c>
      <c r="B171" s="258"/>
      <c r="C171" s="194">
        <v>50000</v>
      </c>
      <c r="D171" s="609">
        <f>+C171</f>
        <v>50000</v>
      </c>
    </row>
    <row r="172" spans="1:19" x14ac:dyDescent="0.35">
      <c r="A172" s="614" t="s">
        <v>6</v>
      </c>
      <c r="B172" s="617"/>
      <c r="C172" s="227">
        <v>40000</v>
      </c>
      <c r="D172" s="609">
        <f>+C172</f>
        <v>40000</v>
      </c>
    </row>
    <row r="173" spans="1:19" x14ac:dyDescent="0.35">
      <c r="A173" s="614" t="s">
        <v>1035</v>
      </c>
      <c r="B173" s="617">
        <v>5</v>
      </c>
      <c r="C173" s="227">
        <f>+C168*1.5</f>
        <v>4768.5</v>
      </c>
      <c r="D173" s="609">
        <f>+B173*C173</f>
        <v>23842.5</v>
      </c>
    </row>
    <row r="174" spans="1:19" x14ac:dyDescent="0.35">
      <c r="A174" s="614" t="s">
        <v>1036</v>
      </c>
      <c r="B174" s="617"/>
      <c r="C174" s="227">
        <f>+C168*2</f>
        <v>6358</v>
      </c>
      <c r="D174" s="609">
        <f>+B174*C174</f>
        <v>0</v>
      </c>
    </row>
    <row r="175" spans="1:19" s="1192" customFormat="1" x14ac:dyDescent="0.35">
      <c r="A175" s="1149" t="s">
        <v>823</v>
      </c>
      <c r="B175" s="1150"/>
      <c r="C175" s="1151"/>
      <c r="D175" s="1210">
        <v>100000</v>
      </c>
      <c r="E175" s="1199"/>
    </row>
    <row r="176" spans="1:19" s="1192" customFormat="1" x14ac:dyDescent="0.35">
      <c r="A176" s="1223"/>
      <c r="B176" s="1150"/>
      <c r="C176" s="1151"/>
      <c r="D176" s="1210"/>
      <c r="E176" s="1199"/>
    </row>
    <row r="177" spans="1:5" x14ac:dyDescent="0.35">
      <c r="A177" s="882" t="s">
        <v>389</v>
      </c>
      <c r="B177" s="883"/>
      <c r="C177" s="884"/>
      <c r="D177" s="1058">
        <f>+D168+D169+D170+D171+D172+D173+D174+D175+D176</f>
        <v>856000.5</v>
      </c>
    </row>
    <row r="178" spans="1:5" s="1070" customFormat="1" x14ac:dyDescent="0.35">
      <c r="A178" s="739" t="s">
        <v>19</v>
      </c>
      <c r="B178" s="1215"/>
      <c r="C178" s="1216"/>
      <c r="D178" s="736">
        <v>-300000</v>
      </c>
      <c r="E178" s="1234"/>
    </row>
    <row r="179" spans="1:5" x14ac:dyDescent="0.35">
      <c r="A179" s="1245"/>
      <c r="B179" s="729"/>
      <c r="C179" s="729"/>
      <c r="D179" s="731"/>
    </row>
    <row r="180" spans="1:5" x14ac:dyDescent="0.35">
      <c r="A180" s="1071" t="s">
        <v>11</v>
      </c>
      <c r="B180" s="1074"/>
      <c r="C180" s="1074"/>
      <c r="D180" s="1075">
        <f>+D177+D178+D179</f>
        <v>556000.5</v>
      </c>
    </row>
  </sheetData>
  <mergeCells count="20">
    <mergeCell ref="A149:D149"/>
    <mergeCell ref="A166:D166"/>
    <mergeCell ref="A83:D83"/>
    <mergeCell ref="A97:C97"/>
    <mergeCell ref="A102:D102"/>
    <mergeCell ref="A112:C112"/>
    <mergeCell ref="A118:D118"/>
    <mergeCell ref="A133:D133"/>
    <mergeCell ref="A80:C80"/>
    <mergeCell ref="A3:D3"/>
    <mergeCell ref="A13:C13"/>
    <mergeCell ref="A16:C16"/>
    <mergeCell ref="A19:D19"/>
    <mergeCell ref="A30:C30"/>
    <mergeCell ref="A35:D35"/>
    <mergeCell ref="A45:C45"/>
    <mergeCell ref="A53:D53"/>
    <mergeCell ref="A63:C63"/>
    <mergeCell ref="A68:D68"/>
    <mergeCell ref="A78:C78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80CF-AA02-45BB-B0AE-D252A0DAC683}">
  <sheetPr>
    <pageSetUpPr fitToPage="1"/>
  </sheetPr>
  <dimension ref="A1:F48"/>
  <sheetViews>
    <sheetView topLeftCell="A11" workbookViewId="0">
      <selection activeCell="A23" sqref="A23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2" style="774" customWidth="1"/>
    <col min="4" max="4" width="26.90625" style="774" customWidth="1"/>
    <col min="5" max="5" width="21.1796875" style="774" customWidth="1"/>
    <col min="6" max="6" width="25.26953125" style="771" customWidth="1"/>
    <col min="7" max="16384" width="10.90625" style="771"/>
  </cols>
  <sheetData>
    <row r="1" spans="1:6" s="658" customFormat="1" ht="28.5" x14ac:dyDescent="0.65">
      <c r="A1" s="946"/>
      <c r="B1" s="1122" t="s">
        <v>1251</v>
      </c>
      <c r="C1" s="1237"/>
      <c r="D1" s="983"/>
      <c r="E1" s="983"/>
    </row>
    <row r="2" spans="1:6" s="658" customFormat="1" ht="28.5" x14ac:dyDescent="0.65">
      <c r="A2" s="946"/>
      <c r="C2" s="1237" t="s">
        <v>973</v>
      </c>
      <c r="D2" s="983">
        <f>+D17+D23</f>
        <v>9107000</v>
      </c>
      <c r="E2" s="983"/>
    </row>
    <row r="4" spans="1:6" x14ac:dyDescent="0.35">
      <c r="A4" s="1014"/>
      <c r="B4" s="964" t="s">
        <v>7</v>
      </c>
      <c r="C4" s="1052" t="s">
        <v>3</v>
      </c>
      <c r="D4" s="1052" t="s">
        <v>1205</v>
      </c>
    </row>
    <row r="5" spans="1:6" x14ac:dyDescent="0.35">
      <c r="A5" s="771">
        <v>1</v>
      </c>
      <c r="B5" s="258" t="s">
        <v>10</v>
      </c>
      <c r="C5" s="194">
        <f>OCTUBRE2025!$D$13</f>
        <v>1395753.5</v>
      </c>
      <c r="D5" s="195">
        <v>276000</v>
      </c>
      <c r="E5" s="774" t="s">
        <v>1210</v>
      </c>
      <c r="F5" s="774"/>
    </row>
    <row r="6" spans="1:6" x14ac:dyDescent="0.35">
      <c r="A6" s="771">
        <v>2</v>
      </c>
      <c r="B6" s="258" t="s">
        <v>16</v>
      </c>
      <c r="C6" s="194">
        <f>OCTUBRE2025!$D$30</f>
        <v>1369647.75</v>
      </c>
      <c r="D6" s="195">
        <v>1070000</v>
      </c>
      <c r="E6" s="774" t="s">
        <v>1210</v>
      </c>
    </row>
    <row r="7" spans="1:6" x14ac:dyDescent="0.35">
      <c r="A7" s="771">
        <v>3</v>
      </c>
      <c r="B7" s="258" t="s">
        <v>0</v>
      </c>
      <c r="C7" s="194">
        <f>OCTUBRE2025!$D$45</f>
        <v>1641136</v>
      </c>
      <c r="D7" s="195">
        <v>522000</v>
      </c>
      <c r="E7" s="774" t="s">
        <v>1210</v>
      </c>
    </row>
    <row r="8" spans="1:6" x14ac:dyDescent="0.35">
      <c r="A8" s="176">
        <v>4</v>
      </c>
      <c r="B8" s="258" t="s">
        <v>245</v>
      </c>
      <c r="C8" s="194">
        <f>OCTUBRE2025!$D$78</f>
        <v>1058104</v>
      </c>
      <c r="D8" s="195">
        <v>459000</v>
      </c>
      <c r="E8" s="774" t="s">
        <v>1210</v>
      </c>
    </row>
    <row r="9" spans="1:6" x14ac:dyDescent="0.35">
      <c r="A9" s="176">
        <v>5</v>
      </c>
      <c r="B9" s="258" t="s">
        <v>463</v>
      </c>
      <c r="C9" s="194">
        <f>OCTUBRE2025!$D$94</f>
        <v>1186923.5</v>
      </c>
      <c r="D9" s="195">
        <v>887000</v>
      </c>
      <c r="E9" s="774" t="s">
        <v>1210</v>
      </c>
    </row>
    <row r="10" spans="1:6" x14ac:dyDescent="0.35">
      <c r="A10" s="176">
        <v>6</v>
      </c>
      <c r="B10" s="258" t="s">
        <v>1116</v>
      </c>
      <c r="C10" s="194">
        <f>OCTUBRE2025!$D$112</f>
        <v>1052650</v>
      </c>
      <c r="D10" s="195">
        <v>803000</v>
      </c>
      <c r="E10" s="774" t="s">
        <v>1210</v>
      </c>
    </row>
    <row r="11" spans="1:6" x14ac:dyDescent="0.35">
      <c r="A11" s="176">
        <v>7</v>
      </c>
      <c r="B11" s="258" t="s">
        <v>260</v>
      </c>
      <c r="C11" s="194">
        <f>OCTUBRE2025!$D$143</f>
        <v>1178935.5</v>
      </c>
      <c r="D11" s="195">
        <v>879000</v>
      </c>
      <c r="E11" s="774" t="s">
        <v>1210</v>
      </c>
    </row>
    <row r="12" spans="1:6" x14ac:dyDescent="0.35">
      <c r="A12" s="176">
        <v>8</v>
      </c>
      <c r="B12" s="617" t="s">
        <v>613</v>
      </c>
      <c r="C12" s="227">
        <f>OCTUBRE2025!$D$127</f>
        <v>1346862</v>
      </c>
      <c r="D12" s="195">
        <v>1443000</v>
      </c>
      <c r="E12" s="774" t="s">
        <v>1210</v>
      </c>
    </row>
    <row r="13" spans="1:6" x14ac:dyDescent="0.35">
      <c r="A13" s="176">
        <v>9</v>
      </c>
      <c r="B13" s="315" t="s">
        <v>1068</v>
      </c>
      <c r="C13" s="1238">
        <f>OCTUBRE2025!$D$177</f>
        <v>856000.5</v>
      </c>
      <c r="D13" s="195">
        <v>556000</v>
      </c>
      <c r="E13" s="774" t="s">
        <v>1210</v>
      </c>
      <c r="F13" s="774"/>
    </row>
    <row r="14" spans="1:6" x14ac:dyDescent="0.35">
      <c r="B14" s="315"/>
      <c r="C14" s="1238"/>
      <c r="D14" s="194"/>
    </row>
    <row r="15" spans="1:6" x14ac:dyDescent="0.35">
      <c r="B15" s="315"/>
      <c r="C15" s="1238"/>
      <c r="D15" s="194"/>
    </row>
    <row r="16" spans="1:6" x14ac:dyDescent="0.35">
      <c r="B16" s="315"/>
      <c r="C16" s="1238"/>
      <c r="D16" s="194"/>
    </row>
    <row r="17" spans="1:5" x14ac:dyDescent="0.35">
      <c r="B17" s="1016" t="s">
        <v>872</v>
      </c>
      <c r="C17" s="1239">
        <f>+C5+C6+C7+C8+C9+C10+C11+C12+C13</f>
        <v>11086012.75</v>
      </c>
      <c r="D17" s="195">
        <f>SUM(D5:D15)</f>
        <v>6895000</v>
      </c>
    </row>
    <row r="18" spans="1:5" x14ac:dyDescent="0.35">
      <c r="B18" s="261"/>
    </row>
    <row r="19" spans="1:5" x14ac:dyDescent="0.35">
      <c r="B19" s="261"/>
    </row>
    <row r="20" spans="1:5" x14ac:dyDescent="0.35">
      <c r="B20" s="261"/>
    </row>
    <row r="21" spans="1:5" x14ac:dyDescent="0.35">
      <c r="A21" s="771">
        <v>10</v>
      </c>
      <c r="B21" s="258" t="s">
        <v>267</v>
      </c>
      <c r="C21" s="194">
        <f>OCTUBRE2025!$D$63</f>
        <v>1122706.5</v>
      </c>
      <c r="D21" s="195">
        <v>1123000</v>
      </c>
      <c r="E21" s="774" t="s">
        <v>1210</v>
      </c>
    </row>
    <row r="22" spans="1:5" x14ac:dyDescent="0.35">
      <c r="A22" s="771">
        <v>11</v>
      </c>
      <c r="B22" s="258" t="s">
        <v>1038</v>
      </c>
      <c r="C22" s="194">
        <f>OCTUBRE2025!$D$159</f>
        <v>1088049.5</v>
      </c>
      <c r="D22" s="195">
        <v>1089000</v>
      </c>
      <c r="E22" s="774" t="s">
        <v>1210</v>
      </c>
    </row>
    <row r="23" spans="1:5" s="90" customFormat="1" x14ac:dyDescent="0.35">
      <c r="B23" s="274" t="s">
        <v>972</v>
      </c>
      <c r="C23" s="195">
        <f>+C21+C22</f>
        <v>2210756</v>
      </c>
      <c r="D23" s="195">
        <f>+D21+D22</f>
        <v>2212000</v>
      </c>
      <c r="E23" s="553"/>
    </row>
    <row r="26" spans="1:5" x14ac:dyDescent="0.35">
      <c r="B26" s="274" t="s">
        <v>7</v>
      </c>
      <c r="C26" s="1052" t="s">
        <v>272</v>
      </c>
      <c r="D26" s="1052" t="s">
        <v>6</v>
      </c>
      <c r="E26" s="1109" t="s">
        <v>200</v>
      </c>
    </row>
    <row r="27" spans="1:5" x14ac:dyDescent="0.35">
      <c r="A27" s="771">
        <v>1</v>
      </c>
      <c r="B27" s="258" t="s">
        <v>10</v>
      </c>
      <c r="C27" s="194">
        <v>4753</v>
      </c>
      <c r="D27" s="194">
        <v>100000</v>
      </c>
      <c r="E27" s="598">
        <v>50000</v>
      </c>
    </row>
    <row r="28" spans="1:5" x14ac:dyDescent="0.35">
      <c r="A28" s="771">
        <v>2</v>
      </c>
      <c r="B28" s="258" t="s">
        <v>16</v>
      </c>
      <c r="C28" s="194">
        <v>4547</v>
      </c>
      <c r="D28" s="194">
        <v>100000</v>
      </c>
      <c r="E28" s="598">
        <v>50000</v>
      </c>
    </row>
    <row r="29" spans="1:5" x14ac:dyDescent="0.35">
      <c r="A29" s="771">
        <v>3</v>
      </c>
      <c r="B29" s="258" t="s">
        <v>0</v>
      </c>
      <c r="C29" s="194">
        <v>5967</v>
      </c>
      <c r="D29" s="194">
        <v>100000</v>
      </c>
      <c r="E29" s="598">
        <v>50000</v>
      </c>
    </row>
    <row r="30" spans="1:5" x14ac:dyDescent="0.35">
      <c r="A30" s="176">
        <v>4</v>
      </c>
      <c r="B30" s="258" t="s">
        <v>267</v>
      </c>
      <c r="C30" s="194">
        <v>3927</v>
      </c>
      <c r="D30" s="194">
        <v>100000</v>
      </c>
      <c r="E30" s="598">
        <v>50000</v>
      </c>
    </row>
    <row r="31" spans="1:5" x14ac:dyDescent="0.35">
      <c r="A31" s="176">
        <v>5</v>
      </c>
      <c r="B31" s="258" t="s">
        <v>245</v>
      </c>
      <c r="C31" s="194">
        <v>3636</v>
      </c>
      <c r="D31" s="194">
        <v>100000</v>
      </c>
      <c r="E31" s="598">
        <v>50000</v>
      </c>
    </row>
    <row r="32" spans="1:5" x14ac:dyDescent="0.35">
      <c r="A32" s="176">
        <v>6</v>
      </c>
      <c r="B32" s="258" t="s">
        <v>463</v>
      </c>
      <c r="C32" s="194">
        <v>3613</v>
      </c>
      <c r="D32" s="194">
        <v>80000</v>
      </c>
      <c r="E32" s="598">
        <v>50000</v>
      </c>
    </row>
    <row r="33" spans="1:5" x14ac:dyDescent="0.35">
      <c r="A33" s="176">
        <v>7</v>
      </c>
      <c r="B33" s="258" t="s">
        <v>553</v>
      </c>
      <c r="C33" s="194">
        <v>3636</v>
      </c>
      <c r="D33" s="194">
        <v>100000</v>
      </c>
      <c r="E33" s="598">
        <v>50000</v>
      </c>
    </row>
    <row r="34" spans="1:5" x14ac:dyDescent="0.35">
      <c r="A34" s="176">
        <v>8</v>
      </c>
      <c r="B34" s="258" t="s">
        <v>260</v>
      </c>
      <c r="C34" s="194">
        <v>5331</v>
      </c>
      <c r="D34" s="194">
        <v>100000</v>
      </c>
      <c r="E34" s="598">
        <v>50000</v>
      </c>
    </row>
    <row r="35" spans="1:5" x14ac:dyDescent="0.35">
      <c r="A35" s="176">
        <v>9</v>
      </c>
      <c r="B35" s="258" t="s">
        <v>613</v>
      </c>
      <c r="C35" s="194">
        <v>5331</v>
      </c>
      <c r="D35" s="194">
        <v>100000</v>
      </c>
      <c r="E35" s="598">
        <v>50000</v>
      </c>
    </row>
    <row r="36" spans="1:5" x14ac:dyDescent="0.35">
      <c r="A36" s="176">
        <v>10</v>
      </c>
      <c r="B36" s="258" t="s">
        <v>1038</v>
      </c>
      <c r="C36" s="194">
        <v>3927</v>
      </c>
      <c r="D36" s="194">
        <v>100000</v>
      </c>
      <c r="E36" s="598">
        <v>50000</v>
      </c>
    </row>
    <row r="37" spans="1:5" x14ac:dyDescent="0.35">
      <c r="A37" s="176">
        <v>11</v>
      </c>
      <c r="B37" s="315" t="s">
        <v>1068</v>
      </c>
      <c r="C37" s="194">
        <v>3179</v>
      </c>
      <c r="D37" s="194">
        <v>40000</v>
      </c>
      <c r="E37" s="598">
        <v>50000</v>
      </c>
    </row>
    <row r="38" spans="1:5" x14ac:dyDescent="0.35">
      <c r="A38" s="176">
        <v>12</v>
      </c>
      <c r="B38" s="315"/>
      <c r="C38" s="194"/>
      <c r="D38" s="194"/>
      <c r="E38" s="598"/>
    </row>
    <row r="39" spans="1:5" x14ac:dyDescent="0.35">
      <c r="A39" s="176">
        <v>13</v>
      </c>
      <c r="B39" s="315"/>
      <c r="C39" s="194"/>
      <c r="D39" s="194"/>
      <c r="E39" s="598"/>
    </row>
    <row r="40" spans="1:5" x14ac:dyDescent="0.35">
      <c r="B40" s="315"/>
      <c r="C40" s="194"/>
      <c r="D40" s="194"/>
      <c r="E40" s="598"/>
    </row>
    <row r="41" spans="1:5" x14ac:dyDescent="0.35">
      <c r="B41" s="1121"/>
      <c r="C41" s="1240"/>
      <c r="D41" s="204"/>
      <c r="E41" s="205"/>
    </row>
    <row r="43" spans="1:5" x14ac:dyDescent="0.35">
      <c r="A43" s="701" t="s">
        <v>106</v>
      </c>
      <c r="B43" s="702" t="s">
        <v>873</v>
      </c>
      <c r="C43" s="1241"/>
      <c r="D43" s="1013" t="s">
        <v>803</v>
      </c>
      <c r="E43" s="1092" t="s">
        <v>7</v>
      </c>
    </row>
    <row r="44" spans="1:5" x14ac:dyDescent="0.35">
      <c r="A44" s="703">
        <v>18</v>
      </c>
      <c r="B44" s="703">
        <v>9</v>
      </c>
      <c r="C44" s="1242"/>
      <c r="D44" s="964">
        <f>+A44*B44</f>
        <v>162</v>
      </c>
      <c r="E44" s="593" t="s">
        <v>874</v>
      </c>
    </row>
    <row r="45" spans="1:5" x14ac:dyDescent="0.35">
      <c r="A45" s="703">
        <v>4</v>
      </c>
      <c r="B45" s="703">
        <v>8</v>
      </c>
      <c r="C45" s="1242"/>
      <c r="D45" s="964">
        <f>+A45*B45</f>
        <v>32</v>
      </c>
      <c r="E45" s="593" t="s">
        <v>117</v>
      </c>
    </row>
    <row r="46" spans="1:5" x14ac:dyDescent="0.35">
      <c r="A46" s="703"/>
      <c r="B46" s="703">
        <v>7</v>
      </c>
      <c r="C46" s="1242"/>
      <c r="D46" s="964">
        <f>+A46*B46</f>
        <v>0</v>
      </c>
      <c r="E46" s="593"/>
    </row>
    <row r="47" spans="1:5" x14ac:dyDescent="0.35">
      <c r="A47" s="703">
        <v>1</v>
      </c>
      <c r="B47" s="703">
        <v>8</v>
      </c>
      <c r="C47" s="1242"/>
      <c r="D47" s="964">
        <f>+A47*B47</f>
        <v>8</v>
      </c>
      <c r="E47" s="593" t="s">
        <v>111</v>
      </c>
    </row>
    <row r="48" spans="1:5" x14ac:dyDescent="0.35">
      <c r="A48" s="568"/>
      <c r="B48" s="773"/>
      <c r="C48" s="194"/>
      <c r="D48" s="964">
        <f>+D44+D45+D46+D47</f>
        <v>202</v>
      </c>
      <c r="E48" s="593" t="s">
        <v>1255</v>
      </c>
    </row>
  </sheetData>
  <pageMargins left="0.7" right="0.7" top="0.75" bottom="0.75" header="0.3" footer="0.3"/>
  <pageSetup paperSize="9" scale="76" fitToHeight="0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A677-FC28-4186-A635-55A70E2E2F63}">
  <sheetPr>
    <pageSetUpPr fitToPage="1"/>
  </sheetPr>
  <dimension ref="A1:S181"/>
  <sheetViews>
    <sheetView topLeftCell="A112" zoomScaleNormal="100" workbookViewId="0">
      <selection activeCell="D160" sqref="D160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45962</v>
      </c>
    </row>
    <row r="3" spans="1:18" ht="25.5" customHeight="1" x14ac:dyDescent="0.35">
      <c r="A3" s="1466" t="s">
        <v>1256</v>
      </c>
      <c r="B3" s="1431"/>
      <c r="C3" s="1431"/>
      <c r="D3" s="1431"/>
    </row>
    <row r="4" spans="1:18" s="1252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v>115</v>
      </c>
      <c r="C5" s="227">
        <v>4753</v>
      </c>
      <c r="D5" s="598">
        <f>+B5*C5</f>
        <v>546595</v>
      </c>
      <c r="E5" s="553" t="s">
        <v>1275</v>
      </c>
      <c r="Q5" s="1252"/>
    </row>
    <row r="6" spans="1:18" ht="18" customHeight="1" x14ac:dyDescent="0.35">
      <c r="A6" s="772" t="s">
        <v>1273</v>
      </c>
      <c r="B6" s="258">
        <v>0</v>
      </c>
      <c r="C6" s="227">
        <f>+C5</f>
        <v>4753</v>
      </c>
      <c r="D6" s="598">
        <f>+B6*C6</f>
        <v>0</v>
      </c>
      <c r="E6" s="553" t="s">
        <v>1276</v>
      </c>
      <c r="F6" s="176"/>
      <c r="Q6" s="774"/>
    </row>
    <row r="7" spans="1:18" ht="18" customHeight="1" x14ac:dyDescent="0.35">
      <c r="A7" s="772" t="s">
        <v>1274</v>
      </c>
      <c r="B7" s="258">
        <f>7*8</f>
        <v>56</v>
      </c>
      <c r="C7" s="227">
        <f>+C5</f>
        <v>4753</v>
      </c>
      <c r="D7" s="598">
        <f>+B7*C7</f>
        <v>266168</v>
      </c>
      <c r="F7" s="176"/>
      <c r="Q7" s="774"/>
    </row>
    <row r="8" spans="1:18" ht="18" customHeight="1" x14ac:dyDescent="0.35">
      <c r="A8" s="772" t="s">
        <v>196</v>
      </c>
      <c r="B8" s="258"/>
      <c r="C8" s="227">
        <v>50000</v>
      </c>
      <c r="D8" s="598">
        <v>50000</v>
      </c>
      <c r="F8" s="176"/>
    </row>
    <row r="9" spans="1:18" ht="18" customHeight="1" x14ac:dyDescent="0.35">
      <c r="A9" s="772" t="s">
        <v>6</v>
      </c>
      <c r="B9" s="258"/>
      <c r="C9" s="227">
        <v>100000</v>
      </c>
      <c r="D9" s="598">
        <v>100000</v>
      </c>
      <c r="F9" s="176"/>
    </row>
    <row r="10" spans="1:18" ht="18" customHeight="1" x14ac:dyDescent="0.35">
      <c r="A10" s="772" t="s">
        <v>467</v>
      </c>
      <c r="B10" s="258">
        <v>11.5</v>
      </c>
      <c r="C10" s="194">
        <f>+C5*1.5</f>
        <v>7129.5</v>
      </c>
      <c r="D10" s="598">
        <f>+B10*C10</f>
        <v>81989.25</v>
      </c>
      <c r="F10" s="176"/>
    </row>
    <row r="11" spans="1:18" ht="18" customHeight="1" x14ac:dyDescent="0.35">
      <c r="A11" s="772" t="s">
        <v>281</v>
      </c>
      <c r="B11" s="258"/>
      <c r="C11" s="194">
        <f>+C5*2</f>
        <v>9506</v>
      </c>
      <c r="D11" s="598">
        <f>+B11*C11</f>
        <v>0</v>
      </c>
      <c r="F11" s="176"/>
    </row>
    <row r="12" spans="1:18" s="1192" customFormat="1" ht="18" customHeight="1" x14ac:dyDescent="0.35">
      <c r="A12" s="1149" t="s">
        <v>823</v>
      </c>
      <c r="B12" s="1150"/>
      <c r="C12" s="1151"/>
      <c r="D12" s="1152">
        <v>250000</v>
      </c>
      <c r="E12" s="1199"/>
      <c r="F12" s="1191"/>
      <c r="R12" s="1193"/>
    </row>
    <row r="13" spans="1:18" s="1192" customFormat="1" ht="18" customHeight="1" x14ac:dyDescent="0.35">
      <c r="A13" s="1149"/>
      <c r="B13" s="1150"/>
      <c r="C13" s="1151"/>
      <c r="D13" s="1152"/>
      <c r="E13" s="1199"/>
      <c r="F13" s="1191"/>
      <c r="R13" s="1193"/>
    </row>
    <row r="14" spans="1:18" ht="18" customHeight="1" x14ac:dyDescent="0.35">
      <c r="A14" s="1470" t="s">
        <v>389</v>
      </c>
      <c r="B14" s="1470"/>
      <c r="C14" s="1470"/>
      <c r="D14" s="599">
        <f>+D5+D6+D7+D8+D9+D10+D11+D12+D13</f>
        <v>1294752.25</v>
      </c>
      <c r="F14" s="248"/>
      <c r="G14" s="248"/>
      <c r="H14" s="248"/>
      <c r="I14" s="248"/>
      <c r="J14" s="248"/>
      <c r="K14" s="248"/>
      <c r="L14" s="248"/>
      <c r="M14" s="248"/>
      <c r="O14" s="1252"/>
    </row>
    <row r="15" spans="1:18" ht="18" customHeight="1" x14ac:dyDescent="0.35">
      <c r="A15" s="800" t="s">
        <v>1257</v>
      </c>
      <c r="B15" s="720"/>
      <c r="C15" s="720"/>
      <c r="D15" s="722">
        <v>-566538</v>
      </c>
      <c r="F15" s="248"/>
      <c r="G15" s="248"/>
      <c r="H15" s="248"/>
      <c r="I15" s="248"/>
      <c r="J15" s="248"/>
      <c r="K15" s="248"/>
      <c r="L15" s="248"/>
      <c r="M15" s="248"/>
      <c r="O15" s="1252"/>
    </row>
    <row r="16" spans="1:18" ht="18" customHeight="1" x14ac:dyDescent="0.35">
      <c r="A16" s="1141" t="s">
        <v>1258</v>
      </c>
      <c r="B16" s="721"/>
      <c r="C16" s="905"/>
      <c r="D16" s="722">
        <v>-553312</v>
      </c>
      <c r="F16" s="248"/>
      <c r="G16" s="248"/>
      <c r="H16" s="248"/>
      <c r="I16" s="248"/>
      <c r="J16" s="248"/>
      <c r="K16" s="248"/>
      <c r="L16" s="248"/>
      <c r="M16" s="248"/>
      <c r="O16" s="1252"/>
    </row>
    <row r="17" spans="1:19" ht="18" customHeight="1" x14ac:dyDescent="0.35">
      <c r="A17" s="1433" t="s">
        <v>11</v>
      </c>
      <c r="B17" s="1433"/>
      <c r="C17" s="1433"/>
      <c r="D17" s="603">
        <f>+D14+D15+D16</f>
        <v>174902.25</v>
      </c>
      <c r="F17" s="321"/>
      <c r="G17" s="321"/>
      <c r="H17" s="473"/>
      <c r="I17" s="321"/>
      <c r="J17" s="321"/>
      <c r="Q17" s="1252"/>
    </row>
    <row r="18" spans="1:19" ht="18" customHeight="1" x14ac:dyDescent="0.35">
      <c r="A18" s="1053"/>
      <c r="B18" s="1054"/>
      <c r="C18" s="1054"/>
      <c r="D18" s="1055"/>
      <c r="F18" s="321"/>
      <c r="G18" s="321"/>
      <c r="H18" s="473"/>
      <c r="I18" s="321"/>
      <c r="J18" s="321"/>
      <c r="Q18" s="1252"/>
    </row>
    <row r="19" spans="1:19" s="908" customFormat="1" ht="18" customHeight="1" x14ac:dyDescent="0.35">
      <c r="A19" s="689"/>
      <c r="B19" s="689"/>
      <c r="C19" s="689"/>
      <c r="D19" s="688"/>
      <c r="E19" s="768"/>
      <c r="I19" s="910"/>
      <c r="J19" s="911"/>
      <c r="K19" s="912"/>
      <c r="L19" s="912"/>
      <c r="M19" s="910"/>
      <c r="N19" s="910"/>
      <c r="O19" s="910"/>
      <c r="P19" s="764"/>
      <c r="S19" s="764"/>
    </row>
    <row r="20" spans="1:19" ht="18" customHeight="1" x14ac:dyDescent="0.45">
      <c r="A20" s="1450" t="s">
        <v>1259</v>
      </c>
      <c r="B20" s="1451"/>
      <c r="C20" s="1451"/>
      <c r="D20" s="1452"/>
      <c r="E20" s="796"/>
      <c r="J20" s="185"/>
      <c r="K20" s="181"/>
      <c r="L20" s="181"/>
      <c r="M20" s="181"/>
      <c r="N20" s="181"/>
    </row>
    <row r="21" spans="1:19" ht="18" customHeight="1" x14ac:dyDescent="0.35">
      <c r="A21" s="604" t="s">
        <v>7</v>
      </c>
      <c r="B21" s="605" t="s">
        <v>8</v>
      </c>
      <c r="C21" s="606" t="s">
        <v>4</v>
      </c>
      <c r="D21" s="606" t="s">
        <v>9</v>
      </c>
      <c r="J21" s="185"/>
      <c r="K21" s="181"/>
      <c r="L21" s="181"/>
      <c r="M21" s="184"/>
    </row>
    <row r="22" spans="1:19" ht="18" customHeight="1" x14ac:dyDescent="0.35">
      <c r="A22" s="607" t="s">
        <v>3</v>
      </c>
      <c r="B22" s="267">
        <v>23</v>
      </c>
      <c r="C22" s="211">
        <v>4547</v>
      </c>
      <c r="D22" s="211">
        <f>+B22*C22</f>
        <v>104581</v>
      </c>
      <c r="J22" s="182"/>
    </row>
    <row r="23" spans="1:19" ht="18" customHeight="1" x14ac:dyDescent="0.35">
      <c r="A23" s="607" t="s">
        <v>1277</v>
      </c>
      <c r="B23" s="267">
        <v>0</v>
      </c>
      <c r="C23" s="211">
        <f>+C22</f>
        <v>4547</v>
      </c>
      <c r="D23" s="211">
        <f>+B23*C23</f>
        <v>0</v>
      </c>
      <c r="J23" s="182"/>
    </row>
    <row r="24" spans="1:19" ht="18" customHeight="1" x14ac:dyDescent="0.35">
      <c r="A24" s="607" t="s">
        <v>1278</v>
      </c>
      <c r="B24" s="267">
        <f>17*8</f>
        <v>136</v>
      </c>
      <c r="C24" s="211">
        <f>+C22</f>
        <v>4547</v>
      </c>
      <c r="D24" s="211">
        <f>+B24*C24</f>
        <v>618392</v>
      </c>
      <c r="E24" s="553" t="s">
        <v>1280</v>
      </c>
      <c r="J24" s="182"/>
    </row>
    <row r="25" spans="1:19" ht="18" customHeight="1" x14ac:dyDescent="0.35">
      <c r="A25" s="607" t="s">
        <v>1236</v>
      </c>
      <c r="B25" s="267">
        <v>0</v>
      </c>
      <c r="C25" s="211">
        <f>+C22</f>
        <v>4547</v>
      </c>
      <c r="D25" s="211">
        <f>+B25*C25</f>
        <v>0</v>
      </c>
      <c r="J25" s="182"/>
    </row>
    <row r="26" spans="1:19" ht="18" customHeight="1" x14ac:dyDescent="0.35">
      <c r="A26" s="772" t="s">
        <v>196</v>
      </c>
      <c r="B26" s="267"/>
      <c r="C26" s="211">
        <v>50000</v>
      </c>
      <c r="D26" s="211">
        <f>+C26</f>
        <v>50000</v>
      </c>
      <c r="I26" s="1252"/>
    </row>
    <row r="27" spans="1:19" ht="18" customHeight="1" x14ac:dyDescent="0.35">
      <c r="A27" s="772" t="s">
        <v>6</v>
      </c>
      <c r="B27" s="267"/>
      <c r="C27" s="211">
        <v>100000</v>
      </c>
      <c r="D27" s="211">
        <f>+C27</f>
        <v>100000</v>
      </c>
      <c r="I27" s="1252"/>
    </row>
    <row r="28" spans="1:19" ht="18" customHeight="1" x14ac:dyDescent="0.35">
      <c r="A28" s="772" t="s">
        <v>1028</v>
      </c>
      <c r="B28" s="267">
        <v>2</v>
      </c>
      <c r="C28" s="211">
        <f>+C22*1.5</f>
        <v>6820.5</v>
      </c>
      <c r="D28" s="211">
        <f>B28*C28</f>
        <v>13641</v>
      </c>
      <c r="E28" s="1025"/>
      <c r="F28" s="181"/>
      <c r="G28" s="187"/>
      <c r="H28" s="188"/>
      <c r="I28" s="1252"/>
      <c r="L28" s="1252"/>
    </row>
    <row r="29" spans="1:19" ht="18" customHeight="1" x14ac:dyDescent="0.35">
      <c r="A29" s="772" t="s">
        <v>281</v>
      </c>
      <c r="B29" s="267"/>
      <c r="C29" s="211">
        <f>+C22*2</f>
        <v>9094</v>
      </c>
      <c r="D29" s="211">
        <f>+B29*C29</f>
        <v>0</v>
      </c>
      <c r="E29" s="1025"/>
      <c r="F29" s="181"/>
      <c r="G29" s="187"/>
      <c r="H29" s="188"/>
      <c r="I29" s="1252"/>
      <c r="L29" s="1252"/>
    </row>
    <row r="30" spans="1:19" s="1192" customFormat="1" ht="18" customHeight="1" x14ac:dyDescent="0.35">
      <c r="A30" s="1149" t="s">
        <v>1040</v>
      </c>
      <c r="B30" s="1196"/>
      <c r="C30" s="1197"/>
      <c r="D30" s="1197">
        <v>250000</v>
      </c>
      <c r="E30" s="1233"/>
      <c r="F30" s="1198"/>
      <c r="G30" s="1195"/>
      <c r="H30" s="1195"/>
      <c r="I30" s="1193"/>
      <c r="L30" s="1193"/>
    </row>
    <row r="31" spans="1:19" s="1192" customFormat="1" ht="18" customHeight="1" x14ac:dyDescent="0.35">
      <c r="A31" s="1149"/>
      <c r="B31" s="1196"/>
      <c r="C31" s="1197"/>
      <c r="D31" s="1197"/>
      <c r="E31" s="1233"/>
      <c r="F31" s="1198"/>
      <c r="G31" s="1195"/>
      <c r="H31" s="1195"/>
      <c r="I31" s="1193"/>
      <c r="L31" s="1193"/>
    </row>
    <row r="32" spans="1:19" s="1252" customFormat="1" ht="18" customHeight="1" x14ac:dyDescent="0.35">
      <c r="A32" s="1459" t="s">
        <v>389</v>
      </c>
      <c r="B32" s="1459"/>
      <c r="C32" s="1459"/>
      <c r="D32" s="599">
        <f>+D22+D23+D24+D25+D26+D27+D28+D29+D30+D31</f>
        <v>1136614</v>
      </c>
      <c r="E32" s="553"/>
      <c r="F32" s="181"/>
      <c r="G32" s="181"/>
      <c r="H32" s="184"/>
      <c r="I32" s="771"/>
      <c r="K32" s="771"/>
      <c r="L32" s="771"/>
    </row>
    <row r="33" spans="1:19" s="1252" customFormat="1" ht="18" customHeight="1" x14ac:dyDescent="0.35">
      <c r="A33" s="825" t="s">
        <v>1260</v>
      </c>
      <c r="B33" s="824"/>
      <c r="C33" s="823"/>
      <c r="D33" s="930">
        <v>-1000000</v>
      </c>
      <c r="E33" s="553" t="s">
        <v>1279</v>
      </c>
      <c r="F33" s="181"/>
      <c r="G33" s="181"/>
      <c r="H33" s="184"/>
      <c r="I33" s="771"/>
      <c r="K33" s="771"/>
      <c r="L33" s="771"/>
    </row>
    <row r="34" spans="1:19" ht="18" customHeight="1" x14ac:dyDescent="0.35">
      <c r="A34" s="786" t="s">
        <v>11</v>
      </c>
      <c r="B34" s="783"/>
      <c r="C34" s="783"/>
      <c r="D34" s="784">
        <f>+D32+D33</f>
        <v>136614</v>
      </c>
      <c r="F34" s="181"/>
      <c r="G34" s="181"/>
      <c r="H34" s="184"/>
    </row>
    <row r="35" spans="1:19" ht="18" customHeight="1" x14ac:dyDescent="0.35">
      <c r="A35" s="1047"/>
      <c r="B35" s="594"/>
      <c r="C35" s="594"/>
      <c r="D35" s="595"/>
      <c r="F35" s="181"/>
      <c r="G35" s="181"/>
      <c r="H35" s="184"/>
    </row>
    <row r="36" spans="1:19" ht="18" customHeight="1" x14ac:dyDescent="0.35">
      <c r="A36" s="594"/>
      <c r="B36" s="594"/>
      <c r="C36" s="594"/>
      <c r="D36" s="595"/>
      <c r="F36" s="181"/>
      <c r="G36" s="181"/>
      <c r="H36" s="184"/>
    </row>
    <row r="37" spans="1:19" ht="18" customHeight="1" x14ac:dyDescent="0.35">
      <c r="A37" s="1431" t="s">
        <v>1261</v>
      </c>
      <c r="B37" s="1431"/>
      <c r="C37" s="1431"/>
      <c r="D37" s="1431"/>
      <c r="F37" s="181"/>
      <c r="G37" s="181"/>
      <c r="H37" s="184"/>
    </row>
    <row r="38" spans="1:19" ht="18" customHeight="1" x14ac:dyDescent="0.35">
      <c r="A38" s="2"/>
      <c r="B38" s="270" t="s">
        <v>8</v>
      </c>
      <c r="C38" s="217" t="s">
        <v>4</v>
      </c>
      <c r="D38" s="597" t="s">
        <v>9</v>
      </c>
      <c r="F38" s="181"/>
      <c r="G38" s="181"/>
      <c r="H38" s="184"/>
    </row>
    <row r="39" spans="1:19" ht="18" customHeight="1" x14ac:dyDescent="0.35">
      <c r="A39" s="772" t="s">
        <v>253</v>
      </c>
      <c r="B39" s="258">
        <v>167</v>
      </c>
      <c r="C39" s="194">
        <v>5967</v>
      </c>
      <c r="D39" s="598">
        <f>+B39*C39</f>
        <v>996489</v>
      </c>
      <c r="F39" s="181"/>
      <c r="G39" s="181"/>
      <c r="H39" s="184"/>
    </row>
    <row r="40" spans="1:19" ht="18" customHeight="1" x14ac:dyDescent="0.35">
      <c r="A40" s="772" t="s">
        <v>394</v>
      </c>
      <c r="B40" s="258">
        <v>8</v>
      </c>
      <c r="C40" s="194">
        <f>+C39</f>
        <v>5967</v>
      </c>
      <c r="D40" s="598">
        <f>+B40*C40</f>
        <v>47736</v>
      </c>
      <c r="F40" s="181"/>
      <c r="G40" s="181"/>
      <c r="H40" s="184"/>
    </row>
    <row r="41" spans="1:19" ht="15" customHeight="1" x14ac:dyDescent="0.35">
      <c r="A41" s="772" t="s">
        <v>196</v>
      </c>
      <c r="B41" s="258"/>
      <c r="C41" s="194">
        <v>50000</v>
      </c>
      <c r="D41" s="598">
        <f>+C41</f>
        <v>50000</v>
      </c>
      <c r="F41" s="181"/>
      <c r="G41" s="181"/>
      <c r="H41" s="184"/>
      <c r="I41" s="1252"/>
    </row>
    <row r="42" spans="1:19" ht="15" customHeight="1" x14ac:dyDescent="0.35">
      <c r="A42" s="772" t="s">
        <v>6</v>
      </c>
      <c r="B42" s="258"/>
      <c r="C42" s="194">
        <v>100000</v>
      </c>
      <c r="D42" s="598">
        <f>+C42</f>
        <v>100000</v>
      </c>
      <c r="F42" s="181"/>
      <c r="G42" s="181"/>
      <c r="H42" s="184"/>
      <c r="I42" s="1252"/>
    </row>
    <row r="43" spans="1:19" ht="15" customHeight="1" x14ac:dyDescent="0.35">
      <c r="A43" s="772" t="s">
        <v>1029</v>
      </c>
      <c r="B43" s="315">
        <v>17</v>
      </c>
      <c r="C43" s="194">
        <f>+C39*1.5</f>
        <v>8950.5</v>
      </c>
      <c r="D43" s="598">
        <f>+B43*C43</f>
        <v>152158.5</v>
      </c>
      <c r="F43" s="181"/>
      <c r="G43" s="181"/>
      <c r="H43" s="184"/>
      <c r="I43" s="1252"/>
    </row>
    <row r="44" spans="1:19" ht="15" customHeight="1" x14ac:dyDescent="0.35">
      <c r="A44" s="772" t="s">
        <v>449</v>
      </c>
      <c r="B44" s="315"/>
      <c r="C44" s="194">
        <f>+C39*2</f>
        <v>11934</v>
      </c>
      <c r="D44" s="598">
        <f>+B44*C44</f>
        <v>0</v>
      </c>
      <c r="F44" s="181"/>
      <c r="G44" s="416"/>
      <c r="H44" s="184"/>
      <c r="I44" s="1252"/>
    </row>
    <row r="45" spans="1:19" s="1192" customFormat="1" ht="15" customHeight="1" x14ac:dyDescent="0.35">
      <c r="A45" s="1149" t="s">
        <v>1040</v>
      </c>
      <c r="B45" s="1232"/>
      <c r="C45" s="1151"/>
      <c r="D45" s="1152">
        <v>250000</v>
      </c>
      <c r="E45" s="1199"/>
      <c r="F45" s="1198"/>
      <c r="G45" s="1203"/>
      <c r="H45" s="1198"/>
      <c r="I45" s="1193"/>
    </row>
    <row r="46" spans="1:19" s="1192" customFormat="1" ht="15" customHeight="1" x14ac:dyDescent="0.35">
      <c r="A46" s="1149"/>
      <c r="B46" s="1232"/>
      <c r="C46" s="1151"/>
      <c r="D46" s="1152"/>
      <c r="E46" s="1199"/>
      <c r="F46" s="1198"/>
      <c r="G46" s="1203"/>
      <c r="H46" s="1198"/>
      <c r="I46" s="1193"/>
    </row>
    <row r="47" spans="1:19" ht="15" customHeight="1" x14ac:dyDescent="0.35">
      <c r="A47" s="1459" t="s">
        <v>389</v>
      </c>
      <c r="B47" s="1459"/>
      <c r="C47" s="1459"/>
      <c r="D47" s="599">
        <f>+D39+D40+D41+D42+D43+D44+D45+D46</f>
        <v>1596383.5</v>
      </c>
      <c r="J47" s="176"/>
      <c r="K47" s="176"/>
      <c r="L47" s="176"/>
      <c r="M47" s="181"/>
      <c r="N47" s="181"/>
      <c r="O47" s="184"/>
      <c r="Q47" s="1252"/>
    </row>
    <row r="48" spans="1:19" s="1252" customFormat="1" ht="15" customHeight="1" x14ac:dyDescent="0.35">
      <c r="A48" s="921" t="str">
        <f>A15</f>
        <v>DEPOSITO P/BCO. (1er.QUINC.11/25)</v>
      </c>
      <c r="B48" s="727" t="s">
        <v>63</v>
      </c>
      <c r="C48" s="727" t="s">
        <v>63</v>
      </c>
      <c r="D48" s="722">
        <v>-566538</v>
      </c>
      <c r="E48" s="1025"/>
      <c r="F48" s="774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252" customFormat="1" ht="15" customHeight="1" x14ac:dyDescent="0.35">
      <c r="A49" s="921" t="str">
        <f t="shared" ref="A49" si="0">A16</f>
        <v>DEPOSITO P/BCO. (2da.QUINC.11/25)</v>
      </c>
      <c r="B49" s="727"/>
      <c r="C49" s="727"/>
      <c r="D49" s="722">
        <v>-553312</v>
      </c>
      <c r="E49" s="1025"/>
      <c r="F49" s="774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252" customFormat="1" ht="15" customHeight="1" x14ac:dyDescent="0.35">
      <c r="A50" s="1103" t="s">
        <v>11</v>
      </c>
      <c r="B50" s="1104"/>
      <c r="C50" s="1231"/>
      <c r="D50" s="675">
        <f>+D47+D48+D49</f>
        <v>476533.5</v>
      </c>
      <c r="E50" s="1025"/>
      <c r="F50" s="771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s="1252" customFormat="1" ht="15" customHeight="1" x14ac:dyDescent="0.35">
      <c r="A51" s="1224" t="s">
        <v>1149</v>
      </c>
      <c r="B51" s="1225"/>
      <c r="C51" s="1226"/>
      <c r="D51" s="844">
        <v>250000</v>
      </c>
      <c r="E51" s="1025"/>
      <c r="F51" s="771"/>
      <c r="G51" s="771"/>
      <c r="H51" s="771"/>
      <c r="I51" s="771"/>
      <c r="J51" s="176"/>
      <c r="K51" s="176"/>
      <c r="L51" s="176"/>
      <c r="M51" s="176"/>
      <c r="N51" s="176"/>
      <c r="O51" s="176"/>
      <c r="P51" s="771"/>
      <c r="Q51" s="771"/>
      <c r="R51" s="771"/>
      <c r="S51" s="771"/>
    </row>
    <row r="52" spans="1:19" ht="15" customHeight="1" x14ac:dyDescent="0.35">
      <c r="A52" s="1229" t="s">
        <v>1281</v>
      </c>
      <c r="B52" s="1229"/>
      <c r="C52" s="1229"/>
      <c r="D52" s="1230">
        <f>+D50+D51</f>
        <v>726533.5</v>
      </c>
      <c r="K52" s="183"/>
      <c r="L52" s="183"/>
      <c r="M52" s="176"/>
      <c r="N52" s="176"/>
      <c r="O52" s="176"/>
      <c r="Q52" s="1252"/>
    </row>
    <row r="53" spans="1:19" ht="15" customHeight="1" x14ac:dyDescent="0.35">
      <c r="A53" s="1247"/>
      <c r="B53" s="1248"/>
      <c r="C53" s="1248"/>
      <c r="D53" s="1249"/>
      <c r="K53" s="183"/>
      <c r="L53" s="183"/>
      <c r="M53" s="176"/>
      <c r="N53" s="176"/>
      <c r="O53" s="176"/>
      <c r="Q53" s="1252"/>
    </row>
    <row r="54" spans="1:19" s="4" customFormat="1" ht="15" customHeight="1" x14ac:dyDescent="0.35">
      <c r="A54" s="95"/>
      <c r="E54" s="1250"/>
      <c r="K54" s="183"/>
      <c r="L54" s="183"/>
      <c r="M54" s="176"/>
      <c r="N54" s="176"/>
      <c r="O54" s="176"/>
      <c r="Q54" s="1251"/>
    </row>
    <row r="55" spans="1:19" ht="15" customHeight="1" x14ac:dyDescent="0.35">
      <c r="A55" s="1431" t="s">
        <v>1262</v>
      </c>
      <c r="B55" s="1431"/>
      <c r="C55" s="1431"/>
      <c r="D55" s="1431"/>
      <c r="S55" s="1252"/>
    </row>
    <row r="56" spans="1:19" x14ac:dyDescent="0.35">
      <c r="A56" s="2" t="s">
        <v>7</v>
      </c>
      <c r="B56" s="270" t="s">
        <v>8</v>
      </c>
      <c r="C56" s="217" t="s">
        <v>4</v>
      </c>
      <c r="D56" s="597" t="s">
        <v>9</v>
      </c>
    </row>
    <row r="57" spans="1:19" x14ac:dyDescent="0.35">
      <c r="A57" s="772" t="s">
        <v>253</v>
      </c>
      <c r="B57" s="258">
        <v>167</v>
      </c>
      <c r="C57" s="227">
        <v>3927</v>
      </c>
      <c r="D57" s="598">
        <f>+B57*C57</f>
        <v>655809</v>
      </c>
    </row>
    <row r="58" spans="1:19" x14ac:dyDescent="0.35">
      <c r="A58" s="772" t="s">
        <v>394</v>
      </c>
      <c r="B58" s="258">
        <v>8</v>
      </c>
      <c r="C58" s="227">
        <f>+C57</f>
        <v>3927</v>
      </c>
      <c r="D58" s="598">
        <f>+B58*C58</f>
        <v>31416</v>
      </c>
    </row>
    <row r="59" spans="1:19" x14ac:dyDescent="0.35">
      <c r="A59" s="772" t="s">
        <v>266</v>
      </c>
      <c r="B59" s="258"/>
      <c r="C59" s="227">
        <v>50000</v>
      </c>
      <c r="D59" s="598">
        <f>+C59</f>
        <v>50000</v>
      </c>
    </row>
    <row r="60" spans="1:19" x14ac:dyDescent="0.35">
      <c r="A60" s="772" t="s">
        <v>6</v>
      </c>
      <c r="B60" s="258"/>
      <c r="C60" s="227">
        <v>100000</v>
      </c>
      <c r="D60" s="598">
        <f>+C60</f>
        <v>100000</v>
      </c>
    </row>
    <row r="61" spans="1:19" x14ac:dyDescent="0.35">
      <c r="A61" s="772" t="s">
        <v>1030</v>
      </c>
      <c r="B61" s="258">
        <v>10</v>
      </c>
      <c r="C61" s="194">
        <f>+C57*1.5</f>
        <v>5890.5</v>
      </c>
      <c r="D61" s="598">
        <f>+B61*C61</f>
        <v>58905</v>
      </c>
    </row>
    <row r="62" spans="1:19" x14ac:dyDescent="0.35">
      <c r="A62" s="772" t="s">
        <v>449</v>
      </c>
      <c r="B62" s="258"/>
      <c r="C62" s="194">
        <f>+C57*2</f>
        <v>7854</v>
      </c>
      <c r="D62" s="598">
        <f>+B62*C62</f>
        <v>0</v>
      </c>
    </row>
    <row r="63" spans="1:19" s="1192" customFormat="1" x14ac:dyDescent="0.35">
      <c r="A63" s="1149" t="s">
        <v>823</v>
      </c>
      <c r="B63" s="1150"/>
      <c r="C63" s="1151"/>
      <c r="D63" s="1152">
        <v>150000</v>
      </c>
      <c r="E63" s="1199"/>
    </row>
    <row r="64" spans="1:19" s="1192" customFormat="1" x14ac:dyDescent="0.35">
      <c r="A64" s="1149"/>
      <c r="B64" s="1150"/>
      <c r="C64" s="1151"/>
      <c r="D64" s="1152"/>
      <c r="E64" s="1199"/>
    </row>
    <row r="65" spans="1:6" x14ac:dyDescent="0.35">
      <c r="A65" s="1459" t="s">
        <v>389</v>
      </c>
      <c r="B65" s="1459"/>
      <c r="C65" s="1459"/>
      <c r="D65" s="599">
        <f>+D57+D58+D59+D60+D61+D62+D63+D64</f>
        <v>1046130</v>
      </c>
      <c r="F65" s="774"/>
    </row>
    <row r="66" spans="1:6" x14ac:dyDescent="0.35">
      <c r="A66" s="904" t="s">
        <v>19</v>
      </c>
      <c r="B66" s="922"/>
      <c r="C66" s="720"/>
      <c r="D66" s="722"/>
    </row>
    <row r="67" spans="1:6" x14ac:dyDescent="0.35">
      <c r="A67" s="129" t="s">
        <v>11</v>
      </c>
      <c r="B67" s="1103"/>
      <c r="C67" s="197"/>
      <c r="D67" s="675">
        <f>+D65+D66</f>
        <v>1046130</v>
      </c>
    </row>
    <row r="68" spans="1:6" x14ac:dyDescent="0.35">
      <c r="B68" s="771"/>
      <c r="C68" s="771"/>
      <c r="D68" s="771"/>
    </row>
    <row r="70" spans="1:6" ht="14.5" customHeight="1" x14ac:dyDescent="0.35">
      <c r="A70" s="1431" t="s">
        <v>1263</v>
      </c>
      <c r="B70" s="1431"/>
      <c r="C70" s="1431"/>
      <c r="D70" s="1431"/>
    </row>
    <row r="71" spans="1:6" ht="14.5" customHeight="1" x14ac:dyDescent="0.35">
      <c r="A71" s="2" t="s">
        <v>7</v>
      </c>
      <c r="B71" s="270" t="s">
        <v>8</v>
      </c>
      <c r="C71" s="217" t="s">
        <v>4</v>
      </c>
      <c r="D71" s="597" t="s">
        <v>63</v>
      </c>
    </row>
    <row r="72" spans="1:6" ht="14.5" customHeight="1" x14ac:dyDescent="0.35">
      <c r="A72" s="772" t="s">
        <v>3</v>
      </c>
      <c r="B72" s="258">
        <v>159</v>
      </c>
      <c r="C72" s="227">
        <v>3636</v>
      </c>
      <c r="D72" s="598">
        <f>+B72*C72</f>
        <v>578124</v>
      </c>
      <c r="E72" s="1254" t="s">
        <v>1282</v>
      </c>
    </row>
    <row r="73" spans="1:6" ht="14.5" customHeight="1" x14ac:dyDescent="0.35">
      <c r="A73" s="772" t="s">
        <v>394</v>
      </c>
      <c r="B73" s="258">
        <v>8</v>
      </c>
      <c r="C73" s="227">
        <f>+C72</f>
        <v>3636</v>
      </c>
      <c r="D73" s="598">
        <f>+B73*C73</f>
        <v>29088</v>
      </c>
      <c r="E73" s="1254" t="s">
        <v>1283</v>
      </c>
    </row>
    <row r="74" spans="1:6" x14ac:dyDescent="0.35">
      <c r="A74" s="772" t="s">
        <v>266</v>
      </c>
      <c r="B74" s="258"/>
      <c r="C74" s="227">
        <v>50000</v>
      </c>
      <c r="D74" s="598">
        <f>+C74</f>
        <v>50000</v>
      </c>
    </row>
    <row r="75" spans="1:6" x14ac:dyDescent="0.35">
      <c r="A75" s="772" t="s">
        <v>6</v>
      </c>
      <c r="B75" s="258"/>
      <c r="C75" s="227">
        <v>100000</v>
      </c>
      <c r="D75" s="598">
        <v>100000</v>
      </c>
    </row>
    <row r="76" spans="1:6" s="1069" customFormat="1" x14ac:dyDescent="0.35">
      <c r="A76" s="614" t="s">
        <v>270</v>
      </c>
      <c r="B76" s="617">
        <v>14.5</v>
      </c>
      <c r="C76" s="227">
        <f>+C72*1.5</f>
        <v>5454</v>
      </c>
      <c r="D76" s="598">
        <f>+B76*C76</f>
        <v>79083</v>
      </c>
      <c r="E76" s="553"/>
    </row>
    <row r="77" spans="1:6" x14ac:dyDescent="0.35">
      <c r="A77" s="772" t="s">
        <v>281</v>
      </c>
      <c r="B77" s="258"/>
      <c r="C77" s="227">
        <f>+C72*2</f>
        <v>7272</v>
      </c>
      <c r="D77" s="598">
        <f>+B77*C77</f>
        <v>0</v>
      </c>
    </row>
    <row r="78" spans="1:6" s="1192" customFormat="1" x14ac:dyDescent="0.35">
      <c r="A78" s="1149" t="s">
        <v>1040</v>
      </c>
      <c r="B78" s="1150"/>
      <c r="C78" s="1151"/>
      <c r="D78" s="1152">
        <v>130000</v>
      </c>
      <c r="E78" s="1199"/>
    </row>
    <row r="79" spans="1:6" s="1192" customFormat="1" x14ac:dyDescent="0.35">
      <c r="A79" s="1149"/>
      <c r="B79" s="1150"/>
      <c r="C79" s="1151"/>
      <c r="D79" s="1152"/>
      <c r="E79" s="1199"/>
    </row>
    <row r="80" spans="1:6" x14ac:dyDescent="0.35">
      <c r="A80" s="1459" t="s">
        <v>389</v>
      </c>
      <c r="B80" s="1459"/>
      <c r="C80" s="1459"/>
      <c r="D80" s="599">
        <f>+D72+D73+D74+D75+D76+D77+D78+D79</f>
        <v>966295</v>
      </c>
      <c r="F80" s="774"/>
    </row>
    <row r="81" spans="1:5" x14ac:dyDescent="0.35">
      <c r="A81" s="723" t="s">
        <v>1242</v>
      </c>
      <c r="B81" s="721"/>
      <c r="C81" s="721"/>
      <c r="D81" s="722">
        <v>-400000</v>
      </c>
    </row>
    <row r="82" spans="1:5" ht="15.5" x14ac:dyDescent="0.35">
      <c r="A82" s="1471" t="s">
        <v>11</v>
      </c>
      <c r="B82" s="1471"/>
      <c r="C82" s="1471"/>
      <c r="D82" s="603">
        <f>+D80+D81</f>
        <v>566295</v>
      </c>
    </row>
    <row r="83" spans="1:5" s="90" customFormat="1" x14ac:dyDescent="0.35">
      <c r="A83" s="1035"/>
      <c r="B83" s="1042"/>
      <c r="C83" s="553"/>
      <c r="D83" s="1051"/>
      <c r="E83" s="553"/>
    </row>
    <row r="85" spans="1:5" ht="23.5" x14ac:dyDescent="0.35">
      <c r="A85" s="1431" t="s">
        <v>1264</v>
      </c>
      <c r="B85" s="1431"/>
      <c r="C85" s="1431"/>
      <c r="D85" s="1431"/>
    </row>
    <row r="86" spans="1:5" x14ac:dyDescent="0.35">
      <c r="A86" s="2" t="s">
        <v>7</v>
      </c>
      <c r="B86" s="270" t="s">
        <v>388</v>
      </c>
      <c r="C86" s="217" t="s">
        <v>272</v>
      </c>
      <c r="D86" s="597" t="s">
        <v>9</v>
      </c>
    </row>
    <row r="87" spans="1:5" x14ac:dyDescent="0.35">
      <c r="A87" s="772" t="s">
        <v>3</v>
      </c>
      <c r="B87" s="258">
        <v>167</v>
      </c>
      <c r="C87" s="227">
        <v>3613</v>
      </c>
      <c r="D87" s="598">
        <f>+B87*C87</f>
        <v>603371</v>
      </c>
    </row>
    <row r="88" spans="1:5" x14ac:dyDescent="0.35">
      <c r="A88" s="772" t="s">
        <v>394</v>
      </c>
      <c r="B88" s="258">
        <v>8</v>
      </c>
      <c r="C88" s="227">
        <f>+C87</f>
        <v>3613</v>
      </c>
      <c r="D88" s="598">
        <f>+B88*C88</f>
        <v>28904</v>
      </c>
    </row>
    <row r="89" spans="1:5" x14ac:dyDescent="0.35">
      <c r="A89" s="772" t="s">
        <v>1236</v>
      </c>
      <c r="B89" s="258">
        <v>0</v>
      </c>
      <c r="C89" s="227">
        <f>+C87</f>
        <v>3613</v>
      </c>
      <c r="D89" s="598">
        <f>+B89*C89</f>
        <v>0</v>
      </c>
    </row>
    <row r="90" spans="1:5" x14ac:dyDescent="0.35">
      <c r="A90" s="772" t="s">
        <v>6</v>
      </c>
      <c r="B90" s="258"/>
      <c r="C90" s="227">
        <v>80000</v>
      </c>
      <c r="D90" s="598">
        <f>+C90</f>
        <v>80000</v>
      </c>
    </row>
    <row r="91" spans="1:5" x14ac:dyDescent="0.35">
      <c r="A91" s="772" t="s">
        <v>200</v>
      </c>
      <c r="B91" s="258"/>
      <c r="C91" s="227">
        <v>50000</v>
      </c>
      <c r="D91" s="598">
        <f>+C91</f>
        <v>50000</v>
      </c>
    </row>
    <row r="92" spans="1:5" x14ac:dyDescent="0.35">
      <c r="A92" s="772" t="s">
        <v>1032</v>
      </c>
      <c r="B92" s="258">
        <v>9.5</v>
      </c>
      <c r="C92" s="227">
        <f>+C87*1.5</f>
        <v>5419.5</v>
      </c>
      <c r="D92" s="811">
        <f>+B92*C92</f>
        <v>51485.25</v>
      </c>
    </row>
    <row r="93" spans="1:5" x14ac:dyDescent="0.35">
      <c r="A93" s="772" t="s">
        <v>757</v>
      </c>
      <c r="B93" s="258"/>
      <c r="C93" s="227">
        <f>+C87*2</f>
        <v>7226</v>
      </c>
      <c r="D93" s="598">
        <f>+B93*C93</f>
        <v>0</v>
      </c>
    </row>
    <row r="94" spans="1:5" s="1192" customFormat="1" x14ac:dyDescent="0.35">
      <c r="A94" s="1149" t="s">
        <v>1033</v>
      </c>
      <c r="B94" s="1150"/>
      <c r="C94" s="1151"/>
      <c r="D94" s="1152">
        <v>300000</v>
      </c>
      <c r="E94" s="1199"/>
    </row>
    <row r="95" spans="1:5" s="1192" customFormat="1" x14ac:dyDescent="0.35">
      <c r="A95" s="1149"/>
      <c r="B95" s="1150"/>
      <c r="C95" s="1151"/>
      <c r="D95" s="1152"/>
      <c r="E95" s="1199"/>
    </row>
    <row r="96" spans="1:5" x14ac:dyDescent="0.35">
      <c r="A96" s="1036" t="s">
        <v>389</v>
      </c>
      <c r="B96" s="681"/>
      <c r="C96" s="1037"/>
      <c r="D96" s="1038">
        <f>+D87+D88+D89+D90+D91+D92+D93+D94+D95</f>
        <v>1113760.25</v>
      </c>
    </row>
    <row r="97" spans="1:6" x14ac:dyDescent="0.35">
      <c r="A97" s="772" t="s">
        <v>1260</v>
      </c>
      <c r="B97" s="258"/>
      <c r="C97" s="227"/>
      <c r="D97" s="731">
        <v>-300000</v>
      </c>
      <c r="F97" s="774"/>
    </row>
    <row r="98" spans="1:6" ht="15.5" x14ac:dyDescent="0.35">
      <c r="A98" s="1471" t="s">
        <v>11</v>
      </c>
      <c r="B98" s="1471"/>
      <c r="C98" s="1471"/>
      <c r="D98" s="603">
        <f>+D96+D97</f>
        <v>813760.25</v>
      </c>
    </row>
    <row r="99" spans="1:6" ht="15.5" x14ac:dyDescent="0.35">
      <c r="A99" s="723" t="s">
        <v>631</v>
      </c>
      <c r="B99" s="723"/>
      <c r="C99" s="723"/>
      <c r="D99" s="832">
        <v>-258100</v>
      </c>
    </row>
    <row r="100" spans="1:6" ht="15.5" x14ac:dyDescent="0.35">
      <c r="A100" s="1253" t="s">
        <v>1010</v>
      </c>
      <c r="B100" s="1253"/>
      <c r="C100" s="1253"/>
      <c r="D100" s="603">
        <f>+D98+D99</f>
        <v>555660.25</v>
      </c>
    </row>
    <row r="101" spans="1:6" s="90" customFormat="1" x14ac:dyDescent="0.35">
      <c r="B101" s="1042"/>
      <c r="C101" s="553"/>
      <c r="D101" s="1051" t="s">
        <v>63</v>
      </c>
      <c r="E101" s="553"/>
    </row>
    <row r="103" spans="1:6" ht="23.5" x14ac:dyDescent="0.35">
      <c r="A103" s="1431" t="s">
        <v>1265</v>
      </c>
      <c r="B103" s="1431"/>
      <c r="C103" s="1431"/>
      <c r="D103" s="1431"/>
    </row>
    <row r="104" spans="1:6" x14ac:dyDescent="0.35">
      <c r="A104" s="2" t="s">
        <v>7</v>
      </c>
      <c r="B104" s="270" t="s">
        <v>8</v>
      </c>
      <c r="C104" s="217" t="s">
        <v>4</v>
      </c>
      <c r="D104" s="597" t="s">
        <v>9</v>
      </c>
    </row>
    <row r="105" spans="1:6" x14ac:dyDescent="0.35">
      <c r="A105" s="772" t="s">
        <v>3</v>
      </c>
      <c r="B105" s="258">
        <v>167</v>
      </c>
      <c r="C105" s="227">
        <v>3636</v>
      </c>
      <c r="D105" s="598">
        <f>+B105*C105</f>
        <v>607212</v>
      </c>
    </row>
    <row r="106" spans="1:6" x14ac:dyDescent="0.35">
      <c r="A106" s="772" t="s">
        <v>403</v>
      </c>
      <c r="B106" s="258">
        <v>8</v>
      </c>
      <c r="C106" s="227">
        <f>+C105</f>
        <v>3636</v>
      </c>
      <c r="D106" s="598">
        <f>+B106*C106</f>
        <v>29088</v>
      </c>
    </row>
    <row r="107" spans="1:6" x14ac:dyDescent="0.35">
      <c r="A107" s="772" t="s">
        <v>200</v>
      </c>
      <c r="B107" s="258"/>
      <c r="C107" s="227">
        <v>50000</v>
      </c>
      <c r="D107" s="598">
        <v>50000</v>
      </c>
    </row>
    <row r="108" spans="1:6" x14ac:dyDescent="0.35">
      <c r="A108" s="772" t="s">
        <v>6</v>
      </c>
      <c r="B108" s="258"/>
      <c r="C108" s="194">
        <v>100000</v>
      </c>
      <c r="D108" s="598">
        <f>+C108</f>
        <v>100000</v>
      </c>
    </row>
    <row r="109" spans="1:6" x14ac:dyDescent="0.35">
      <c r="A109" s="772" t="s">
        <v>1032</v>
      </c>
      <c r="B109" s="258">
        <v>16</v>
      </c>
      <c r="C109" s="194">
        <f>+C105*1.5</f>
        <v>5454</v>
      </c>
      <c r="D109" s="598">
        <f>+B109*C109</f>
        <v>87264</v>
      </c>
    </row>
    <row r="110" spans="1:6" x14ac:dyDescent="0.35">
      <c r="A110" s="772" t="s">
        <v>281</v>
      </c>
      <c r="B110" s="258"/>
      <c r="C110" s="194">
        <f>+C105*2</f>
        <v>7272</v>
      </c>
      <c r="D110" s="598">
        <f>+B110*C110</f>
        <v>0</v>
      </c>
    </row>
    <row r="111" spans="1:6" s="90" customFormat="1" x14ac:dyDescent="0.35">
      <c r="A111" s="141" t="s">
        <v>1033</v>
      </c>
      <c r="B111" s="274"/>
      <c r="C111" s="195"/>
      <c r="D111" s="1017">
        <v>130000</v>
      </c>
      <c r="E111" s="553"/>
    </row>
    <row r="112" spans="1:6" s="90" customFormat="1" x14ac:dyDescent="0.35">
      <c r="A112" s="1145"/>
      <c r="B112" s="1146"/>
      <c r="C112" s="1147"/>
      <c r="D112" s="1017"/>
      <c r="E112" s="553"/>
    </row>
    <row r="113" spans="1:5" x14ac:dyDescent="0.35">
      <c r="A113" s="1463" t="s">
        <v>389</v>
      </c>
      <c r="B113" s="1464"/>
      <c r="C113" s="1465"/>
      <c r="D113" s="599">
        <f>+D105+D106+D107+D108+D109+D110+D111+D112</f>
        <v>1003564</v>
      </c>
    </row>
    <row r="114" spans="1:5" x14ac:dyDescent="0.35">
      <c r="A114" s="724" t="s">
        <v>374</v>
      </c>
      <c r="B114" s="729"/>
      <c r="C114" s="730"/>
      <c r="D114" s="731">
        <v>-200000</v>
      </c>
    </row>
    <row r="115" spans="1:5" x14ac:dyDescent="0.35">
      <c r="A115" s="724"/>
      <c r="B115" s="729"/>
      <c r="C115" s="730"/>
      <c r="D115" s="731"/>
    </row>
    <row r="116" spans="1:5" s="997" customFormat="1" ht="15.5" x14ac:dyDescent="0.35">
      <c r="A116" s="992" t="s">
        <v>11</v>
      </c>
      <c r="B116" s="1181"/>
      <c r="C116" s="994"/>
      <c r="D116" s="995">
        <f>+D113+D114+D115</f>
        <v>803564</v>
      </c>
      <c r="E116" s="1026"/>
    </row>
    <row r="117" spans="1:5" s="90" customFormat="1" x14ac:dyDescent="0.35">
      <c r="B117" s="1042"/>
      <c r="C117" s="553"/>
      <c r="D117" s="1051"/>
      <c r="E117" s="553"/>
    </row>
    <row r="119" spans="1:5" ht="23.5" x14ac:dyDescent="0.35">
      <c r="A119" s="1431" t="s">
        <v>1266</v>
      </c>
      <c r="B119" s="1431"/>
      <c r="C119" s="1431"/>
      <c r="D119" s="1431"/>
    </row>
    <row r="120" spans="1:5" x14ac:dyDescent="0.35">
      <c r="A120" s="2" t="s">
        <v>7</v>
      </c>
      <c r="B120" s="270" t="s">
        <v>388</v>
      </c>
      <c r="C120" s="217" t="s">
        <v>629</v>
      </c>
      <c r="D120" s="597" t="s">
        <v>9</v>
      </c>
    </row>
    <row r="121" spans="1:5" x14ac:dyDescent="0.35">
      <c r="A121" s="772" t="s">
        <v>3</v>
      </c>
      <c r="B121" s="258">
        <v>167</v>
      </c>
      <c r="C121" s="194">
        <v>5331</v>
      </c>
      <c r="D121" s="598">
        <f>+B121*C121</f>
        <v>890277</v>
      </c>
    </row>
    <row r="122" spans="1:5" x14ac:dyDescent="0.35">
      <c r="A122" s="772" t="s">
        <v>394</v>
      </c>
      <c r="B122" s="258">
        <v>8</v>
      </c>
      <c r="C122" s="194">
        <f>+C121</f>
        <v>5331</v>
      </c>
      <c r="D122" s="609">
        <f>+B122*C122</f>
        <v>42648</v>
      </c>
    </row>
    <row r="123" spans="1:5" x14ac:dyDescent="0.35">
      <c r="A123" s="772" t="s">
        <v>556</v>
      </c>
      <c r="B123" s="258"/>
      <c r="C123" s="194">
        <v>50000</v>
      </c>
      <c r="D123" s="609">
        <f>+C123</f>
        <v>50000</v>
      </c>
    </row>
    <row r="124" spans="1:5" x14ac:dyDescent="0.35">
      <c r="A124" s="772" t="s">
        <v>6</v>
      </c>
      <c r="B124" s="258"/>
      <c r="C124" s="194">
        <v>100000</v>
      </c>
      <c r="D124" s="609">
        <f>+C124</f>
        <v>100000</v>
      </c>
    </row>
    <row r="125" spans="1:5" x14ac:dyDescent="0.35">
      <c r="A125" s="614" t="s">
        <v>628</v>
      </c>
      <c r="B125" s="617">
        <v>1</v>
      </c>
      <c r="C125" s="227">
        <f>+C121*1.5</f>
        <v>7996.5</v>
      </c>
      <c r="D125" s="609">
        <f>+B125*C125</f>
        <v>7996.5</v>
      </c>
    </row>
    <row r="126" spans="1:5" x14ac:dyDescent="0.35">
      <c r="A126" s="614" t="s">
        <v>823</v>
      </c>
      <c r="B126" s="617"/>
      <c r="C126" s="227"/>
      <c r="D126" s="609">
        <v>120000</v>
      </c>
    </row>
    <row r="127" spans="1:5" x14ac:dyDescent="0.35">
      <c r="A127" s="614"/>
      <c r="B127" s="617"/>
      <c r="C127" s="227"/>
      <c r="D127" s="609"/>
    </row>
    <row r="128" spans="1:5" s="90" customFormat="1" x14ac:dyDescent="0.35">
      <c r="A128" s="1071" t="s">
        <v>389</v>
      </c>
      <c r="B128" s="1074"/>
      <c r="C128" s="1172"/>
      <c r="D128" s="1173">
        <f>+D121+D122+D123+D124+D125+D126+D127</f>
        <v>1210921.5</v>
      </c>
      <c r="E128" s="553"/>
    </row>
    <row r="129" spans="1:5" x14ac:dyDescent="0.35">
      <c r="A129" s="614" t="s">
        <v>1267</v>
      </c>
      <c r="B129" s="617"/>
      <c r="C129" s="227"/>
      <c r="D129" s="609">
        <v>58900</v>
      </c>
    </row>
    <row r="130" spans="1:5" x14ac:dyDescent="0.35">
      <c r="A130" s="614" t="s">
        <v>1268</v>
      </c>
      <c r="B130" s="617"/>
      <c r="C130" s="227"/>
      <c r="D130" s="609">
        <v>37100</v>
      </c>
    </row>
    <row r="131" spans="1:5" ht="15.5" x14ac:dyDescent="0.35">
      <c r="A131" s="1059" t="s">
        <v>11</v>
      </c>
      <c r="B131" s="1060"/>
      <c r="C131" s="1061"/>
      <c r="D131" s="1167">
        <f>+D128+D129+D130</f>
        <v>1306921.5</v>
      </c>
    </row>
    <row r="134" spans="1:5" ht="23.5" x14ac:dyDescent="0.35">
      <c r="A134" s="1431" t="s">
        <v>1269</v>
      </c>
      <c r="B134" s="1431"/>
      <c r="C134" s="1431"/>
      <c r="D134" s="1431"/>
    </row>
    <row r="135" spans="1:5" x14ac:dyDescent="0.35">
      <c r="A135" s="2" t="s">
        <v>7</v>
      </c>
      <c r="B135" s="270" t="s">
        <v>8</v>
      </c>
      <c r="C135" s="217" t="s">
        <v>4</v>
      </c>
      <c r="D135" s="597" t="s">
        <v>9</v>
      </c>
    </row>
    <row r="136" spans="1:5" x14ac:dyDescent="0.35">
      <c r="A136" s="772" t="s">
        <v>3</v>
      </c>
      <c r="B136" s="258">
        <v>87.5</v>
      </c>
      <c r="C136" s="194">
        <v>5331</v>
      </c>
      <c r="D136" s="598">
        <f>+B136*C136</f>
        <v>466462.5</v>
      </c>
    </row>
    <row r="137" spans="1:5" x14ac:dyDescent="0.35">
      <c r="A137" s="772" t="s">
        <v>394</v>
      </c>
      <c r="B137" s="258">
        <v>7.5</v>
      </c>
      <c r="C137" s="194">
        <f>+C136</f>
        <v>5331</v>
      </c>
      <c r="D137" s="609">
        <f>+B137*C137</f>
        <v>39982.5</v>
      </c>
    </row>
    <row r="138" spans="1:5" x14ac:dyDescent="0.35">
      <c r="A138" s="772" t="s">
        <v>338</v>
      </c>
      <c r="B138" s="258">
        <v>52.5</v>
      </c>
      <c r="C138" s="194">
        <f>+C137</f>
        <v>5331</v>
      </c>
      <c r="D138" s="609">
        <f>+B138*C138</f>
        <v>279877.5</v>
      </c>
    </row>
    <row r="139" spans="1:5" x14ac:dyDescent="0.35">
      <c r="A139" s="772" t="s">
        <v>6</v>
      </c>
      <c r="B139" s="258"/>
      <c r="C139" s="194">
        <v>100000</v>
      </c>
      <c r="D139" s="609">
        <f>+C139</f>
        <v>100000</v>
      </c>
    </row>
    <row r="140" spans="1:5" x14ac:dyDescent="0.35">
      <c r="A140" s="614" t="s">
        <v>556</v>
      </c>
      <c r="B140" s="617"/>
      <c r="C140" s="227">
        <v>50000</v>
      </c>
      <c r="D140" s="609">
        <v>50000</v>
      </c>
    </row>
    <row r="141" spans="1:5" x14ac:dyDescent="0.35">
      <c r="A141" s="614" t="s">
        <v>1035</v>
      </c>
      <c r="B141" s="617">
        <v>5.5</v>
      </c>
      <c r="C141" s="227">
        <f>+C136*1.5</f>
        <v>7996.5</v>
      </c>
      <c r="D141" s="609">
        <f>+B141*C141</f>
        <v>43980.75</v>
      </c>
    </row>
    <row r="142" spans="1:5" s="1192" customFormat="1" x14ac:dyDescent="0.35">
      <c r="A142" s="1149" t="s">
        <v>823</v>
      </c>
      <c r="B142" s="1150"/>
      <c r="C142" s="1151">
        <v>120000</v>
      </c>
      <c r="D142" s="1210">
        <f>+C142</f>
        <v>120000</v>
      </c>
      <c r="E142" s="1199"/>
    </row>
    <row r="143" spans="1:5" x14ac:dyDescent="0.35">
      <c r="A143" s="1149"/>
      <c r="B143" s="617"/>
      <c r="C143" s="227"/>
      <c r="D143" s="609"/>
    </row>
    <row r="144" spans="1:5" x14ac:dyDescent="0.35">
      <c r="A144" s="882" t="s">
        <v>389</v>
      </c>
      <c r="B144" s="883"/>
      <c r="C144" s="884"/>
      <c r="D144" s="1058">
        <f>+D136+D137+D138+D139+D140+D141+D142+D143</f>
        <v>1100303.25</v>
      </c>
    </row>
    <row r="145" spans="1:19" x14ac:dyDescent="0.35">
      <c r="A145" s="724" t="s">
        <v>1270</v>
      </c>
      <c r="B145" s="729"/>
      <c r="C145" s="729"/>
      <c r="D145" s="731"/>
    </row>
    <row r="146" spans="1:19" x14ac:dyDescent="0.35">
      <c r="A146" s="1071" t="s">
        <v>11</v>
      </c>
      <c r="B146" s="1074"/>
      <c r="C146" s="1074"/>
      <c r="D146" s="1075">
        <f>+D144+D145</f>
        <v>1100303.25</v>
      </c>
    </row>
    <row r="150" spans="1:19" s="1042" customFormat="1" ht="23.5" x14ac:dyDescent="0.35">
      <c r="A150" s="1442" t="s">
        <v>1271</v>
      </c>
      <c r="B150" s="1443"/>
      <c r="C150" s="1443"/>
      <c r="D150" s="1444"/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2" t="s">
        <v>7</v>
      </c>
      <c r="B151" s="270" t="s">
        <v>388</v>
      </c>
      <c r="C151" s="217" t="s">
        <v>1037</v>
      </c>
      <c r="D151" s="597" t="s">
        <v>9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772" t="s">
        <v>3</v>
      </c>
      <c r="B152" s="258">
        <v>167</v>
      </c>
      <c r="C152" s="194">
        <v>3927</v>
      </c>
      <c r="D152" s="598">
        <f>+B152*C152</f>
        <v>655809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72" t="s">
        <v>394</v>
      </c>
      <c r="B153" s="258">
        <v>8</v>
      </c>
      <c r="C153" s="194">
        <f>+C152</f>
        <v>3927</v>
      </c>
      <c r="D153" s="609">
        <f>+B153*C153</f>
        <v>31416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772" t="s">
        <v>200</v>
      </c>
      <c r="B154" s="258"/>
      <c r="C154" s="194">
        <v>50000</v>
      </c>
      <c r="D154" s="609">
        <f>+C154</f>
        <v>50000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614" t="s">
        <v>6</v>
      </c>
      <c r="B155" s="617"/>
      <c r="C155" s="227">
        <v>100000</v>
      </c>
      <c r="D155" s="609">
        <f>+C155</f>
        <v>100000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614" t="s">
        <v>1035</v>
      </c>
      <c r="B156" s="617">
        <v>11</v>
      </c>
      <c r="C156" s="227">
        <f>+C152*1.5</f>
        <v>5890.5</v>
      </c>
      <c r="D156" s="609">
        <f>+B156*C156</f>
        <v>64795.5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614" t="s">
        <v>1036</v>
      </c>
      <c r="B157" s="617"/>
      <c r="C157" s="227">
        <f>+C152*2</f>
        <v>7854</v>
      </c>
      <c r="D157" s="609">
        <f>+C157*0</f>
        <v>0</v>
      </c>
      <c r="E157" s="553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190" customFormat="1" x14ac:dyDescent="0.35">
      <c r="A158" s="1149" t="s">
        <v>823</v>
      </c>
      <c r="B158" s="1150"/>
      <c r="C158" s="1151"/>
      <c r="D158" s="1210">
        <v>80000</v>
      </c>
      <c r="E158" s="1199"/>
      <c r="F158" s="1192"/>
      <c r="G158" s="1192"/>
      <c r="H158" s="1192"/>
      <c r="I158" s="1192"/>
      <c r="J158" s="1192"/>
      <c r="K158" s="1192"/>
      <c r="L158" s="1192"/>
      <c r="M158" s="1192"/>
      <c r="N158" s="1192"/>
      <c r="O158" s="1192"/>
      <c r="P158" s="1192"/>
      <c r="Q158" s="1192"/>
      <c r="R158" s="1192"/>
      <c r="S158" s="1192"/>
    </row>
    <row r="159" spans="1:19" s="1190" customFormat="1" x14ac:dyDescent="0.35">
      <c r="A159" s="1223"/>
      <c r="B159" s="1150"/>
      <c r="C159" s="1151"/>
      <c r="D159" s="1210"/>
      <c r="E159" s="1199"/>
      <c r="F159" s="1192"/>
      <c r="G159" s="1192"/>
      <c r="H159" s="1192"/>
      <c r="I159" s="1192"/>
      <c r="J159" s="1192"/>
      <c r="K159" s="1192"/>
      <c r="L159" s="1192"/>
      <c r="M159" s="1192"/>
      <c r="N159" s="1192"/>
      <c r="O159" s="1192"/>
      <c r="P159" s="1192"/>
      <c r="Q159" s="1192"/>
      <c r="R159" s="1192"/>
      <c r="S159" s="1192"/>
    </row>
    <row r="160" spans="1:19" s="1042" customFormat="1" x14ac:dyDescent="0.35">
      <c r="A160" s="882" t="s">
        <v>389</v>
      </c>
      <c r="B160" s="883"/>
      <c r="C160" s="884"/>
      <c r="D160" s="1058">
        <f>+D152+D153+D154+D155+D156+D157+D158+D159</f>
        <v>982020.5</v>
      </c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1211"/>
      <c r="B161" s="1212"/>
      <c r="C161" s="1213"/>
      <c r="D161" s="1214"/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724"/>
      <c r="B162" s="729"/>
      <c r="C162" s="729"/>
      <c r="D162" s="731"/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3" spans="1:19" s="1042" customFormat="1" x14ac:dyDescent="0.35">
      <c r="A163" s="1071" t="s">
        <v>11</v>
      </c>
      <c r="B163" s="1074"/>
      <c r="C163" s="1074"/>
      <c r="D163" s="1075">
        <f>+D160+D161+D162</f>
        <v>982020.5</v>
      </c>
      <c r="E163" s="553"/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</row>
    <row r="167" spans="1:19" ht="23.5" x14ac:dyDescent="0.35">
      <c r="A167" s="1442" t="s">
        <v>1272</v>
      </c>
      <c r="B167" s="1443"/>
      <c r="C167" s="1443"/>
      <c r="D167" s="1444"/>
    </row>
    <row r="168" spans="1:19" x14ac:dyDescent="0.35">
      <c r="A168" s="2" t="s">
        <v>7</v>
      </c>
      <c r="B168" s="270" t="s">
        <v>425</v>
      </c>
      <c r="C168" s="217" t="s">
        <v>272</v>
      </c>
      <c r="D168" s="597" t="s">
        <v>9</v>
      </c>
    </row>
    <row r="169" spans="1:19" x14ac:dyDescent="0.35">
      <c r="A169" s="772" t="s">
        <v>3</v>
      </c>
      <c r="B169" s="258">
        <v>167</v>
      </c>
      <c r="C169" s="194">
        <v>3179</v>
      </c>
      <c r="D169" s="598">
        <f>+B169*C169</f>
        <v>530893</v>
      </c>
    </row>
    <row r="170" spans="1:19" x14ac:dyDescent="0.35">
      <c r="A170" s="772" t="s">
        <v>394</v>
      </c>
      <c r="B170" s="258">
        <v>8</v>
      </c>
      <c r="C170" s="194">
        <f>+C169</f>
        <v>3179</v>
      </c>
      <c r="D170" s="609">
        <f>+B170*C170</f>
        <v>25432</v>
      </c>
    </row>
    <row r="171" spans="1:19" x14ac:dyDescent="0.35">
      <c r="A171" s="772" t="s">
        <v>1236</v>
      </c>
      <c r="B171" s="258"/>
      <c r="C171" s="194">
        <f>+C169</f>
        <v>3179</v>
      </c>
      <c r="D171" s="609">
        <f>+B171*C171</f>
        <v>0</v>
      </c>
    </row>
    <row r="172" spans="1:19" x14ac:dyDescent="0.35">
      <c r="A172" s="772" t="s">
        <v>200</v>
      </c>
      <c r="B172" s="258"/>
      <c r="C172" s="194">
        <v>50000</v>
      </c>
      <c r="D172" s="609">
        <f>+C172</f>
        <v>50000</v>
      </c>
    </row>
    <row r="173" spans="1:19" x14ac:dyDescent="0.35">
      <c r="A173" s="614" t="s">
        <v>6</v>
      </c>
      <c r="B173" s="617"/>
      <c r="C173" s="227">
        <v>40000</v>
      </c>
      <c r="D173" s="609">
        <f>+C173</f>
        <v>40000</v>
      </c>
    </row>
    <row r="174" spans="1:19" x14ac:dyDescent="0.35">
      <c r="A174" s="614" t="s">
        <v>1035</v>
      </c>
      <c r="B174" s="617">
        <v>10.5</v>
      </c>
      <c r="C174" s="227">
        <f>+C169*1.5</f>
        <v>4768.5</v>
      </c>
      <c r="D174" s="609">
        <f>+B174*C174</f>
        <v>50069.25</v>
      </c>
    </row>
    <row r="175" spans="1:19" x14ac:dyDescent="0.35">
      <c r="A175" s="614" t="s">
        <v>1036</v>
      </c>
      <c r="B175" s="617"/>
      <c r="C175" s="227">
        <f>+C169*2</f>
        <v>6358</v>
      </c>
      <c r="D175" s="609">
        <f>+B175*C175</f>
        <v>0</v>
      </c>
    </row>
    <row r="176" spans="1:19" s="1192" customFormat="1" x14ac:dyDescent="0.35">
      <c r="A176" s="1149" t="s">
        <v>823</v>
      </c>
      <c r="B176" s="1150"/>
      <c r="C176" s="1151"/>
      <c r="D176" s="1210">
        <v>100000</v>
      </c>
      <c r="E176" s="1199"/>
    </row>
    <row r="177" spans="1:5" s="1192" customFormat="1" x14ac:dyDescent="0.35">
      <c r="A177" s="1223"/>
      <c r="B177" s="1150"/>
      <c r="C177" s="1151"/>
      <c r="D177" s="1210"/>
      <c r="E177" s="1199"/>
    </row>
    <row r="178" spans="1:5" x14ac:dyDescent="0.35">
      <c r="A178" s="882" t="s">
        <v>389</v>
      </c>
      <c r="B178" s="883"/>
      <c r="C178" s="884"/>
      <c r="D178" s="1058">
        <f>+D169+D170+D171+D172+D173+D174+D175+D176+D177</f>
        <v>796394.25</v>
      </c>
    </row>
    <row r="179" spans="1:5" s="1070" customFormat="1" x14ac:dyDescent="0.35">
      <c r="A179" s="739" t="s">
        <v>19</v>
      </c>
      <c r="B179" s="1215"/>
      <c r="C179" s="1216"/>
      <c r="D179" s="736">
        <v>-200000</v>
      </c>
      <c r="E179" s="1234"/>
    </row>
    <row r="180" spans="1:5" x14ac:dyDescent="0.35">
      <c r="A180" s="1245"/>
      <c r="B180" s="729"/>
      <c r="C180" s="729"/>
      <c r="D180" s="731"/>
    </row>
    <row r="181" spans="1:5" x14ac:dyDescent="0.35">
      <c r="A181" s="1071" t="s">
        <v>11</v>
      </c>
      <c r="B181" s="1074"/>
      <c r="C181" s="1074"/>
      <c r="D181" s="1075">
        <f>+D178+D179+D180</f>
        <v>596394.25</v>
      </c>
    </row>
  </sheetData>
  <mergeCells count="20">
    <mergeCell ref="A82:C82"/>
    <mergeCell ref="A3:D3"/>
    <mergeCell ref="A14:C14"/>
    <mergeCell ref="A17:C17"/>
    <mergeCell ref="A20:D20"/>
    <mergeCell ref="A32:C32"/>
    <mergeCell ref="A37:D37"/>
    <mergeCell ref="A47:C47"/>
    <mergeCell ref="A55:D55"/>
    <mergeCell ref="A65:C65"/>
    <mergeCell ref="A70:D70"/>
    <mergeCell ref="A80:C80"/>
    <mergeCell ref="A150:D150"/>
    <mergeCell ref="A167:D167"/>
    <mergeCell ref="A85:D85"/>
    <mergeCell ref="A98:C98"/>
    <mergeCell ref="A103:D103"/>
    <mergeCell ref="A113:C113"/>
    <mergeCell ref="A119:D119"/>
    <mergeCell ref="A134:D134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6039-BE55-450D-8552-C4752BEB7AA9}">
  <sheetPr>
    <pageSetUpPr fitToPage="1"/>
  </sheetPr>
  <dimension ref="A1:G49"/>
  <sheetViews>
    <sheetView workbookViewId="0">
      <selection activeCell="E2" sqref="E2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2" style="774" customWidth="1"/>
    <col min="4" max="4" width="23.90625" style="774" customWidth="1"/>
    <col min="5" max="5" width="21.1796875" style="774" customWidth="1"/>
    <col min="6" max="6" width="19.36328125" style="774" customWidth="1"/>
    <col min="7" max="7" width="18.54296875" style="774" customWidth="1"/>
    <col min="8" max="16384" width="10.90625" style="771"/>
  </cols>
  <sheetData>
    <row r="1" spans="1:7" s="658" customFormat="1" ht="28.5" x14ac:dyDescent="0.65">
      <c r="A1" s="946"/>
      <c r="B1" s="1122" t="s">
        <v>1295</v>
      </c>
      <c r="C1" s="1237"/>
      <c r="D1" s="983"/>
      <c r="E1" s="983"/>
      <c r="F1" s="1039"/>
      <c r="G1" s="1039"/>
    </row>
    <row r="2" spans="1:7" s="658" customFormat="1" ht="28.5" x14ac:dyDescent="0.65">
      <c r="A2" s="946"/>
      <c r="C2" s="1237" t="s">
        <v>973</v>
      </c>
      <c r="D2" s="983">
        <f>+D18+D24</f>
        <v>5668000</v>
      </c>
      <c r="E2" s="983"/>
      <c r="F2" s="1039"/>
      <c r="G2" s="1039"/>
    </row>
    <row r="3" spans="1:7" s="658" customFormat="1" ht="28.5" x14ac:dyDescent="0.65">
      <c r="A3" s="946"/>
      <c r="C3" s="1237" t="s">
        <v>1296</v>
      </c>
      <c r="D3" s="983"/>
      <c r="E3" s="983">
        <f>+E24+E18</f>
        <v>5987500</v>
      </c>
      <c r="F3" s="1039"/>
      <c r="G3" s="983">
        <f>+G18+G24</f>
        <v>4833000</v>
      </c>
    </row>
    <row r="5" spans="1:7" x14ac:dyDescent="0.35">
      <c r="A5" s="1014"/>
      <c r="B5" s="964" t="s">
        <v>7</v>
      </c>
      <c r="C5" s="1052" t="s">
        <v>3</v>
      </c>
      <c r="D5" s="1052" t="s">
        <v>1205</v>
      </c>
      <c r="E5" s="1052" t="s">
        <v>1287</v>
      </c>
      <c r="F5" s="1260" t="s">
        <v>1297</v>
      </c>
      <c r="G5" s="1260" t="s">
        <v>1298</v>
      </c>
    </row>
    <row r="6" spans="1:7" x14ac:dyDescent="0.35">
      <c r="B6" s="258" t="s">
        <v>10</v>
      </c>
      <c r="C6" s="194">
        <v>1295847</v>
      </c>
      <c r="D6" s="195">
        <v>75000</v>
      </c>
      <c r="E6" s="194">
        <v>698000</v>
      </c>
      <c r="F6" s="194">
        <v>-579000</v>
      </c>
      <c r="G6" s="194">
        <f>+E6+F6</f>
        <v>119000</v>
      </c>
    </row>
    <row r="7" spans="1:7" x14ac:dyDescent="0.35">
      <c r="B7" s="258" t="s">
        <v>16</v>
      </c>
      <c r="C7" s="194">
        <v>1313509.3</v>
      </c>
      <c r="D7" s="195">
        <v>814000</v>
      </c>
      <c r="E7" s="194"/>
      <c r="F7" s="194"/>
      <c r="G7" s="194"/>
    </row>
    <row r="8" spans="1:7" x14ac:dyDescent="0.35">
      <c r="B8" s="258" t="s">
        <v>0</v>
      </c>
      <c r="C8" s="194">
        <v>1752420.55</v>
      </c>
      <c r="D8" s="195">
        <v>531000</v>
      </c>
      <c r="E8" s="194">
        <v>821000</v>
      </c>
      <c r="F8" s="194">
        <v>-579000</v>
      </c>
      <c r="G8" s="194">
        <f>+E8+F8</f>
        <v>242000</v>
      </c>
    </row>
    <row r="9" spans="1:7" x14ac:dyDescent="0.35">
      <c r="B9" s="258" t="s">
        <v>245</v>
      </c>
      <c r="C9" s="194"/>
      <c r="D9" s="195"/>
      <c r="E9" s="194">
        <v>529500</v>
      </c>
      <c r="F9" s="194"/>
      <c r="G9" s="194">
        <v>530000</v>
      </c>
    </row>
    <row r="10" spans="1:7" x14ac:dyDescent="0.35">
      <c r="B10" s="258" t="s">
        <v>463</v>
      </c>
      <c r="C10" s="194">
        <v>1148083.75</v>
      </c>
      <c r="D10" s="195">
        <v>749000</v>
      </c>
      <c r="E10" s="194">
        <v>593500</v>
      </c>
      <c r="F10" s="194"/>
      <c r="G10" s="194">
        <v>594000</v>
      </c>
    </row>
    <row r="11" spans="1:7" x14ac:dyDescent="0.35">
      <c r="B11" s="258" t="s">
        <v>1116</v>
      </c>
      <c r="C11" s="194"/>
      <c r="D11" s="195"/>
      <c r="E11" s="194">
        <v>548500</v>
      </c>
      <c r="F11" s="194"/>
      <c r="G11" s="194">
        <v>549000</v>
      </c>
    </row>
    <row r="12" spans="1:7" x14ac:dyDescent="0.35">
      <c r="B12" s="258" t="s">
        <v>260</v>
      </c>
      <c r="C12" s="194">
        <v>1198926.75</v>
      </c>
      <c r="D12" s="195">
        <v>999000</v>
      </c>
      <c r="E12" s="194">
        <v>589500</v>
      </c>
      <c r="F12" s="194"/>
      <c r="G12" s="194">
        <v>590000</v>
      </c>
    </row>
    <row r="13" spans="1:7" x14ac:dyDescent="0.35">
      <c r="B13" s="617" t="s">
        <v>613</v>
      </c>
      <c r="C13" s="227">
        <v>1325538</v>
      </c>
      <c r="D13" s="195">
        <v>1428000</v>
      </c>
      <c r="E13" s="194">
        <v>673500</v>
      </c>
      <c r="F13" s="194"/>
      <c r="G13" s="194">
        <v>674000</v>
      </c>
    </row>
    <row r="14" spans="1:7" x14ac:dyDescent="0.35">
      <c r="B14" s="315" t="s">
        <v>1068</v>
      </c>
      <c r="C14" s="1238"/>
      <c r="D14" s="195"/>
      <c r="E14" s="194">
        <v>428000</v>
      </c>
      <c r="F14" s="194"/>
      <c r="G14" s="194">
        <v>428000</v>
      </c>
    </row>
    <row r="15" spans="1:7" x14ac:dyDescent="0.35">
      <c r="B15" s="315"/>
      <c r="C15" s="1238"/>
      <c r="D15" s="194"/>
      <c r="E15" s="194"/>
      <c r="F15" s="194"/>
      <c r="G15" s="194"/>
    </row>
    <row r="16" spans="1:7" x14ac:dyDescent="0.35">
      <c r="B16" s="315"/>
      <c r="C16" s="1238"/>
      <c r="D16" s="194"/>
      <c r="E16" s="194"/>
      <c r="F16" s="194"/>
      <c r="G16" s="194"/>
    </row>
    <row r="17" spans="1:7" x14ac:dyDescent="0.35">
      <c r="B17" s="315"/>
      <c r="C17" s="1238"/>
      <c r="D17" s="194"/>
      <c r="E17" s="194"/>
      <c r="F17" s="194"/>
      <c r="G17" s="194"/>
    </row>
    <row r="18" spans="1:7" x14ac:dyDescent="0.35">
      <c r="B18" s="1016" t="s">
        <v>872</v>
      </c>
      <c r="C18" s="1239"/>
      <c r="D18" s="195">
        <f>SUM(D6:D16)</f>
        <v>4596000</v>
      </c>
      <c r="E18" s="195">
        <f>+E6+E7+E8+E9+E10+E11+E12+E13+E14+E15+E16+E17</f>
        <v>4881500</v>
      </c>
      <c r="F18" s="194"/>
      <c r="G18" s="1151">
        <f>+G6+G8+G9+G10+G11+G12+G13+G14</f>
        <v>3726000</v>
      </c>
    </row>
    <row r="19" spans="1:7" x14ac:dyDescent="0.35">
      <c r="B19" s="261"/>
    </row>
    <row r="20" spans="1:7" x14ac:dyDescent="0.35">
      <c r="B20" s="261"/>
    </row>
    <row r="21" spans="1:7" x14ac:dyDescent="0.35">
      <c r="B21" s="261"/>
    </row>
    <row r="22" spans="1:7" x14ac:dyDescent="0.35">
      <c r="B22" s="258" t="s">
        <v>267</v>
      </c>
      <c r="C22" s="194"/>
      <c r="D22" s="195"/>
      <c r="E22" s="194">
        <v>561500</v>
      </c>
      <c r="F22" s="194"/>
      <c r="G22" s="194">
        <v>562000</v>
      </c>
    </row>
    <row r="23" spans="1:7" x14ac:dyDescent="0.35">
      <c r="B23" s="258" t="s">
        <v>1038</v>
      </c>
      <c r="C23" s="194">
        <v>1071948.8</v>
      </c>
      <c r="D23" s="195">
        <v>1072000</v>
      </c>
      <c r="E23" s="194">
        <v>544500</v>
      </c>
      <c r="F23" s="194"/>
      <c r="G23" s="194">
        <v>545000</v>
      </c>
    </row>
    <row r="24" spans="1:7" s="90" customFormat="1" x14ac:dyDescent="0.35">
      <c r="B24" s="274" t="s">
        <v>972</v>
      </c>
      <c r="C24" s="195"/>
      <c r="D24" s="195">
        <f>+D22+D23</f>
        <v>1072000</v>
      </c>
      <c r="E24" s="195">
        <f>+E22+E23</f>
        <v>1106000</v>
      </c>
      <c r="F24" s="195"/>
      <c r="G24" s="1151">
        <f>+G22+G23</f>
        <v>1107000</v>
      </c>
    </row>
    <row r="27" spans="1:7" x14ac:dyDescent="0.35">
      <c r="B27" s="274" t="s">
        <v>7</v>
      </c>
      <c r="C27" s="1052" t="s">
        <v>272</v>
      </c>
      <c r="D27" s="1052" t="s">
        <v>6</v>
      </c>
      <c r="E27" s="1109" t="s">
        <v>200</v>
      </c>
    </row>
    <row r="28" spans="1:7" x14ac:dyDescent="0.35">
      <c r="A28" s="771">
        <v>1</v>
      </c>
      <c r="B28" s="258" t="s">
        <v>10</v>
      </c>
      <c r="C28" s="194">
        <v>4753</v>
      </c>
      <c r="D28" s="194">
        <v>100000</v>
      </c>
      <c r="E28" s="598">
        <v>50000</v>
      </c>
    </row>
    <row r="29" spans="1:7" x14ac:dyDescent="0.35">
      <c r="A29" s="771">
        <v>2</v>
      </c>
      <c r="B29" s="258" t="s">
        <v>16</v>
      </c>
      <c r="C29" s="194">
        <v>4547</v>
      </c>
      <c r="D29" s="194">
        <v>100000</v>
      </c>
      <c r="E29" s="598">
        <v>50000</v>
      </c>
    </row>
    <row r="30" spans="1:7" x14ac:dyDescent="0.35">
      <c r="A30" s="771">
        <v>3</v>
      </c>
      <c r="B30" s="258" t="s">
        <v>0</v>
      </c>
      <c r="C30" s="194">
        <v>5967</v>
      </c>
      <c r="D30" s="194">
        <v>100000</v>
      </c>
      <c r="E30" s="598">
        <v>50000</v>
      </c>
    </row>
    <row r="31" spans="1:7" x14ac:dyDescent="0.35">
      <c r="A31" s="176">
        <v>4</v>
      </c>
      <c r="B31" s="258" t="s">
        <v>267</v>
      </c>
      <c r="C31" s="194">
        <v>3927</v>
      </c>
      <c r="D31" s="194">
        <v>100000</v>
      </c>
      <c r="E31" s="598">
        <v>50000</v>
      </c>
    </row>
    <row r="32" spans="1:7" x14ac:dyDescent="0.35">
      <c r="A32" s="176">
        <v>5</v>
      </c>
      <c r="B32" s="258" t="s">
        <v>245</v>
      </c>
      <c r="C32" s="194">
        <v>3636</v>
      </c>
      <c r="D32" s="194">
        <v>100000</v>
      </c>
      <c r="E32" s="598">
        <v>50000</v>
      </c>
    </row>
    <row r="33" spans="1:5" x14ac:dyDescent="0.35">
      <c r="A33" s="176">
        <v>6</v>
      </c>
      <c r="B33" s="258" t="s">
        <v>463</v>
      </c>
      <c r="C33" s="194">
        <v>3613</v>
      </c>
      <c r="D33" s="194">
        <v>80000</v>
      </c>
      <c r="E33" s="598">
        <v>50000</v>
      </c>
    </row>
    <row r="34" spans="1:5" x14ac:dyDescent="0.35">
      <c r="A34" s="176">
        <v>7</v>
      </c>
      <c r="B34" s="258" t="s">
        <v>553</v>
      </c>
      <c r="C34" s="194">
        <v>3636</v>
      </c>
      <c r="D34" s="194">
        <v>100000</v>
      </c>
      <c r="E34" s="598">
        <v>50000</v>
      </c>
    </row>
    <row r="35" spans="1:5" x14ac:dyDescent="0.35">
      <c r="A35" s="176">
        <v>8</v>
      </c>
      <c r="B35" s="258" t="s">
        <v>260</v>
      </c>
      <c r="C35" s="194">
        <v>5331</v>
      </c>
      <c r="D35" s="194">
        <v>100000</v>
      </c>
      <c r="E35" s="598">
        <v>50000</v>
      </c>
    </row>
    <row r="36" spans="1:5" x14ac:dyDescent="0.35">
      <c r="A36" s="176">
        <v>9</v>
      </c>
      <c r="B36" s="258" t="s">
        <v>613</v>
      </c>
      <c r="C36" s="194">
        <v>5331</v>
      </c>
      <c r="D36" s="194">
        <v>100000</v>
      </c>
      <c r="E36" s="598">
        <v>50000</v>
      </c>
    </row>
    <row r="37" spans="1:5" x14ac:dyDescent="0.35">
      <c r="A37" s="176">
        <v>10</v>
      </c>
      <c r="B37" s="258" t="s">
        <v>1038</v>
      </c>
      <c r="C37" s="194">
        <v>3927</v>
      </c>
      <c r="D37" s="194">
        <v>100000</v>
      </c>
      <c r="E37" s="598">
        <v>50000</v>
      </c>
    </row>
    <row r="38" spans="1:5" x14ac:dyDescent="0.35">
      <c r="A38" s="176">
        <v>11</v>
      </c>
      <c r="B38" s="315" t="s">
        <v>1068</v>
      </c>
      <c r="C38" s="194">
        <v>3179</v>
      </c>
      <c r="D38" s="194">
        <v>40000</v>
      </c>
      <c r="E38" s="598">
        <v>50000</v>
      </c>
    </row>
    <row r="39" spans="1:5" x14ac:dyDescent="0.35">
      <c r="A39" s="176">
        <v>12</v>
      </c>
      <c r="B39" s="315"/>
      <c r="C39" s="194"/>
      <c r="D39" s="194"/>
      <c r="E39" s="598"/>
    </row>
    <row r="40" spans="1:5" x14ac:dyDescent="0.35">
      <c r="A40" s="176">
        <v>13</v>
      </c>
      <c r="B40" s="315"/>
      <c r="C40" s="194"/>
      <c r="D40" s="194"/>
      <c r="E40" s="598"/>
    </row>
    <row r="41" spans="1:5" x14ac:dyDescent="0.35">
      <c r="B41" s="315"/>
      <c r="C41" s="194"/>
      <c r="D41" s="194"/>
      <c r="E41" s="598"/>
    </row>
    <row r="42" spans="1:5" x14ac:dyDescent="0.35">
      <c r="B42" s="1121"/>
      <c r="C42" s="1240"/>
      <c r="D42" s="204"/>
      <c r="E42" s="205"/>
    </row>
    <row r="44" spans="1:5" x14ac:dyDescent="0.35">
      <c r="A44" s="701" t="s">
        <v>106</v>
      </c>
      <c r="B44" s="702" t="s">
        <v>873</v>
      </c>
      <c r="C44" s="1241"/>
      <c r="D44" s="1013" t="s">
        <v>803</v>
      </c>
      <c r="E44" s="1092" t="s">
        <v>7</v>
      </c>
    </row>
    <row r="45" spans="1:5" x14ac:dyDescent="0.35">
      <c r="A45" s="703">
        <v>15</v>
      </c>
      <c r="B45" s="703">
        <v>9</v>
      </c>
      <c r="C45" s="1242"/>
      <c r="D45" s="964">
        <f>+A45*B45</f>
        <v>135</v>
      </c>
      <c r="E45" s="593" t="s">
        <v>874</v>
      </c>
    </row>
    <row r="46" spans="1:5" x14ac:dyDescent="0.35">
      <c r="A46" s="703">
        <v>4</v>
      </c>
      <c r="B46" s="703">
        <v>8</v>
      </c>
      <c r="C46" s="1242"/>
      <c r="D46" s="964">
        <f>+A46*B46</f>
        <v>32</v>
      </c>
      <c r="E46" s="593" t="s">
        <v>117</v>
      </c>
    </row>
    <row r="47" spans="1:5" x14ac:dyDescent="0.35">
      <c r="A47" s="703"/>
      <c r="B47" s="703">
        <v>7</v>
      </c>
      <c r="C47" s="1242"/>
      <c r="D47" s="964">
        <f>+A47*B47</f>
        <v>0</v>
      </c>
      <c r="E47" s="593"/>
    </row>
    <row r="48" spans="1:5" x14ac:dyDescent="0.35">
      <c r="A48" s="703">
        <v>1</v>
      </c>
      <c r="B48" s="703">
        <v>8</v>
      </c>
      <c r="C48" s="1242"/>
      <c r="D48" s="964">
        <f>+A48*B48</f>
        <v>8</v>
      </c>
      <c r="E48" s="593" t="s">
        <v>111</v>
      </c>
    </row>
    <row r="49" spans="1:5" x14ac:dyDescent="0.35">
      <c r="A49" s="568"/>
      <c r="B49" s="773"/>
      <c r="C49" s="194"/>
      <c r="D49" s="964">
        <f>+D45+D46+D47+D48</f>
        <v>175</v>
      </c>
      <c r="E49" s="593" t="s">
        <v>1255</v>
      </c>
    </row>
  </sheetData>
  <pageMargins left="0.7" right="0.7" top="0.75" bottom="0.75" header="0.3" footer="0.3"/>
  <pageSetup paperSize="9" scale="87" fitToHeight="0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F7AE-16E9-4005-B3B9-9355DE0D2DE5}">
  <sheetPr>
    <pageSetUpPr fitToPage="1"/>
  </sheetPr>
  <dimension ref="A1:S201"/>
  <sheetViews>
    <sheetView zoomScaleNormal="100" workbookViewId="0">
      <selection activeCell="F158" sqref="F158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45992</v>
      </c>
    </row>
    <row r="3" spans="1:18" ht="25.5" customHeight="1" x14ac:dyDescent="0.35">
      <c r="A3" s="1466" t="s">
        <v>1284</v>
      </c>
      <c r="B3" s="1431"/>
      <c r="C3" s="1431"/>
      <c r="D3" s="1431"/>
    </row>
    <row r="4" spans="1:18" s="1255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v>35</v>
      </c>
      <c r="C5" s="227">
        <v>4753</v>
      </c>
      <c r="D5" s="598">
        <f>+B5*C5</f>
        <v>166355</v>
      </c>
      <c r="Q5" s="1255"/>
    </row>
    <row r="6" spans="1:18" ht="18" customHeight="1" x14ac:dyDescent="0.35">
      <c r="A6" s="772" t="s">
        <v>403</v>
      </c>
      <c r="B6" s="258">
        <v>8</v>
      </c>
      <c r="C6" s="227">
        <f>+C5</f>
        <v>4753</v>
      </c>
      <c r="D6" s="598">
        <f>+B6*C6</f>
        <v>38024</v>
      </c>
      <c r="F6" s="176"/>
      <c r="Q6" s="774"/>
    </row>
    <row r="7" spans="1:18" ht="18" customHeight="1" x14ac:dyDescent="0.35">
      <c r="A7" s="772" t="s">
        <v>1311</v>
      </c>
      <c r="B7" s="258">
        <v>132</v>
      </c>
      <c r="C7" s="227">
        <f>+C5</f>
        <v>4753</v>
      </c>
      <c r="D7" s="598">
        <f>+B7*C7</f>
        <v>627396</v>
      </c>
      <c r="F7" s="176"/>
      <c r="Q7" s="774"/>
    </row>
    <row r="8" spans="1:18" ht="18" customHeight="1" x14ac:dyDescent="0.35">
      <c r="A8" s="772" t="s">
        <v>196</v>
      </c>
      <c r="B8" s="258"/>
      <c r="C8" s="227">
        <v>50000</v>
      </c>
      <c r="D8" s="598"/>
      <c r="F8" s="176"/>
    </row>
    <row r="9" spans="1:18" ht="18" customHeight="1" x14ac:dyDescent="0.35">
      <c r="A9" s="772" t="s">
        <v>6</v>
      </c>
      <c r="B9" s="258"/>
      <c r="C9" s="227">
        <v>100000</v>
      </c>
      <c r="D9" s="598">
        <v>100000</v>
      </c>
      <c r="F9" s="176"/>
    </row>
    <row r="10" spans="1:18" ht="18" customHeight="1" x14ac:dyDescent="0.35">
      <c r="A10" s="772" t="s">
        <v>467</v>
      </c>
      <c r="B10" s="258"/>
      <c r="C10" s="194">
        <f>+C5*1.5</f>
        <v>7129.5</v>
      </c>
      <c r="D10" s="598">
        <f>+B10*C10</f>
        <v>0</v>
      </c>
      <c r="F10" s="176"/>
    </row>
    <row r="11" spans="1:18" ht="18" customHeight="1" x14ac:dyDescent="0.35">
      <c r="A11" s="772" t="s">
        <v>281</v>
      </c>
      <c r="B11" s="258"/>
      <c r="C11" s="194">
        <f>+C5*2</f>
        <v>9506</v>
      </c>
      <c r="D11" s="598">
        <f>+B11*C11</f>
        <v>0</v>
      </c>
      <c r="F11" s="176"/>
    </row>
    <row r="12" spans="1:18" s="1192" customFormat="1" ht="18" customHeight="1" x14ac:dyDescent="0.35">
      <c r="A12" s="1149" t="s">
        <v>823</v>
      </c>
      <c r="B12" s="1150"/>
      <c r="C12" s="1151"/>
      <c r="D12" s="1152">
        <v>250000</v>
      </c>
      <c r="E12" s="1199"/>
      <c r="F12" s="1191"/>
      <c r="R12" s="1193"/>
    </row>
    <row r="13" spans="1:18" s="1192" customFormat="1" ht="18" customHeight="1" x14ac:dyDescent="0.35">
      <c r="A13" s="1149" t="s">
        <v>1303</v>
      </c>
      <c r="B13" s="1150">
        <f>3*8</f>
        <v>24</v>
      </c>
      <c r="C13" s="1151">
        <f>+C5</f>
        <v>4753</v>
      </c>
      <c r="D13" s="1152">
        <f>+B13*C13</f>
        <v>114072</v>
      </c>
      <c r="E13" s="1199"/>
      <c r="F13" s="1191"/>
      <c r="R13" s="1193"/>
    </row>
    <row r="14" spans="1:18" ht="18" customHeight="1" x14ac:dyDescent="0.35">
      <c r="A14" s="1470" t="s">
        <v>389</v>
      </c>
      <c r="B14" s="1470"/>
      <c r="C14" s="1470"/>
      <c r="D14" s="599">
        <f>+D5+D6+D7+D8+D9+D10+D11+D12+D13</f>
        <v>1295847</v>
      </c>
      <c r="F14" s="248"/>
      <c r="G14" s="248"/>
      <c r="H14" s="248"/>
      <c r="I14" s="248"/>
      <c r="J14" s="248"/>
      <c r="K14" s="248"/>
      <c r="L14" s="248"/>
      <c r="M14" s="248"/>
      <c r="O14" s="1255"/>
    </row>
    <row r="15" spans="1:18" ht="18" customHeight="1" x14ac:dyDescent="0.35">
      <c r="A15" s="800" t="s">
        <v>1313</v>
      </c>
      <c r="B15" s="720"/>
      <c r="C15" s="720"/>
      <c r="D15" s="722">
        <v>-614112.44999999995</v>
      </c>
      <c r="F15" s="248"/>
      <c r="G15" s="248"/>
      <c r="H15" s="248"/>
      <c r="I15" s="248"/>
      <c r="J15" s="248"/>
      <c r="K15" s="248"/>
      <c r="L15" s="248"/>
      <c r="M15" s="248"/>
      <c r="O15" s="1255"/>
    </row>
    <row r="16" spans="1:18" ht="18" customHeight="1" x14ac:dyDescent="0.35">
      <c r="A16" s="1141" t="s">
        <v>1312</v>
      </c>
      <c r="B16" s="721"/>
      <c r="C16" s="905"/>
      <c r="D16" s="722">
        <v>-607527.63</v>
      </c>
      <c r="F16" s="248"/>
      <c r="G16" s="248"/>
      <c r="H16" s="248"/>
      <c r="I16" s="248"/>
      <c r="J16" s="248"/>
      <c r="K16" s="248"/>
      <c r="L16" s="248"/>
      <c r="M16" s="248"/>
      <c r="O16" s="1255"/>
    </row>
    <row r="17" spans="1:19" ht="18" customHeight="1" x14ac:dyDescent="0.35">
      <c r="A17" s="1433" t="s">
        <v>11</v>
      </c>
      <c r="B17" s="1433"/>
      <c r="C17" s="1433"/>
      <c r="D17" s="603">
        <f>+D14+D15+D16</f>
        <v>74206.920000000042</v>
      </c>
      <c r="F17" s="321"/>
      <c r="G17" s="321"/>
      <c r="H17" s="473"/>
      <c r="I17" s="321"/>
      <c r="J17" s="321"/>
      <c r="Q17" s="1255"/>
    </row>
    <row r="18" spans="1:19" ht="18" customHeight="1" x14ac:dyDescent="0.35">
      <c r="A18" s="1053"/>
      <c r="B18" s="1054"/>
      <c r="C18" s="1054"/>
      <c r="D18" s="1055"/>
      <c r="F18" s="321"/>
      <c r="G18" s="321"/>
      <c r="H18" s="473"/>
      <c r="I18" s="321"/>
      <c r="J18" s="321"/>
      <c r="Q18" s="1255"/>
    </row>
    <row r="19" spans="1:19" s="908" customFormat="1" ht="18" customHeight="1" x14ac:dyDescent="0.35">
      <c r="A19" s="689"/>
      <c r="B19" s="689"/>
      <c r="C19" s="689"/>
      <c r="D19" s="688"/>
      <c r="E19" s="768"/>
      <c r="I19" s="910"/>
      <c r="J19" s="911"/>
      <c r="K19" s="912"/>
      <c r="L19" s="912"/>
      <c r="M19" s="910"/>
      <c r="N19" s="910"/>
      <c r="O19" s="910"/>
      <c r="P19" s="764"/>
      <c r="S19" s="764"/>
    </row>
    <row r="20" spans="1:19" ht="18" customHeight="1" x14ac:dyDescent="0.45">
      <c r="A20" s="1450" t="s">
        <v>1304</v>
      </c>
      <c r="B20" s="1451"/>
      <c r="C20" s="1451"/>
      <c r="D20" s="1452"/>
      <c r="E20" s="796"/>
      <c r="J20" s="185"/>
      <c r="K20" s="181"/>
      <c r="L20" s="181"/>
      <c r="M20" s="181"/>
      <c r="N20" s="181"/>
    </row>
    <row r="21" spans="1:19" ht="18" customHeight="1" x14ac:dyDescent="0.35">
      <c r="A21" s="604" t="s">
        <v>7</v>
      </c>
      <c r="B21" s="605" t="s">
        <v>8</v>
      </c>
      <c r="C21" s="606" t="s">
        <v>4</v>
      </c>
      <c r="D21" s="606" t="s">
        <v>9</v>
      </c>
      <c r="J21" s="185"/>
      <c r="K21" s="181"/>
      <c r="L21" s="181"/>
      <c r="M21" s="184"/>
    </row>
    <row r="22" spans="1:19" ht="18" customHeight="1" x14ac:dyDescent="0.35">
      <c r="A22" s="607" t="s">
        <v>3</v>
      </c>
      <c r="B22" s="267">
        <v>114</v>
      </c>
      <c r="C22" s="211">
        <v>4547</v>
      </c>
      <c r="D22" s="211">
        <f>+B22*C22</f>
        <v>518358</v>
      </c>
      <c r="J22" s="182"/>
    </row>
    <row r="23" spans="1:19" ht="18" customHeight="1" x14ac:dyDescent="0.35">
      <c r="A23" s="607" t="s">
        <v>369</v>
      </c>
      <c r="B23" s="267">
        <v>16</v>
      </c>
      <c r="C23" s="211">
        <f>+C22</f>
        <v>4547</v>
      </c>
      <c r="D23" s="211">
        <f>+B23*C23</f>
        <v>72752</v>
      </c>
      <c r="J23" s="182"/>
    </row>
    <row r="24" spans="1:19" ht="18" customHeight="1" x14ac:dyDescent="0.35">
      <c r="A24" s="607" t="s">
        <v>1314</v>
      </c>
      <c r="B24" s="267">
        <f>8*8</f>
        <v>64</v>
      </c>
      <c r="C24" s="211">
        <f>+C22</f>
        <v>4547</v>
      </c>
      <c r="D24" s="211">
        <f>+B24*C24</f>
        <v>291008</v>
      </c>
      <c r="J24" s="182"/>
    </row>
    <row r="25" spans="1:19" ht="18" customHeight="1" x14ac:dyDescent="0.35">
      <c r="A25" s="772" t="s">
        <v>196</v>
      </c>
      <c r="B25" s="267"/>
      <c r="C25" s="211">
        <v>50000</v>
      </c>
      <c r="D25" s="211"/>
      <c r="I25" s="1255"/>
    </row>
    <row r="26" spans="1:19" ht="18" customHeight="1" x14ac:dyDescent="0.35">
      <c r="A26" s="772" t="s">
        <v>6</v>
      </c>
      <c r="B26" s="267"/>
      <c r="C26" s="211">
        <v>100000</v>
      </c>
      <c r="D26" s="211">
        <f>+C26</f>
        <v>100000</v>
      </c>
      <c r="I26" s="1255"/>
    </row>
    <row r="27" spans="1:19" ht="18" customHeight="1" x14ac:dyDescent="0.35">
      <c r="A27" s="772" t="s">
        <v>1028</v>
      </c>
      <c r="B27" s="267">
        <v>4</v>
      </c>
      <c r="C27" s="211">
        <f>+C22*1.5</f>
        <v>6820.5</v>
      </c>
      <c r="D27" s="211">
        <f>B27*C27</f>
        <v>27282</v>
      </c>
      <c r="E27" s="1025"/>
      <c r="F27" s="181"/>
      <c r="G27" s="187"/>
      <c r="H27" s="188"/>
      <c r="I27" s="1255"/>
      <c r="L27" s="1255"/>
    </row>
    <row r="28" spans="1:19" ht="18" customHeight="1" x14ac:dyDescent="0.35">
      <c r="A28" s="772" t="s">
        <v>281</v>
      </c>
      <c r="B28" s="267"/>
      <c r="C28" s="211">
        <f>+C22*2</f>
        <v>9094</v>
      </c>
      <c r="D28" s="211">
        <f>+B28*C28</f>
        <v>0</v>
      </c>
      <c r="E28" s="1025"/>
      <c r="F28" s="181"/>
      <c r="G28" s="187"/>
      <c r="H28" s="188"/>
      <c r="I28" s="1255"/>
      <c r="L28" s="1255"/>
    </row>
    <row r="29" spans="1:19" s="1192" customFormat="1" ht="18" customHeight="1" x14ac:dyDescent="0.35">
      <c r="A29" s="1149" t="s">
        <v>1040</v>
      </c>
      <c r="B29" s="1196"/>
      <c r="C29" s="1197"/>
      <c r="D29" s="1197">
        <v>250000</v>
      </c>
      <c r="E29" s="1233"/>
      <c r="F29" s="1198"/>
      <c r="G29" s="1195"/>
      <c r="H29" s="1195"/>
      <c r="I29" s="1193"/>
      <c r="L29" s="1193"/>
    </row>
    <row r="30" spans="1:19" s="1192" customFormat="1" ht="18" customHeight="1" x14ac:dyDescent="0.35">
      <c r="A30" s="1149" t="s">
        <v>1323</v>
      </c>
      <c r="B30" s="1196">
        <v>7</v>
      </c>
      <c r="C30" s="1197">
        <f>+C22*1.7</f>
        <v>7729.9</v>
      </c>
      <c r="D30" s="1197">
        <f>+B30*C30</f>
        <v>54109.299999999996</v>
      </c>
      <c r="E30" s="1233"/>
      <c r="F30" s="1198"/>
      <c r="G30" s="1195"/>
      <c r="H30" s="1195"/>
      <c r="I30" s="1193"/>
      <c r="L30" s="1193"/>
    </row>
    <row r="31" spans="1:19" s="1255" customFormat="1" ht="18" customHeight="1" x14ac:dyDescent="0.35">
      <c r="A31" s="1463" t="s">
        <v>389</v>
      </c>
      <c r="B31" s="1464"/>
      <c r="C31" s="1465"/>
      <c r="D31" s="599">
        <f>+D22+D23+D24+D25+D26+D27+D28+D29+D30</f>
        <v>1313509.3</v>
      </c>
      <c r="E31" s="553"/>
      <c r="F31" s="181"/>
      <c r="G31" s="181"/>
      <c r="H31" s="184"/>
      <c r="I31" s="771"/>
      <c r="K31" s="771"/>
      <c r="L31" s="771"/>
    </row>
    <row r="32" spans="1:19" s="1261" customFormat="1" ht="18" customHeight="1" x14ac:dyDescent="0.35">
      <c r="A32" s="723" t="s">
        <v>1316</v>
      </c>
      <c r="B32" s="891"/>
      <c r="C32" s="891"/>
      <c r="D32" s="722"/>
      <c r="E32" s="553" t="s">
        <v>1324</v>
      </c>
      <c r="F32" s="181"/>
      <c r="G32" s="181"/>
      <c r="H32" s="184"/>
      <c r="I32" s="771"/>
      <c r="K32" s="771"/>
      <c r="L32" s="771"/>
    </row>
    <row r="33" spans="1:17" s="1255" customFormat="1" ht="18" customHeight="1" x14ac:dyDescent="0.35">
      <c r="A33" s="825" t="s">
        <v>1315</v>
      </c>
      <c r="B33" s="824"/>
      <c r="C33" s="823"/>
      <c r="D33" s="930">
        <v>-500000</v>
      </c>
      <c r="E33" s="553"/>
      <c r="F33" s="181"/>
      <c r="G33" s="181"/>
      <c r="H33" s="184"/>
      <c r="I33" s="771"/>
      <c r="K33" s="771"/>
      <c r="L33" s="771"/>
    </row>
    <row r="34" spans="1:17" ht="18" customHeight="1" x14ac:dyDescent="0.35">
      <c r="A34" s="786" t="s">
        <v>11</v>
      </c>
      <c r="B34" s="783"/>
      <c r="C34" s="783"/>
      <c r="D34" s="784">
        <f>+D31+D32+D33</f>
        <v>813509.3</v>
      </c>
      <c r="F34" s="181"/>
      <c r="G34" s="181"/>
      <c r="H34" s="184"/>
    </row>
    <row r="35" spans="1:17" ht="18" customHeight="1" x14ac:dyDescent="0.35">
      <c r="A35" s="1047"/>
      <c r="B35" s="594"/>
      <c r="C35" s="594"/>
      <c r="D35" s="595"/>
      <c r="F35" s="181"/>
      <c r="G35" s="181"/>
      <c r="H35" s="184"/>
    </row>
    <row r="36" spans="1:17" ht="18" customHeight="1" x14ac:dyDescent="0.35">
      <c r="A36" s="594"/>
      <c r="B36" s="594"/>
      <c r="C36" s="594"/>
      <c r="D36" s="595"/>
      <c r="F36" s="181"/>
      <c r="G36" s="181"/>
      <c r="H36" s="184"/>
    </row>
    <row r="37" spans="1:17" ht="18" customHeight="1" x14ac:dyDescent="0.35">
      <c r="A37" s="1431" t="s">
        <v>1317</v>
      </c>
      <c r="B37" s="1431"/>
      <c r="C37" s="1431"/>
      <c r="D37" s="1431"/>
      <c r="F37" s="181"/>
      <c r="G37" s="181"/>
      <c r="H37" s="184"/>
    </row>
    <row r="38" spans="1:17" ht="18" customHeight="1" x14ac:dyDescent="0.35">
      <c r="A38" s="2"/>
      <c r="B38" s="270" t="s">
        <v>8</v>
      </c>
      <c r="C38" s="217" t="s">
        <v>4</v>
      </c>
      <c r="D38" s="597" t="s">
        <v>9</v>
      </c>
      <c r="F38" s="181"/>
      <c r="G38" s="181"/>
      <c r="H38" s="184"/>
    </row>
    <row r="39" spans="1:17" ht="18" customHeight="1" x14ac:dyDescent="0.35">
      <c r="A39" s="772" t="s">
        <v>253</v>
      </c>
      <c r="B39" s="258">
        <v>158</v>
      </c>
      <c r="C39" s="194">
        <v>5967</v>
      </c>
      <c r="D39" s="598">
        <f>+B39*C39</f>
        <v>942786</v>
      </c>
      <c r="F39" s="181"/>
      <c r="G39" s="181"/>
      <c r="H39" s="184"/>
    </row>
    <row r="40" spans="1:17" ht="18" customHeight="1" x14ac:dyDescent="0.35">
      <c r="A40" s="772" t="s">
        <v>369</v>
      </c>
      <c r="B40" s="258">
        <f>2*8</f>
        <v>16</v>
      </c>
      <c r="C40" s="194">
        <f>+C39</f>
        <v>5967</v>
      </c>
      <c r="D40" s="598">
        <f>+B40*C40</f>
        <v>95472</v>
      </c>
      <c r="F40" s="181"/>
      <c r="G40" s="181"/>
      <c r="H40" s="184"/>
    </row>
    <row r="41" spans="1:17" ht="15" customHeight="1" x14ac:dyDescent="0.35">
      <c r="A41" s="772" t="s">
        <v>196</v>
      </c>
      <c r="B41" s="258"/>
      <c r="C41" s="194">
        <v>50000</v>
      </c>
      <c r="D41" s="598">
        <f>+C41</f>
        <v>50000</v>
      </c>
      <c r="F41" s="181"/>
      <c r="G41" s="181"/>
      <c r="H41" s="184"/>
      <c r="I41" s="1255"/>
    </row>
    <row r="42" spans="1:17" ht="15" customHeight="1" x14ac:dyDescent="0.35">
      <c r="A42" s="772" t="s">
        <v>6</v>
      </c>
      <c r="B42" s="258"/>
      <c r="C42" s="194">
        <v>100000</v>
      </c>
      <c r="D42" s="598">
        <f>+C42</f>
        <v>100000</v>
      </c>
      <c r="F42" s="181"/>
      <c r="G42" s="181"/>
      <c r="H42" s="184"/>
      <c r="I42" s="1255"/>
    </row>
    <row r="43" spans="1:17" ht="15" customHeight="1" x14ac:dyDescent="0.35">
      <c r="A43" s="772" t="s">
        <v>1029</v>
      </c>
      <c r="B43" s="315">
        <v>4.5</v>
      </c>
      <c r="C43" s="194">
        <f>+C39*1.5</f>
        <v>8950.5</v>
      </c>
      <c r="D43" s="598">
        <f>+B43*C43</f>
        <v>40277.25</v>
      </c>
      <c r="F43" s="181"/>
      <c r="G43" s="181"/>
      <c r="H43" s="184"/>
      <c r="I43" s="1255"/>
    </row>
    <row r="44" spans="1:17" ht="15" customHeight="1" x14ac:dyDescent="0.35">
      <c r="A44" s="772" t="s">
        <v>449</v>
      </c>
      <c r="B44" s="315">
        <v>5</v>
      </c>
      <c r="C44" s="194">
        <f>+C39*2</f>
        <v>11934</v>
      </c>
      <c r="D44" s="598">
        <f>+B44*C44</f>
        <v>59670</v>
      </c>
      <c r="F44" s="181"/>
      <c r="G44" s="416"/>
      <c r="H44" s="184"/>
      <c r="I44" s="1255"/>
    </row>
    <row r="45" spans="1:17" ht="15" customHeight="1" x14ac:dyDescent="0.35">
      <c r="A45" s="1149" t="s">
        <v>1325</v>
      </c>
      <c r="B45" s="315">
        <v>7</v>
      </c>
      <c r="C45" s="194">
        <f>+C39*1.7</f>
        <v>10143.9</v>
      </c>
      <c r="D45" s="598">
        <f>+B45*C45</f>
        <v>71007.3</v>
      </c>
      <c r="F45" s="181"/>
      <c r="G45" s="416"/>
      <c r="H45" s="184"/>
      <c r="I45" s="1262"/>
    </row>
    <row r="46" spans="1:17" s="1192" customFormat="1" ht="15" customHeight="1" x14ac:dyDescent="0.35">
      <c r="A46" s="1149" t="s">
        <v>1040</v>
      </c>
      <c r="B46" s="1232"/>
      <c r="C46" s="1151"/>
      <c r="D46" s="1152">
        <v>250000</v>
      </c>
      <c r="E46" s="1199"/>
      <c r="F46" s="1198"/>
      <c r="G46" s="1203"/>
      <c r="H46" s="1198"/>
      <c r="I46" s="1193"/>
    </row>
    <row r="47" spans="1:17" s="1192" customFormat="1" ht="15" customHeight="1" x14ac:dyDescent="0.35">
      <c r="A47" s="1149" t="s">
        <v>549</v>
      </c>
      <c r="B47" s="1232">
        <f>3*8</f>
        <v>24</v>
      </c>
      <c r="C47" s="1151">
        <f>+C39</f>
        <v>5967</v>
      </c>
      <c r="D47" s="1152">
        <f>+B47*C47</f>
        <v>143208</v>
      </c>
      <c r="E47" s="1199"/>
      <c r="F47" s="1198"/>
      <c r="G47" s="1203"/>
      <c r="H47" s="1198"/>
      <c r="I47" s="1193"/>
    </row>
    <row r="48" spans="1:17" ht="15" customHeight="1" x14ac:dyDescent="0.35">
      <c r="A48" s="1459" t="s">
        <v>389</v>
      </c>
      <c r="B48" s="1459"/>
      <c r="C48" s="1459"/>
      <c r="D48" s="599">
        <f>+D39+D40+D41+D42+D43+D44+D45+D46+D47</f>
        <v>1752420.55</v>
      </c>
      <c r="J48" s="176"/>
      <c r="K48" s="176"/>
      <c r="L48" s="176"/>
      <c r="M48" s="181"/>
      <c r="N48" s="181"/>
      <c r="O48" s="184"/>
      <c r="Q48" s="1255"/>
    </row>
    <row r="49" spans="1:19" s="1255" customFormat="1" ht="15" customHeight="1" x14ac:dyDescent="0.35">
      <c r="A49" s="921" t="str">
        <f>A15</f>
        <v>DEPOSITO P/BCO. (1er.QUINC.12/25)</v>
      </c>
      <c r="B49" s="727" t="s">
        <v>63</v>
      </c>
      <c r="C49" s="727" t="s">
        <v>63</v>
      </c>
      <c r="D49" s="722">
        <v>-614112.44999999995</v>
      </c>
      <c r="E49" s="1025"/>
      <c r="F49" s="774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255" customFormat="1" ht="15" customHeight="1" x14ac:dyDescent="0.35">
      <c r="A50" s="921" t="str">
        <f t="shared" ref="A50" si="0">A16</f>
        <v>DEPOSITO P/BCO. (2da.QUINC.12/25)</v>
      </c>
      <c r="B50" s="727"/>
      <c r="C50" s="727"/>
      <c r="D50" s="722">
        <v>-607527.63</v>
      </c>
      <c r="E50" s="1025"/>
      <c r="F50" s="774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s="1255" customFormat="1" ht="15" customHeight="1" x14ac:dyDescent="0.35">
      <c r="A51" s="1103" t="s">
        <v>11</v>
      </c>
      <c r="B51" s="1104"/>
      <c r="C51" s="1231"/>
      <c r="D51" s="675">
        <f>+D48+D49+D50</f>
        <v>530780.47000000009</v>
      </c>
      <c r="E51" s="1025"/>
      <c r="F51" s="771"/>
      <c r="G51" s="771"/>
      <c r="H51" s="771"/>
      <c r="I51" s="771"/>
      <c r="J51" s="176"/>
      <c r="K51" s="176"/>
      <c r="L51" s="176"/>
      <c r="M51" s="176"/>
      <c r="N51" s="176"/>
      <c r="O51" s="176"/>
      <c r="P51" s="771"/>
      <c r="Q51" s="771"/>
      <c r="R51" s="771"/>
      <c r="S51" s="771"/>
    </row>
    <row r="52" spans="1:19" s="1255" customFormat="1" ht="15" customHeight="1" x14ac:dyDescent="0.35">
      <c r="A52" s="1224" t="s">
        <v>1149</v>
      </c>
      <c r="B52" s="1225"/>
      <c r="C52" s="1226"/>
      <c r="D52" s="844">
        <v>350000</v>
      </c>
      <c r="E52" s="1025"/>
      <c r="F52" s="771"/>
      <c r="G52" s="771"/>
      <c r="H52" s="771"/>
      <c r="I52" s="771"/>
      <c r="J52" s="176"/>
      <c r="K52" s="176"/>
      <c r="L52" s="176"/>
      <c r="M52" s="176"/>
      <c r="N52" s="176"/>
      <c r="O52" s="176"/>
      <c r="P52" s="771"/>
      <c r="Q52" s="771"/>
      <c r="R52" s="771"/>
      <c r="S52" s="771"/>
    </row>
    <row r="53" spans="1:19" ht="15" customHeight="1" x14ac:dyDescent="0.35">
      <c r="A53" s="1229" t="s">
        <v>1281</v>
      </c>
      <c r="B53" s="1229"/>
      <c r="C53" s="1229"/>
      <c r="D53" s="1230">
        <f>+D51+D52</f>
        <v>880780.47000000009</v>
      </c>
      <c r="K53" s="183"/>
      <c r="L53" s="183"/>
      <c r="M53" s="176"/>
      <c r="N53" s="176"/>
      <c r="O53" s="176"/>
      <c r="Q53" s="1255"/>
    </row>
    <row r="54" spans="1:19" ht="15" customHeight="1" x14ac:dyDescent="0.35">
      <c r="A54" s="1247"/>
      <c r="B54" s="1248"/>
      <c r="C54" s="1248"/>
      <c r="D54" s="1249"/>
      <c r="K54" s="183"/>
      <c r="L54" s="183"/>
      <c r="M54" s="176"/>
      <c r="N54" s="176"/>
      <c r="O54" s="176"/>
      <c r="Q54" s="1255"/>
    </row>
    <row r="55" spans="1:19" s="4" customFormat="1" ht="15" customHeight="1" x14ac:dyDescent="0.35">
      <c r="A55" s="95"/>
      <c r="E55" s="1250"/>
      <c r="K55" s="183"/>
      <c r="L55" s="183"/>
      <c r="M55" s="176"/>
      <c r="N55" s="176"/>
      <c r="O55" s="176"/>
      <c r="Q55" s="1251"/>
    </row>
    <row r="56" spans="1:19" ht="15" customHeight="1" x14ac:dyDescent="0.35">
      <c r="A56" s="1431" t="s">
        <v>1286</v>
      </c>
      <c r="B56" s="1431"/>
      <c r="C56" s="1431"/>
      <c r="D56" s="1431"/>
      <c r="S56" s="1255"/>
    </row>
    <row r="57" spans="1:19" x14ac:dyDescent="0.35">
      <c r="A57" s="2" t="s">
        <v>7</v>
      </c>
      <c r="B57" s="270" t="s">
        <v>8</v>
      </c>
      <c r="C57" s="217" t="s">
        <v>4</v>
      </c>
      <c r="D57" s="597" t="s">
        <v>9</v>
      </c>
    </row>
    <row r="58" spans="1:19" x14ac:dyDescent="0.35">
      <c r="A58" s="772" t="s">
        <v>253</v>
      </c>
      <c r="B58" s="258"/>
      <c r="C58" s="227">
        <v>3927</v>
      </c>
      <c r="D58" s="598">
        <f>+B58*C58</f>
        <v>0</v>
      </c>
    </row>
    <row r="59" spans="1:19" x14ac:dyDescent="0.35">
      <c r="A59" s="772" t="s">
        <v>394</v>
      </c>
      <c r="B59" s="258"/>
      <c r="C59" s="227">
        <f>+C58</f>
        <v>3927</v>
      </c>
      <c r="D59" s="598">
        <f>+B59*C59</f>
        <v>0</v>
      </c>
    </row>
    <row r="60" spans="1:19" x14ac:dyDescent="0.35">
      <c r="A60" s="772" t="s">
        <v>266</v>
      </c>
      <c r="B60" s="258"/>
      <c r="C60" s="227">
        <v>50000</v>
      </c>
      <c r="D60" s="598">
        <f>+C60</f>
        <v>50000</v>
      </c>
    </row>
    <row r="61" spans="1:19" x14ac:dyDescent="0.35">
      <c r="A61" s="772" t="s">
        <v>6</v>
      </c>
      <c r="B61" s="258"/>
      <c r="C61" s="227">
        <v>100000</v>
      </c>
      <c r="D61" s="598">
        <f>+C61</f>
        <v>100000</v>
      </c>
    </row>
    <row r="62" spans="1:19" x14ac:dyDescent="0.35">
      <c r="A62" s="772" t="s">
        <v>1030</v>
      </c>
      <c r="B62" s="258"/>
      <c r="C62" s="194">
        <f>+C58*1.5</f>
        <v>5890.5</v>
      </c>
      <c r="D62" s="598">
        <f>+B62*C62</f>
        <v>0</v>
      </c>
    </row>
    <row r="63" spans="1:19" x14ac:dyDescent="0.35">
      <c r="A63" s="772" t="s">
        <v>449</v>
      </c>
      <c r="B63" s="258"/>
      <c r="C63" s="194">
        <f>+C58*2</f>
        <v>7854</v>
      </c>
      <c r="D63" s="598">
        <f>+B63*C63</f>
        <v>0</v>
      </c>
    </row>
    <row r="64" spans="1:19" s="1192" customFormat="1" x14ac:dyDescent="0.35">
      <c r="A64" s="1149" t="s">
        <v>823</v>
      </c>
      <c r="B64" s="1150"/>
      <c r="C64" s="1151"/>
      <c r="D64" s="1152">
        <v>150000</v>
      </c>
      <c r="E64" s="1199"/>
    </row>
    <row r="65" spans="1:6" s="1192" customFormat="1" x14ac:dyDescent="0.35">
      <c r="A65" s="1149" t="s">
        <v>1287</v>
      </c>
      <c r="B65" s="1150"/>
      <c r="C65" s="1151">
        <f>1123000/2</f>
        <v>561500</v>
      </c>
      <c r="D65" s="1152">
        <f>+C65</f>
        <v>561500</v>
      </c>
      <c r="E65" s="1199"/>
    </row>
    <row r="66" spans="1:6" x14ac:dyDescent="0.35">
      <c r="A66" s="1459" t="s">
        <v>389</v>
      </c>
      <c r="B66" s="1459"/>
      <c r="C66" s="1459"/>
      <c r="D66" s="599">
        <f>+D58+D59+D60+D61+D62+D63+D64+D65</f>
        <v>861500</v>
      </c>
      <c r="F66" s="774"/>
    </row>
    <row r="67" spans="1:6" x14ac:dyDescent="0.35">
      <c r="A67" s="904" t="s">
        <v>19</v>
      </c>
      <c r="B67" s="922"/>
      <c r="C67" s="720"/>
      <c r="D67" s="722"/>
    </row>
    <row r="68" spans="1:6" x14ac:dyDescent="0.35">
      <c r="A68" s="129" t="s">
        <v>11</v>
      </c>
      <c r="B68" s="1103"/>
      <c r="C68" s="197"/>
      <c r="D68" s="675">
        <f>+D66+D67</f>
        <v>861500</v>
      </c>
    </row>
    <row r="69" spans="1:6" x14ac:dyDescent="0.35">
      <c r="B69" s="771"/>
      <c r="C69" s="771"/>
      <c r="D69" s="771"/>
    </row>
    <row r="71" spans="1:6" ht="14.5" customHeight="1" x14ac:dyDescent="0.35">
      <c r="A71" s="1431" t="s">
        <v>1288</v>
      </c>
      <c r="B71" s="1431"/>
      <c r="C71" s="1431"/>
      <c r="D71" s="1431"/>
    </row>
    <row r="72" spans="1:6" ht="14.5" customHeight="1" x14ac:dyDescent="0.35">
      <c r="A72" s="2" t="s">
        <v>7</v>
      </c>
      <c r="B72" s="270" t="s">
        <v>8</v>
      </c>
      <c r="C72" s="217" t="s">
        <v>4</v>
      </c>
      <c r="D72" s="597" t="s">
        <v>63</v>
      </c>
    </row>
    <row r="73" spans="1:6" ht="14.5" customHeight="1" x14ac:dyDescent="0.35">
      <c r="A73" s="772" t="s">
        <v>3</v>
      </c>
      <c r="B73" s="258"/>
      <c r="C73" s="227">
        <v>3636</v>
      </c>
      <c r="D73" s="598">
        <f>+B73*C73</f>
        <v>0</v>
      </c>
      <c r="E73" s="1254"/>
    </row>
    <row r="74" spans="1:6" ht="14.5" customHeight="1" x14ac:dyDescent="0.35">
      <c r="A74" s="772" t="s">
        <v>394</v>
      </c>
      <c r="B74" s="258"/>
      <c r="C74" s="227">
        <f>+C73</f>
        <v>3636</v>
      </c>
      <c r="D74" s="598">
        <f>+B74*C74</f>
        <v>0</v>
      </c>
      <c r="E74" s="1254"/>
    </row>
    <row r="75" spans="1:6" x14ac:dyDescent="0.35">
      <c r="A75" s="772" t="s">
        <v>266</v>
      </c>
      <c r="B75" s="258"/>
      <c r="C75" s="227">
        <v>50000</v>
      </c>
      <c r="D75" s="598">
        <f>+C75</f>
        <v>50000</v>
      </c>
    </row>
    <row r="76" spans="1:6" x14ac:dyDescent="0.35">
      <c r="A76" s="772" t="s">
        <v>6</v>
      </c>
      <c r="B76" s="258"/>
      <c r="C76" s="227">
        <v>100000</v>
      </c>
      <c r="D76" s="598">
        <v>100000</v>
      </c>
    </row>
    <row r="77" spans="1:6" s="1069" customFormat="1" x14ac:dyDescent="0.35">
      <c r="A77" s="614" t="s">
        <v>270</v>
      </c>
      <c r="B77" s="617"/>
      <c r="C77" s="227">
        <f>+C73*1.5</f>
        <v>5454</v>
      </c>
      <c r="D77" s="598">
        <f>+B77*C77</f>
        <v>0</v>
      </c>
      <c r="E77" s="553"/>
    </row>
    <row r="78" spans="1:6" x14ac:dyDescent="0.35">
      <c r="A78" s="772" t="s">
        <v>281</v>
      </c>
      <c r="B78" s="258"/>
      <c r="C78" s="227">
        <f>+C73*2</f>
        <v>7272</v>
      </c>
      <c r="D78" s="598">
        <f>+B78*C78</f>
        <v>0</v>
      </c>
    </row>
    <row r="79" spans="1:6" s="1192" customFormat="1" x14ac:dyDescent="0.35">
      <c r="A79" s="1149" t="s">
        <v>1040</v>
      </c>
      <c r="B79" s="1150"/>
      <c r="C79" s="1151"/>
      <c r="D79" s="1152">
        <v>130000</v>
      </c>
      <c r="E79" s="1199"/>
    </row>
    <row r="80" spans="1:6" s="1192" customFormat="1" x14ac:dyDescent="0.35">
      <c r="A80" s="1149" t="s">
        <v>1287</v>
      </c>
      <c r="B80" s="1150"/>
      <c r="C80" s="1151">
        <f>1059000/2</f>
        <v>529500</v>
      </c>
      <c r="D80" s="1152">
        <f>+C80</f>
        <v>529500</v>
      </c>
      <c r="E80" s="1199"/>
    </row>
    <row r="81" spans="1:6" x14ac:dyDescent="0.35">
      <c r="A81" s="1459" t="s">
        <v>389</v>
      </c>
      <c r="B81" s="1459"/>
      <c r="C81" s="1459"/>
      <c r="D81" s="599">
        <f>+D73+D74+D75+D76+D77+D78+D79+D80</f>
        <v>809500</v>
      </c>
      <c r="F81" s="774"/>
    </row>
    <row r="82" spans="1:6" x14ac:dyDescent="0.35">
      <c r="A82" s="723" t="s">
        <v>1242</v>
      </c>
      <c r="B82" s="721"/>
      <c r="C82" s="721"/>
      <c r="D82" s="722"/>
    </row>
    <row r="83" spans="1:6" ht="15.5" x14ac:dyDescent="0.35">
      <c r="A83" s="1471" t="s">
        <v>11</v>
      </c>
      <c r="B83" s="1471"/>
      <c r="C83" s="1471"/>
      <c r="D83" s="603">
        <f>+D81+D82</f>
        <v>809500</v>
      </c>
    </row>
    <row r="84" spans="1:6" s="90" customFormat="1" x14ac:dyDescent="0.35">
      <c r="A84" s="1035"/>
      <c r="B84" s="1042"/>
      <c r="C84" s="553"/>
      <c r="D84" s="1051"/>
      <c r="E84" s="553"/>
    </row>
    <row r="86" spans="1:6" ht="23.5" x14ac:dyDescent="0.35">
      <c r="A86" s="1431" t="s">
        <v>1318</v>
      </c>
      <c r="B86" s="1431"/>
      <c r="C86" s="1431"/>
      <c r="D86" s="1431"/>
    </row>
    <row r="87" spans="1:6" x14ac:dyDescent="0.35">
      <c r="A87" s="2" t="s">
        <v>7</v>
      </c>
      <c r="B87" s="270" t="s">
        <v>388</v>
      </c>
      <c r="C87" s="217" t="s">
        <v>272</v>
      </c>
      <c r="D87" s="597" t="s">
        <v>9</v>
      </c>
    </row>
    <row r="88" spans="1:6" x14ac:dyDescent="0.35">
      <c r="A88" s="772" t="s">
        <v>3</v>
      </c>
      <c r="B88" s="258">
        <v>158</v>
      </c>
      <c r="C88" s="227">
        <v>3613</v>
      </c>
      <c r="D88" s="598">
        <f>+B88*C88</f>
        <v>570854</v>
      </c>
    </row>
    <row r="89" spans="1:6" x14ac:dyDescent="0.35">
      <c r="A89" s="772" t="s">
        <v>369</v>
      </c>
      <c r="B89" s="258">
        <v>16</v>
      </c>
      <c r="C89" s="227">
        <f>+C88</f>
        <v>3613</v>
      </c>
      <c r="D89" s="598">
        <f>+B89*C89</f>
        <v>57808</v>
      </c>
    </row>
    <row r="90" spans="1:6" x14ac:dyDescent="0.35">
      <c r="A90" s="772" t="s">
        <v>1303</v>
      </c>
      <c r="B90" s="258">
        <f>3*8</f>
        <v>24</v>
      </c>
      <c r="C90" s="227">
        <f>+C88</f>
        <v>3613</v>
      </c>
      <c r="D90" s="598">
        <f>+B90*C90</f>
        <v>86712</v>
      </c>
    </row>
    <row r="91" spans="1:6" x14ac:dyDescent="0.35">
      <c r="A91" s="772" t="s">
        <v>6</v>
      </c>
      <c r="B91" s="258"/>
      <c r="C91" s="227">
        <v>80000</v>
      </c>
      <c r="D91" s="598">
        <f>+C91</f>
        <v>80000</v>
      </c>
    </row>
    <row r="92" spans="1:6" x14ac:dyDescent="0.35">
      <c r="A92" s="772" t="s">
        <v>200</v>
      </c>
      <c r="B92" s="258"/>
      <c r="C92" s="227">
        <v>50000</v>
      </c>
      <c r="D92" s="598">
        <f>+C92</f>
        <v>50000</v>
      </c>
    </row>
    <row r="93" spans="1:6" x14ac:dyDescent="0.35">
      <c r="A93" s="772" t="s">
        <v>1032</v>
      </c>
      <c r="B93" s="258">
        <v>0.5</v>
      </c>
      <c r="C93" s="227">
        <f>+C88*1.5</f>
        <v>5419.5</v>
      </c>
      <c r="D93" s="811">
        <f>+B93*C93</f>
        <v>2709.75</v>
      </c>
    </row>
    <row r="94" spans="1:6" x14ac:dyDescent="0.35">
      <c r="A94" s="772" t="s">
        <v>757</v>
      </c>
      <c r="B94" s="258"/>
      <c r="C94" s="227">
        <f>+C88*2</f>
        <v>7226</v>
      </c>
      <c r="D94" s="598">
        <f>+B94*C94</f>
        <v>0</v>
      </c>
    </row>
    <row r="95" spans="1:6" s="1192" customFormat="1" x14ac:dyDescent="0.35">
      <c r="A95" s="1149" t="s">
        <v>1033</v>
      </c>
      <c r="B95" s="1150"/>
      <c r="C95" s="1151"/>
      <c r="D95" s="1152">
        <v>300000</v>
      </c>
      <c r="E95" s="1199"/>
    </row>
    <row r="96" spans="1:6" s="1192" customFormat="1" x14ac:dyDescent="0.35">
      <c r="A96" s="1149"/>
      <c r="B96" s="1150"/>
      <c r="C96" s="1151"/>
      <c r="D96" s="1152">
        <f>+C96</f>
        <v>0</v>
      </c>
      <c r="E96" s="1199"/>
    </row>
    <row r="97" spans="1:6" x14ac:dyDescent="0.35">
      <c r="A97" s="1036" t="s">
        <v>389</v>
      </c>
      <c r="B97" s="681"/>
      <c r="C97" s="1037"/>
      <c r="D97" s="1038">
        <f>+D88+D89+D90+D91+D92+D93+D94+D95+D96</f>
        <v>1148083.75</v>
      </c>
    </row>
    <row r="98" spans="1:6" x14ac:dyDescent="0.35">
      <c r="A98" s="772" t="s">
        <v>1315</v>
      </c>
      <c r="B98" s="258"/>
      <c r="C98" s="227"/>
      <c r="D98" s="731">
        <v>-400000</v>
      </c>
      <c r="F98" s="774"/>
    </row>
    <row r="99" spans="1:6" ht="15.5" x14ac:dyDescent="0.35">
      <c r="A99" s="1471" t="s">
        <v>11</v>
      </c>
      <c r="B99" s="1471"/>
      <c r="C99" s="1471"/>
      <c r="D99" s="603">
        <f>+D97+D98</f>
        <v>748083.75</v>
      </c>
    </row>
    <row r="100" spans="1:6" ht="15.5" x14ac:dyDescent="0.35">
      <c r="A100" s="723" t="s">
        <v>631</v>
      </c>
      <c r="B100" s="723"/>
      <c r="C100" s="723"/>
      <c r="D100" s="832">
        <v>-258100</v>
      </c>
    </row>
    <row r="101" spans="1:6" ht="15.5" x14ac:dyDescent="0.35">
      <c r="A101" s="1256" t="s">
        <v>1010</v>
      </c>
      <c r="B101" s="1256"/>
      <c r="C101" s="1256"/>
      <c r="D101" s="603">
        <f>+D99+D100</f>
        <v>489983.75</v>
      </c>
    </row>
    <row r="102" spans="1:6" s="90" customFormat="1" x14ac:dyDescent="0.35">
      <c r="B102" s="1042"/>
      <c r="C102" s="553"/>
      <c r="D102" s="1051" t="s">
        <v>63</v>
      </c>
      <c r="E102" s="553"/>
    </row>
    <row r="104" spans="1:6" ht="23.5" x14ac:dyDescent="0.35">
      <c r="A104" s="1442" t="s">
        <v>1289</v>
      </c>
      <c r="B104" s="1443"/>
      <c r="C104" s="1443"/>
      <c r="D104" s="1444"/>
    </row>
    <row r="105" spans="1:6" x14ac:dyDescent="0.35">
      <c r="A105" s="2" t="s">
        <v>7</v>
      </c>
      <c r="B105" s="270" t="s">
        <v>8</v>
      </c>
      <c r="C105" s="217" t="s">
        <v>4</v>
      </c>
      <c r="D105" s="597" t="s">
        <v>9</v>
      </c>
    </row>
    <row r="106" spans="1:6" x14ac:dyDescent="0.35">
      <c r="A106" s="772" t="s">
        <v>3</v>
      </c>
      <c r="B106" s="258"/>
      <c r="C106" s="227">
        <v>3636</v>
      </c>
      <c r="D106" s="598">
        <f>+B106*C106</f>
        <v>0</v>
      </c>
    </row>
    <row r="107" spans="1:6" x14ac:dyDescent="0.35">
      <c r="A107" s="772" t="s">
        <v>403</v>
      </c>
      <c r="B107" s="258"/>
      <c r="C107" s="227">
        <f>+C106</f>
        <v>3636</v>
      </c>
      <c r="D107" s="598">
        <f>+B107*C107</f>
        <v>0</v>
      </c>
    </row>
    <row r="108" spans="1:6" x14ac:dyDescent="0.35">
      <c r="A108" s="772" t="s">
        <v>200</v>
      </c>
      <c r="B108" s="258"/>
      <c r="C108" s="227">
        <v>50000</v>
      </c>
      <c r="D108" s="598">
        <v>50000</v>
      </c>
    </row>
    <row r="109" spans="1:6" x14ac:dyDescent="0.35">
      <c r="A109" s="772" t="s">
        <v>6</v>
      </c>
      <c r="B109" s="258"/>
      <c r="C109" s="194">
        <v>100000</v>
      </c>
      <c r="D109" s="598">
        <f>+C109</f>
        <v>100000</v>
      </c>
    </row>
    <row r="110" spans="1:6" x14ac:dyDescent="0.35">
      <c r="A110" s="772" t="s">
        <v>1032</v>
      </c>
      <c r="B110" s="258"/>
      <c r="C110" s="194">
        <f>+C106*1.5</f>
        <v>5454</v>
      </c>
      <c r="D110" s="598">
        <f>+B110*C110</f>
        <v>0</v>
      </c>
    </row>
    <row r="111" spans="1:6" x14ac:dyDescent="0.35">
      <c r="A111" s="772" t="s">
        <v>281</v>
      </c>
      <c r="B111" s="258"/>
      <c r="C111" s="194">
        <f>+C106*2</f>
        <v>7272</v>
      </c>
      <c r="D111" s="598">
        <f>+B111*C111</f>
        <v>0</v>
      </c>
    </row>
    <row r="112" spans="1:6" s="90" customFormat="1" x14ac:dyDescent="0.35">
      <c r="A112" s="141" t="s">
        <v>1033</v>
      </c>
      <c r="B112" s="274"/>
      <c r="C112" s="195"/>
      <c r="D112" s="1017">
        <v>130000</v>
      </c>
      <c r="E112" s="553"/>
    </row>
    <row r="113" spans="1:5" s="90" customFormat="1" x14ac:dyDescent="0.35">
      <c r="A113" s="141" t="s">
        <v>1287</v>
      </c>
      <c r="B113" s="274"/>
      <c r="C113" s="195">
        <f>1097000/2</f>
        <v>548500</v>
      </c>
      <c r="D113" s="1017">
        <f>+C113</f>
        <v>548500</v>
      </c>
      <c r="E113" s="553"/>
    </row>
    <row r="114" spans="1:5" x14ac:dyDescent="0.35">
      <c r="A114" s="1463" t="s">
        <v>389</v>
      </c>
      <c r="B114" s="1464"/>
      <c r="C114" s="1465"/>
      <c r="D114" s="599">
        <f>+D106+D107+D108+D109+D110+D111+D112+D113</f>
        <v>828500</v>
      </c>
    </row>
    <row r="115" spans="1:5" x14ac:dyDescent="0.35">
      <c r="A115" s="724" t="s">
        <v>374</v>
      </c>
      <c r="B115" s="729"/>
      <c r="C115" s="730"/>
      <c r="D115" s="731"/>
    </row>
    <row r="116" spans="1:5" x14ac:dyDescent="0.35">
      <c r="A116" s="724"/>
      <c r="B116" s="729"/>
      <c r="C116" s="730"/>
      <c r="D116" s="731"/>
    </row>
    <row r="117" spans="1:5" s="997" customFormat="1" ht="15.5" x14ac:dyDescent="0.35">
      <c r="A117" s="992" t="s">
        <v>11</v>
      </c>
      <c r="B117" s="1181"/>
      <c r="C117" s="994"/>
      <c r="D117" s="995">
        <f>+D114+D115+D116</f>
        <v>828500</v>
      </c>
      <c r="E117" s="1026"/>
    </row>
    <row r="118" spans="1:5" s="90" customFormat="1" x14ac:dyDescent="0.35">
      <c r="B118" s="1042"/>
      <c r="C118" s="553"/>
      <c r="D118" s="1051"/>
      <c r="E118" s="553"/>
    </row>
    <row r="120" spans="1:5" ht="23.5" x14ac:dyDescent="0.35">
      <c r="A120" s="1431" t="s">
        <v>1319</v>
      </c>
      <c r="B120" s="1431"/>
      <c r="C120" s="1431"/>
      <c r="D120" s="1431"/>
    </row>
    <row r="121" spans="1:5" x14ac:dyDescent="0.35">
      <c r="A121" s="2" t="s">
        <v>7</v>
      </c>
      <c r="B121" s="270" t="s">
        <v>388</v>
      </c>
      <c r="C121" s="217" t="s">
        <v>629</v>
      </c>
      <c r="D121" s="597" t="s">
        <v>9</v>
      </c>
    </row>
    <row r="122" spans="1:5" x14ac:dyDescent="0.35">
      <c r="A122" s="772" t="s">
        <v>3</v>
      </c>
      <c r="B122" s="258">
        <v>158</v>
      </c>
      <c r="C122" s="194">
        <v>5331</v>
      </c>
      <c r="D122" s="598">
        <f>+B122*C122</f>
        <v>842298</v>
      </c>
    </row>
    <row r="123" spans="1:5" x14ac:dyDescent="0.35">
      <c r="A123" s="772" t="s">
        <v>369</v>
      </c>
      <c r="B123" s="258">
        <f>2*8</f>
        <v>16</v>
      </c>
      <c r="C123" s="194">
        <f>+C122</f>
        <v>5331</v>
      </c>
      <c r="D123" s="609">
        <f>+B123*C123</f>
        <v>85296</v>
      </c>
    </row>
    <row r="124" spans="1:5" x14ac:dyDescent="0.35">
      <c r="A124" s="772" t="s">
        <v>556</v>
      </c>
      <c r="B124" s="258"/>
      <c r="C124" s="194">
        <v>50000</v>
      </c>
      <c r="D124" s="609">
        <f>+C124</f>
        <v>50000</v>
      </c>
    </row>
    <row r="125" spans="1:5" x14ac:dyDescent="0.35">
      <c r="A125" s="772" t="s">
        <v>6</v>
      </c>
      <c r="B125" s="258"/>
      <c r="C125" s="194">
        <v>100000</v>
      </c>
      <c r="D125" s="609">
        <f>+C125</f>
        <v>100000</v>
      </c>
    </row>
    <row r="126" spans="1:5" x14ac:dyDescent="0.35">
      <c r="A126" s="614" t="s">
        <v>628</v>
      </c>
      <c r="B126" s="617"/>
      <c r="C126" s="227">
        <f>+C122*1.5</f>
        <v>7996.5</v>
      </c>
      <c r="D126" s="609">
        <f>+B126*C126</f>
        <v>0</v>
      </c>
    </row>
    <row r="127" spans="1:5" x14ac:dyDescent="0.35">
      <c r="A127" s="614" t="s">
        <v>823</v>
      </c>
      <c r="B127" s="617"/>
      <c r="C127" s="227"/>
      <c r="D127" s="609">
        <v>120000</v>
      </c>
    </row>
    <row r="128" spans="1:5" x14ac:dyDescent="0.35">
      <c r="A128" s="614" t="s">
        <v>549</v>
      </c>
      <c r="B128" s="617">
        <f>3*8</f>
        <v>24</v>
      </c>
      <c r="C128" s="227">
        <f>+C122</f>
        <v>5331</v>
      </c>
      <c r="D128" s="609">
        <f>+B128*C128</f>
        <v>127944</v>
      </c>
    </row>
    <row r="129" spans="1:5" s="90" customFormat="1" x14ac:dyDescent="0.35">
      <c r="A129" s="1071" t="s">
        <v>389</v>
      </c>
      <c r="B129" s="1074"/>
      <c r="C129" s="1172"/>
      <c r="D129" s="1173">
        <f>+D122+D123+D124+D125+D126+D127+D128</f>
        <v>1325538</v>
      </c>
      <c r="E129" s="553"/>
    </row>
    <row r="130" spans="1:5" x14ac:dyDescent="0.35">
      <c r="A130" s="614" t="s">
        <v>1327</v>
      </c>
      <c r="B130" s="617"/>
      <c r="C130" s="227"/>
      <c r="D130" s="609">
        <v>65000</v>
      </c>
    </row>
    <row r="131" spans="1:5" x14ac:dyDescent="0.35">
      <c r="A131" s="614" t="s">
        <v>1328</v>
      </c>
      <c r="B131" s="617"/>
      <c r="C131" s="227"/>
      <c r="D131" s="609">
        <v>37100</v>
      </c>
    </row>
    <row r="132" spans="1:5" ht="15.5" x14ac:dyDescent="0.35">
      <c r="A132" s="1059" t="s">
        <v>11</v>
      </c>
      <c r="B132" s="1060"/>
      <c r="C132" s="1061"/>
      <c r="D132" s="1167">
        <f>+D129+D130+D131</f>
        <v>1427638</v>
      </c>
    </row>
    <row r="135" spans="1:5" ht="23.5" x14ac:dyDescent="0.35">
      <c r="A135" s="1431" t="s">
        <v>1320</v>
      </c>
      <c r="B135" s="1431"/>
      <c r="C135" s="1431"/>
      <c r="D135" s="1431"/>
    </row>
    <row r="136" spans="1:5" x14ac:dyDescent="0.35">
      <c r="A136" s="2" t="s">
        <v>7</v>
      </c>
      <c r="B136" s="270" t="s">
        <v>8</v>
      </c>
      <c r="C136" s="217" t="s">
        <v>4</v>
      </c>
      <c r="D136" s="597" t="s">
        <v>9</v>
      </c>
    </row>
    <row r="137" spans="1:5" x14ac:dyDescent="0.35">
      <c r="A137" s="772" t="s">
        <v>3</v>
      </c>
      <c r="B137" s="258">
        <v>125.5</v>
      </c>
      <c r="C137" s="194">
        <v>5331</v>
      </c>
      <c r="D137" s="598">
        <f>+B137*C137</f>
        <v>669040.5</v>
      </c>
    </row>
    <row r="138" spans="1:5" x14ac:dyDescent="0.35">
      <c r="A138" s="772" t="s">
        <v>369</v>
      </c>
      <c r="B138" s="258">
        <f>2*7.5</f>
        <v>15</v>
      </c>
      <c r="C138" s="194">
        <f>+C137</f>
        <v>5331</v>
      </c>
      <c r="D138" s="609">
        <f>+B138*C138</f>
        <v>79965</v>
      </c>
    </row>
    <row r="139" spans="1:5" x14ac:dyDescent="0.35">
      <c r="A139" s="772" t="s">
        <v>1303</v>
      </c>
      <c r="B139" s="258">
        <f>3*7.5</f>
        <v>22.5</v>
      </c>
      <c r="C139" s="194">
        <f>+C138</f>
        <v>5331</v>
      </c>
      <c r="D139" s="609">
        <f>+B139*C139</f>
        <v>119947.5</v>
      </c>
    </row>
    <row r="140" spans="1:5" x14ac:dyDescent="0.35">
      <c r="A140" s="772" t="s">
        <v>6</v>
      </c>
      <c r="B140" s="258"/>
      <c r="C140" s="194">
        <v>100000</v>
      </c>
      <c r="D140" s="609">
        <f>+C140</f>
        <v>100000</v>
      </c>
    </row>
    <row r="141" spans="1:5" x14ac:dyDescent="0.35">
      <c r="A141" s="614" t="s">
        <v>556</v>
      </c>
      <c r="B141" s="617"/>
      <c r="C141" s="227">
        <v>50000</v>
      </c>
      <c r="D141" s="609">
        <v>50000</v>
      </c>
    </row>
    <row r="142" spans="1:5" x14ac:dyDescent="0.35">
      <c r="A142" s="614" t="s">
        <v>1035</v>
      </c>
      <c r="B142" s="617">
        <v>7.5</v>
      </c>
      <c r="C142" s="227">
        <f>+C137*1.5</f>
        <v>7996.5</v>
      </c>
      <c r="D142" s="609">
        <f>+B142*C142</f>
        <v>59973.75</v>
      </c>
    </row>
    <row r="143" spans="1:5" s="1192" customFormat="1" x14ac:dyDescent="0.35">
      <c r="A143" s="1149" t="s">
        <v>823</v>
      </c>
      <c r="B143" s="1150"/>
      <c r="C143" s="1151">
        <v>120000</v>
      </c>
      <c r="D143" s="1210">
        <f>+C143</f>
        <v>120000</v>
      </c>
      <c r="E143" s="1199"/>
    </row>
    <row r="144" spans="1:5" x14ac:dyDescent="0.35">
      <c r="A144" s="1149"/>
      <c r="B144" s="617"/>
      <c r="C144" s="227"/>
      <c r="D144" s="609">
        <f>+C144</f>
        <v>0</v>
      </c>
    </row>
    <row r="145" spans="1:19" x14ac:dyDescent="0.35">
      <c r="A145" s="882" t="s">
        <v>389</v>
      </c>
      <c r="B145" s="883"/>
      <c r="C145" s="884"/>
      <c r="D145" s="1058">
        <f>+D137+D138+D139+D140+D141+D142+D143+D144</f>
        <v>1198926.75</v>
      </c>
    </row>
    <row r="146" spans="1:19" x14ac:dyDescent="0.35">
      <c r="A146" s="724" t="s">
        <v>1321</v>
      </c>
      <c r="B146" s="729"/>
      <c r="C146" s="729"/>
      <c r="D146" s="731">
        <v>-200000</v>
      </c>
    </row>
    <row r="147" spans="1:19" x14ac:dyDescent="0.35">
      <c r="A147" s="1071" t="s">
        <v>11</v>
      </c>
      <c r="B147" s="1074"/>
      <c r="C147" s="1074"/>
      <c r="D147" s="1075">
        <f>+D145+D146</f>
        <v>998926.75</v>
      </c>
    </row>
    <row r="151" spans="1:19" s="1042" customFormat="1" ht="23.5" x14ac:dyDescent="0.35">
      <c r="A151" s="1442" t="s">
        <v>1305</v>
      </c>
      <c r="B151" s="1443"/>
      <c r="C151" s="1443"/>
      <c r="D151" s="1444"/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2" t="s">
        <v>7</v>
      </c>
      <c r="B152" s="270" t="s">
        <v>388</v>
      </c>
      <c r="C152" s="217" t="s">
        <v>1037</v>
      </c>
      <c r="D152" s="597" t="s">
        <v>9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72" t="s">
        <v>3</v>
      </c>
      <c r="B153" s="258">
        <v>158</v>
      </c>
      <c r="C153" s="194">
        <v>3927</v>
      </c>
      <c r="D153" s="598">
        <f>+B153*C153</f>
        <v>620466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772" t="s">
        <v>369</v>
      </c>
      <c r="B154" s="258">
        <v>16</v>
      </c>
      <c r="C154" s="194">
        <f>+C153</f>
        <v>3927</v>
      </c>
      <c r="D154" s="609">
        <f>+B154*C154</f>
        <v>62832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772" t="s">
        <v>200</v>
      </c>
      <c r="B155" s="258"/>
      <c r="C155" s="194">
        <v>50000</v>
      </c>
      <c r="D155" s="609">
        <f>+C155</f>
        <v>50000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614" t="s">
        <v>6</v>
      </c>
      <c r="B156" s="617"/>
      <c r="C156" s="227">
        <v>100000</v>
      </c>
      <c r="D156" s="609">
        <f>+C156</f>
        <v>100000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614" t="s">
        <v>1035</v>
      </c>
      <c r="B157" s="617">
        <v>3</v>
      </c>
      <c r="C157" s="227">
        <f>+C153*1.5</f>
        <v>5890.5</v>
      </c>
      <c r="D157" s="609">
        <f>+B157*C157</f>
        <v>17671.5</v>
      </c>
      <c r="E157" s="553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042" customFormat="1" x14ac:dyDescent="0.35">
      <c r="A158" s="614" t="s">
        <v>1036</v>
      </c>
      <c r="B158" s="617"/>
      <c r="C158" s="227">
        <f>+C153*2</f>
        <v>7854</v>
      </c>
      <c r="D158" s="609">
        <f>+C158*0</f>
        <v>0</v>
      </c>
      <c r="E158" s="553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59" spans="1:19" s="1042" customFormat="1" x14ac:dyDescent="0.35">
      <c r="A159" s="1149" t="s">
        <v>1326</v>
      </c>
      <c r="B159" s="617">
        <v>7</v>
      </c>
      <c r="C159" s="227">
        <f>+C153*1.7</f>
        <v>6675.9</v>
      </c>
      <c r="D159" s="609">
        <f>+B159*C159</f>
        <v>46731.299999999996</v>
      </c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s="1190" customFormat="1" x14ac:dyDescent="0.35">
      <c r="A160" s="1149" t="s">
        <v>823</v>
      </c>
      <c r="B160" s="1150"/>
      <c r="C160" s="1151"/>
      <c r="D160" s="1210">
        <v>80000</v>
      </c>
      <c r="E160" s="1199"/>
      <c r="F160" s="1192"/>
      <c r="G160" s="1192"/>
      <c r="H160" s="1192"/>
      <c r="I160" s="1192"/>
      <c r="J160" s="1192"/>
      <c r="K160" s="1192"/>
      <c r="L160" s="1192"/>
      <c r="M160" s="1192"/>
      <c r="N160" s="1192"/>
      <c r="O160" s="1192"/>
      <c r="P160" s="1192"/>
      <c r="Q160" s="1192"/>
      <c r="R160" s="1192"/>
      <c r="S160" s="1192"/>
    </row>
    <row r="161" spans="1:19" s="1190" customFormat="1" x14ac:dyDescent="0.35">
      <c r="A161" s="1223" t="s">
        <v>549</v>
      </c>
      <c r="B161" s="1150">
        <v>24</v>
      </c>
      <c r="C161" s="1151">
        <f>+C153</f>
        <v>3927</v>
      </c>
      <c r="D161" s="1210">
        <f>+B161*C161</f>
        <v>94248</v>
      </c>
      <c r="E161" s="1199"/>
      <c r="F161" s="1192"/>
      <c r="G161" s="1192"/>
      <c r="H161" s="1192"/>
      <c r="I161" s="1192"/>
      <c r="J161" s="1192"/>
      <c r="K161" s="1192"/>
      <c r="L161" s="1192"/>
      <c r="M161" s="1192"/>
      <c r="N161" s="1192"/>
      <c r="O161" s="1192"/>
      <c r="P161" s="1192"/>
      <c r="Q161" s="1192"/>
      <c r="R161" s="1192"/>
      <c r="S161" s="1192"/>
    </row>
    <row r="162" spans="1:19" s="1042" customFormat="1" x14ac:dyDescent="0.35">
      <c r="A162" s="882" t="s">
        <v>389</v>
      </c>
      <c r="B162" s="883"/>
      <c r="C162" s="884"/>
      <c r="D162" s="1058">
        <f>+D153+D154+D155+D156+D157+D158+D159+D160+D161</f>
        <v>1071948.8</v>
      </c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3" spans="1:19" s="1042" customFormat="1" x14ac:dyDescent="0.35">
      <c r="A163" s="1211"/>
      <c r="B163" s="1212"/>
      <c r="C163" s="1213"/>
      <c r="D163" s="1214"/>
      <c r="E163" s="553"/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</row>
    <row r="164" spans="1:19" s="1042" customFormat="1" x14ac:dyDescent="0.35">
      <c r="A164" s="724"/>
      <c r="B164" s="729"/>
      <c r="C164" s="729"/>
      <c r="D164" s="731"/>
      <c r="E164" s="553"/>
      <c r="F164" s="771"/>
      <c r="G164" s="771"/>
      <c r="H164" s="771"/>
      <c r="I164" s="771"/>
      <c r="J164" s="771"/>
      <c r="K164" s="771"/>
      <c r="L164" s="771"/>
      <c r="M164" s="771"/>
      <c r="N164" s="771"/>
      <c r="O164" s="771"/>
      <c r="P164" s="771"/>
      <c r="Q164" s="771"/>
      <c r="R164" s="771"/>
      <c r="S164" s="771"/>
    </row>
    <row r="165" spans="1:19" s="1042" customFormat="1" x14ac:dyDescent="0.35">
      <c r="A165" s="1071" t="s">
        <v>11</v>
      </c>
      <c r="B165" s="1074"/>
      <c r="C165" s="1074"/>
      <c r="D165" s="1075">
        <f>+D162+D163+D164</f>
        <v>1071948.8</v>
      </c>
      <c r="E165" s="553"/>
      <c r="F165" s="771"/>
      <c r="G165" s="771"/>
      <c r="H165" s="771"/>
      <c r="I165" s="771"/>
      <c r="J165" s="771"/>
      <c r="K165" s="771"/>
      <c r="L165" s="771"/>
      <c r="M165" s="771"/>
      <c r="N165" s="771"/>
      <c r="O165" s="771"/>
      <c r="P165" s="771"/>
      <c r="Q165" s="771"/>
      <c r="R165" s="771"/>
      <c r="S165" s="771"/>
    </row>
    <row r="169" spans="1:19" ht="23.5" x14ac:dyDescent="0.35">
      <c r="A169" s="1442" t="s">
        <v>1272</v>
      </c>
      <c r="B169" s="1443"/>
      <c r="C169" s="1443"/>
      <c r="D169" s="1444"/>
    </row>
    <row r="170" spans="1:19" x14ac:dyDescent="0.35">
      <c r="A170" s="2" t="s">
        <v>7</v>
      </c>
      <c r="B170" s="270" t="s">
        <v>425</v>
      </c>
      <c r="C170" s="217" t="s">
        <v>272</v>
      </c>
      <c r="D170" s="597" t="s">
        <v>9</v>
      </c>
    </row>
    <row r="171" spans="1:19" x14ac:dyDescent="0.35">
      <c r="A171" s="772" t="s">
        <v>3</v>
      </c>
      <c r="B171" s="258"/>
      <c r="C171" s="194">
        <v>3179</v>
      </c>
      <c r="D171" s="598">
        <f>+B171*C171</f>
        <v>0</v>
      </c>
    </row>
    <row r="172" spans="1:19" x14ac:dyDescent="0.35">
      <c r="A172" s="772" t="s">
        <v>394</v>
      </c>
      <c r="B172" s="258"/>
      <c r="C172" s="194">
        <f>+C171</f>
        <v>3179</v>
      </c>
      <c r="D172" s="609">
        <f>+B172*C172</f>
        <v>0</v>
      </c>
    </row>
    <row r="173" spans="1:19" x14ac:dyDescent="0.35">
      <c r="A173" s="772" t="s">
        <v>1236</v>
      </c>
      <c r="B173" s="258"/>
      <c r="C173" s="194">
        <f>+C171</f>
        <v>3179</v>
      </c>
      <c r="D173" s="609">
        <f>+B173*C173</f>
        <v>0</v>
      </c>
    </row>
    <row r="174" spans="1:19" x14ac:dyDescent="0.35">
      <c r="A174" s="772" t="s">
        <v>200</v>
      </c>
      <c r="B174" s="258"/>
      <c r="C174" s="194">
        <v>50000</v>
      </c>
      <c r="D174" s="609">
        <f>+C174</f>
        <v>50000</v>
      </c>
    </row>
    <row r="175" spans="1:19" x14ac:dyDescent="0.35">
      <c r="A175" s="614" t="s">
        <v>6</v>
      </c>
      <c r="B175" s="617"/>
      <c r="C175" s="227">
        <v>40000</v>
      </c>
      <c r="D175" s="609">
        <f>+C175</f>
        <v>40000</v>
      </c>
    </row>
    <row r="176" spans="1:19" x14ac:dyDescent="0.35">
      <c r="A176" s="614" t="s">
        <v>1035</v>
      </c>
      <c r="B176" s="617"/>
      <c r="C176" s="227">
        <f>+C171*1.5</f>
        <v>4768.5</v>
      </c>
      <c r="D176" s="609">
        <f>+B176*C176</f>
        <v>0</v>
      </c>
    </row>
    <row r="177" spans="1:5" x14ac:dyDescent="0.35">
      <c r="A177" s="614" t="s">
        <v>1036</v>
      </c>
      <c r="B177" s="617"/>
      <c r="C177" s="227">
        <f>+C171*2</f>
        <v>6358</v>
      </c>
      <c r="D177" s="609">
        <f>+B177*C177</f>
        <v>0</v>
      </c>
    </row>
    <row r="178" spans="1:5" s="1192" customFormat="1" x14ac:dyDescent="0.35">
      <c r="A178" s="1149" t="s">
        <v>823</v>
      </c>
      <c r="B178" s="1150"/>
      <c r="C178" s="1151"/>
      <c r="D178" s="1210">
        <v>100000</v>
      </c>
      <c r="E178" s="1199"/>
    </row>
    <row r="179" spans="1:5" s="1192" customFormat="1" x14ac:dyDescent="0.35">
      <c r="A179" s="1223" t="s">
        <v>1287</v>
      </c>
      <c r="B179" s="1150"/>
      <c r="C179" s="1151">
        <f>856000/2</f>
        <v>428000</v>
      </c>
      <c r="D179" s="1210">
        <f>+C179</f>
        <v>428000</v>
      </c>
      <c r="E179" s="1199"/>
    </row>
    <row r="180" spans="1:5" x14ac:dyDescent="0.35">
      <c r="A180" s="882" t="s">
        <v>389</v>
      </c>
      <c r="B180" s="883"/>
      <c r="C180" s="884"/>
      <c r="D180" s="1058">
        <f>+D171+D172+D173+D174+D175+D176+D177+D178+D179</f>
        <v>618000</v>
      </c>
    </row>
    <row r="181" spans="1:5" s="1070" customFormat="1" x14ac:dyDescent="0.35">
      <c r="A181" s="739" t="s">
        <v>19</v>
      </c>
      <c r="B181" s="1215"/>
      <c r="C181" s="1216"/>
      <c r="D181" s="736">
        <v>-200000</v>
      </c>
      <c r="E181" s="1234"/>
    </row>
    <row r="182" spans="1:5" x14ac:dyDescent="0.35">
      <c r="A182" s="1245"/>
      <c r="B182" s="729"/>
      <c r="C182" s="729"/>
      <c r="D182" s="731"/>
    </row>
    <row r="183" spans="1:5" x14ac:dyDescent="0.35">
      <c r="A183" s="1071" t="s">
        <v>11</v>
      </c>
      <c r="B183" s="1074"/>
      <c r="C183" s="1074"/>
      <c r="D183" s="1075">
        <f>+D180+D181+D182</f>
        <v>418000</v>
      </c>
    </row>
    <row r="187" spans="1:5" ht="23.5" x14ac:dyDescent="0.35">
      <c r="A187" s="1442" t="s">
        <v>1322</v>
      </c>
      <c r="B187" s="1443"/>
      <c r="C187" s="1443"/>
      <c r="D187" s="1444"/>
    </row>
    <row r="188" spans="1:5" x14ac:dyDescent="0.35">
      <c r="A188" s="2" t="s">
        <v>7</v>
      </c>
      <c r="B188" s="270" t="s">
        <v>425</v>
      </c>
      <c r="C188" s="217" t="s">
        <v>272</v>
      </c>
      <c r="D188" s="597" t="s">
        <v>9</v>
      </c>
    </row>
    <row r="189" spans="1:5" x14ac:dyDescent="0.35">
      <c r="A189" s="772" t="s">
        <v>3</v>
      </c>
      <c r="B189" s="258">
        <v>158</v>
      </c>
      <c r="C189" s="194"/>
      <c r="D189" s="598">
        <f>+B189*C189</f>
        <v>0</v>
      </c>
    </row>
    <row r="190" spans="1:5" x14ac:dyDescent="0.35">
      <c r="A190" s="772" t="s">
        <v>369</v>
      </c>
      <c r="B190" s="258">
        <v>16</v>
      </c>
      <c r="C190" s="194"/>
      <c r="D190" s="609">
        <f>+B190*C190</f>
        <v>0</v>
      </c>
    </row>
    <row r="191" spans="1:5" x14ac:dyDescent="0.35">
      <c r="A191" s="772" t="s">
        <v>1236</v>
      </c>
      <c r="B191" s="258"/>
      <c r="C191" s="194"/>
      <c r="D191" s="609">
        <f>+B191*C191</f>
        <v>0</v>
      </c>
    </row>
    <row r="192" spans="1:5" x14ac:dyDescent="0.35">
      <c r="A192" s="772" t="s">
        <v>200</v>
      </c>
      <c r="B192" s="258"/>
      <c r="C192" s="194"/>
      <c r="D192" s="609">
        <f>+C192</f>
        <v>0</v>
      </c>
    </row>
    <row r="193" spans="1:4" x14ac:dyDescent="0.35">
      <c r="A193" s="614" t="s">
        <v>6</v>
      </c>
      <c r="B193" s="617"/>
      <c r="C193" s="227"/>
      <c r="D193" s="609">
        <f>+C193</f>
        <v>0</v>
      </c>
    </row>
    <row r="194" spans="1:4" x14ac:dyDescent="0.35">
      <c r="A194" s="614" t="s">
        <v>1035</v>
      </c>
      <c r="B194" s="617">
        <v>1.5</v>
      </c>
      <c r="C194" s="227"/>
      <c r="D194" s="609">
        <f>+B194*C194</f>
        <v>0</v>
      </c>
    </row>
    <row r="195" spans="1:4" x14ac:dyDescent="0.35">
      <c r="A195" s="614" t="s">
        <v>1036</v>
      </c>
      <c r="B195" s="617"/>
      <c r="C195" s="227"/>
      <c r="D195" s="609">
        <f>+B195*C195</f>
        <v>0</v>
      </c>
    </row>
    <row r="196" spans="1:4" x14ac:dyDescent="0.35">
      <c r="A196" s="1149" t="s">
        <v>823</v>
      </c>
      <c r="B196" s="1150"/>
      <c r="C196" s="1151"/>
      <c r="D196" s="1210"/>
    </row>
    <row r="197" spans="1:4" x14ac:dyDescent="0.35">
      <c r="A197" s="1223"/>
      <c r="B197" s="1150"/>
      <c r="C197" s="1151"/>
      <c r="D197" s="1210">
        <f>+C197</f>
        <v>0</v>
      </c>
    </row>
    <row r="198" spans="1:4" x14ac:dyDescent="0.35">
      <c r="A198" s="882" t="s">
        <v>389</v>
      </c>
      <c r="B198" s="883"/>
      <c r="C198" s="884"/>
      <c r="D198" s="1058">
        <f>+D189+D190+D191+D192+D193+D194+D195+D196+D197</f>
        <v>0</v>
      </c>
    </row>
    <row r="199" spans="1:4" x14ac:dyDescent="0.35">
      <c r="A199" s="739" t="s">
        <v>19</v>
      </c>
      <c r="B199" s="1215"/>
      <c r="C199" s="1216"/>
      <c r="D199" s="736"/>
    </row>
    <row r="200" spans="1:4" x14ac:dyDescent="0.35">
      <c r="A200" s="1245"/>
      <c r="B200" s="729"/>
      <c r="C200" s="729"/>
      <c r="D200" s="731"/>
    </row>
    <row r="201" spans="1:4" x14ac:dyDescent="0.35">
      <c r="A201" s="1071" t="s">
        <v>11</v>
      </c>
      <c r="B201" s="1074"/>
      <c r="C201" s="1074"/>
      <c r="D201" s="1075">
        <f>+D198+D199+D200</f>
        <v>0</v>
      </c>
    </row>
  </sheetData>
  <mergeCells count="21">
    <mergeCell ref="A187:D187"/>
    <mergeCell ref="A151:D151"/>
    <mergeCell ref="A169:D169"/>
    <mergeCell ref="A86:D86"/>
    <mergeCell ref="A99:C99"/>
    <mergeCell ref="A104:D104"/>
    <mergeCell ref="A114:C114"/>
    <mergeCell ref="A120:D120"/>
    <mergeCell ref="A135:D135"/>
    <mergeCell ref="A83:C83"/>
    <mergeCell ref="A3:D3"/>
    <mergeCell ref="A14:C14"/>
    <mergeCell ref="A17:C17"/>
    <mergeCell ref="A20:D20"/>
    <mergeCell ref="A31:C31"/>
    <mergeCell ref="A37:D37"/>
    <mergeCell ref="A48:C48"/>
    <mergeCell ref="A56:D56"/>
    <mergeCell ref="A66:C66"/>
    <mergeCell ref="A71:D71"/>
    <mergeCell ref="A81:C81"/>
  </mergeCells>
  <pageMargins left="0.31496062992125984" right="0.11811023622047245" top="0" bottom="0" header="0.31496062992125984" footer="0.31496062992125984"/>
  <pageSetup paperSize="9" scale="25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4DF2-A14A-465B-9BDD-64F8E84E127A}">
  <dimension ref="A1:F12"/>
  <sheetViews>
    <sheetView workbookViewId="0">
      <selection activeCell="E11" sqref="E11"/>
    </sheetView>
  </sheetViews>
  <sheetFormatPr baseColWidth="10" defaultRowHeight="14.5" x14ac:dyDescent="0.35"/>
  <cols>
    <col min="1" max="1" width="16.453125" customWidth="1"/>
    <col min="2" max="2" width="16.453125" style="774" customWidth="1"/>
    <col min="3" max="3" width="19.7265625" style="774" customWidth="1"/>
    <col min="4" max="4" width="20.08984375" style="774" customWidth="1"/>
    <col min="5" max="5" width="16.81640625" style="774" customWidth="1"/>
    <col min="6" max="6" width="20.453125" style="774" customWidth="1"/>
  </cols>
  <sheetData>
    <row r="1" spans="1:6" x14ac:dyDescent="0.35">
      <c r="A1" s="964" t="s">
        <v>7</v>
      </c>
      <c r="B1" s="1052" t="s">
        <v>1294</v>
      </c>
      <c r="C1" s="1052" t="s">
        <v>1290</v>
      </c>
      <c r="D1" s="1052" t="s">
        <v>1291</v>
      </c>
      <c r="E1" s="1052" t="s">
        <v>1292</v>
      </c>
      <c r="F1" s="1052" t="s">
        <v>1293</v>
      </c>
    </row>
    <row r="2" spans="1:6" x14ac:dyDescent="0.35">
      <c r="A2" s="258" t="s">
        <v>10</v>
      </c>
      <c r="B2" s="194">
        <v>1193536</v>
      </c>
      <c r="C2" s="194">
        <v>1274552</v>
      </c>
      <c r="D2" s="194">
        <v>1320894</v>
      </c>
      <c r="E2" s="1151">
        <f>OCTUBRE2025!$D$13</f>
        <v>1395753.5</v>
      </c>
      <c r="F2" s="194">
        <f>[1]NOV2025!$D$14</f>
        <v>1244752.25</v>
      </c>
    </row>
    <row r="3" spans="1:6" x14ac:dyDescent="0.35">
      <c r="A3" s="258" t="s">
        <v>16</v>
      </c>
      <c r="B3" s="194">
        <v>1266896.75</v>
      </c>
      <c r="C3" s="194">
        <v>1325314.5</v>
      </c>
      <c r="D3" s="194">
        <v>1316220</v>
      </c>
      <c r="E3" s="1151">
        <f>OCTUBRE2025!$D$30</f>
        <v>1369647.75</v>
      </c>
      <c r="F3" s="194">
        <v>1136614</v>
      </c>
    </row>
    <row r="4" spans="1:6" x14ac:dyDescent="0.35">
      <c r="A4" s="258" t="s">
        <v>0</v>
      </c>
      <c r="B4" s="194">
        <v>1398129</v>
      </c>
      <c r="C4" s="194">
        <v>1533730</v>
      </c>
      <c r="D4" s="194">
        <v>1556106</v>
      </c>
      <c r="E4" s="1151">
        <f>OCTUBRE2025!$D$45</f>
        <v>1641136</v>
      </c>
      <c r="F4" s="194">
        <v>1596383.5</v>
      </c>
    </row>
    <row r="5" spans="1:6" x14ac:dyDescent="0.35">
      <c r="A5" s="258" t="s">
        <v>245</v>
      </c>
      <c r="B5" s="194">
        <v>943478.75</v>
      </c>
      <c r="C5" s="194">
        <v>841757</v>
      </c>
      <c r="D5" s="194">
        <v>981748</v>
      </c>
      <c r="E5" s="1151">
        <f>OCTUBRE2025!$D$78</f>
        <v>1058104</v>
      </c>
      <c r="F5" s="194">
        <v>936295</v>
      </c>
    </row>
    <row r="6" spans="1:6" x14ac:dyDescent="0.35">
      <c r="A6" s="258" t="s">
        <v>463</v>
      </c>
      <c r="B6" s="194">
        <v>1118819</v>
      </c>
      <c r="C6" s="194">
        <v>1165245.5</v>
      </c>
      <c r="D6" s="194">
        <v>1164342</v>
      </c>
      <c r="E6" s="1151">
        <f>OCTUBRE2025!$D$94</f>
        <v>1186923.5</v>
      </c>
      <c r="F6" s="194">
        <v>1113760.25</v>
      </c>
    </row>
    <row r="7" spans="1:6" x14ac:dyDescent="0.35">
      <c r="A7" s="258" t="s">
        <v>1116</v>
      </c>
      <c r="B7" s="194">
        <v>800431.25</v>
      </c>
      <c r="C7" s="194">
        <v>976294</v>
      </c>
      <c r="D7" s="194">
        <v>1006291</v>
      </c>
      <c r="E7" s="194">
        <f>OCTUBRE2025!$D$112</f>
        <v>1052650</v>
      </c>
      <c r="F7" s="1151">
        <v>1096130</v>
      </c>
    </row>
    <row r="8" spans="1:6" x14ac:dyDescent="0.35">
      <c r="A8" s="258" t="s">
        <v>260</v>
      </c>
      <c r="B8" s="194">
        <v>985162</v>
      </c>
      <c r="C8" s="194">
        <v>1076313</v>
      </c>
      <c r="D8" s="194">
        <v>1116296</v>
      </c>
      <c r="E8" s="1151">
        <f>OCTUBRE2025!$D$143</f>
        <v>1178935.5</v>
      </c>
      <c r="F8" s="194">
        <v>1100303.25</v>
      </c>
    </row>
    <row r="9" spans="1:6" x14ac:dyDescent="0.35">
      <c r="A9" s="617" t="s">
        <v>613</v>
      </c>
      <c r="B9" s="227">
        <v>1109399.45</v>
      </c>
      <c r="C9" s="227">
        <v>1345574</v>
      </c>
      <c r="D9" s="227">
        <v>1290886</v>
      </c>
      <c r="E9" s="1151">
        <f>OCTUBRE2025!$D$127</f>
        <v>1346862</v>
      </c>
      <c r="F9" s="194">
        <v>1310021.5</v>
      </c>
    </row>
    <row r="10" spans="1:6" x14ac:dyDescent="0.35">
      <c r="A10" s="315" t="s">
        <v>1068</v>
      </c>
      <c r="B10" s="1238">
        <v>791120</v>
      </c>
      <c r="C10" s="1238">
        <v>834542</v>
      </c>
      <c r="D10" s="1238">
        <v>840105</v>
      </c>
      <c r="E10" s="1257">
        <f>OCTUBRE2025!$D$177</f>
        <v>856000.5</v>
      </c>
      <c r="F10" s="194">
        <v>796394.25</v>
      </c>
    </row>
    <row r="11" spans="1:6" x14ac:dyDescent="0.35">
      <c r="A11" s="315" t="s">
        <v>1038</v>
      </c>
      <c r="B11" s="1238">
        <v>957387.5</v>
      </c>
      <c r="C11" s="1238">
        <v>987911</v>
      </c>
      <c r="D11" s="1238">
        <v>1014418</v>
      </c>
      <c r="E11" s="1199">
        <v>1088049.5</v>
      </c>
      <c r="F11" s="194">
        <v>982020.5</v>
      </c>
    </row>
    <row r="12" spans="1:6" x14ac:dyDescent="0.35">
      <c r="A12" s="315" t="s">
        <v>267</v>
      </c>
      <c r="B12" s="194">
        <v>968472.5</v>
      </c>
      <c r="C12" s="194">
        <v>1040239.5</v>
      </c>
      <c r="D12" s="194">
        <v>1066746</v>
      </c>
      <c r="E12" s="1151">
        <v>1122706.5</v>
      </c>
      <c r="F12" s="194">
        <v>1046130</v>
      </c>
    </row>
  </sheetData>
  <pageMargins left="0.7" right="0.7" top="0.75" bottom="0.75" header="0.3" footer="0.3"/>
  <pageSetup paperSize="9" orientation="portrait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09C9-6B57-4715-983B-3771A402C0A6}">
  <sheetPr>
    <pageSetUpPr fitToPage="1"/>
  </sheetPr>
  <dimension ref="A1:S180"/>
  <sheetViews>
    <sheetView topLeftCell="A102" zoomScaleNormal="100" workbookViewId="0">
      <selection activeCell="B112" sqref="B112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45992</v>
      </c>
    </row>
    <row r="3" spans="1:18" ht="25.5" customHeight="1" x14ac:dyDescent="0.35">
      <c r="A3" s="1466" t="s">
        <v>1284</v>
      </c>
      <c r="B3" s="1431"/>
      <c r="C3" s="1431"/>
      <c r="D3" s="1431"/>
    </row>
    <row r="4" spans="1:18" s="1258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/>
      <c r="C5" s="227">
        <v>4753</v>
      </c>
      <c r="D5" s="598">
        <f>+B5*C5</f>
        <v>0</v>
      </c>
      <c r="Q5" s="1258"/>
    </row>
    <row r="6" spans="1:18" ht="18" customHeight="1" x14ac:dyDescent="0.35">
      <c r="A6" s="772" t="s">
        <v>1273</v>
      </c>
      <c r="B6" s="258"/>
      <c r="C6" s="227">
        <f>+C5</f>
        <v>4753</v>
      </c>
      <c r="D6" s="598">
        <f>+B6*C6</f>
        <v>0</v>
      </c>
      <c r="F6" s="176"/>
      <c r="Q6" s="774"/>
    </row>
    <row r="7" spans="1:18" ht="18" customHeight="1" x14ac:dyDescent="0.35">
      <c r="A7" s="772" t="s">
        <v>1274</v>
      </c>
      <c r="B7" s="258"/>
      <c r="C7" s="227">
        <f>+C5</f>
        <v>4753</v>
      </c>
      <c r="D7" s="598">
        <f>+B7*C7</f>
        <v>0</v>
      </c>
      <c r="F7" s="176"/>
      <c r="Q7" s="774"/>
    </row>
    <row r="8" spans="1:18" ht="18" customHeight="1" x14ac:dyDescent="0.35">
      <c r="A8" s="772" t="s">
        <v>196</v>
      </c>
      <c r="B8" s="258"/>
      <c r="C8" s="227">
        <v>50000</v>
      </c>
      <c r="D8" s="598">
        <v>50000</v>
      </c>
      <c r="F8" s="176"/>
    </row>
    <row r="9" spans="1:18" ht="18" customHeight="1" x14ac:dyDescent="0.35">
      <c r="A9" s="772" t="s">
        <v>6</v>
      </c>
      <c r="B9" s="258"/>
      <c r="C9" s="227">
        <v>100000</v>
      </c>
      <c r="D9" s="598">
        <v>100000</v>
      </c>
      <c r="F9" s="176"/>
    </row>
    <row r="10" spans="1:18" ht="18" customHeight="1" x14ac:dyDescent="0.35">
      <c r="A10" s="772" t="s">
        <v>467</v>
      </c>
      <c r="B10" s="258"/>
      <c r="C10" s="194">
        <f>+C5*1.5</f>
        <v>7129.5</v>
      </c>
      <c r="D10" s="598">
        <f>+B10*C10</f>
        <v>0</v>
      </c>
      <c r="F10" s="176"/>
    </row>
    <row r="11" spans="1:18" ht="18" customHeight="1" x14ac:dyDescent="0.35">
      <c r="A11" s="772" t="s">
        <v>281</v>
      </c>
      <c r="B11" s="258"/>
      <c r="C11" s="194">
        <f>+C5*2</f>
        <v>9506</v>
      </c>
      <c r="D11" s="598">
        <f>+B11*C11</f>
        <v>0</v>
      </c>
      <c r="F11" s="176"/>
    </row>
    <row r="12" spans="1:18" s="1192" customFormat="1" ht="18" customHeight="1" x14ac:dyDescent="0.35">
      <c r="A12" s="1149" t="s">
        <v>823</v>
      </c>
      <c r="B12" s="1150"/>
      <c r="C12" s="1151"/>
      <c r="D12" s="1152">
        <v>250000</v>
      </c>
      <c r="E12" s="1199"/>
      <c r="F12" s="1191"/>
      <c r="R12" s="1193"/>
    </row>
    <row r="13" spans="1:18" s="1192" customFormat="1" ht="18" customHeight="1" x14ac:dyDescent="0.35">
      <c r="A13" s="1149" t="s">
        <v>1285</v>
      </c>
      <c r="B13" s="1150"/>
      <c r="C13" s="1151">
        <f>1396000/2</f>
        <v>698000</v>
      </c>
      <c r="D13" s="1152">
        <f>+C13</f>
        <v>698000</v>
      </c>
      <c r="E13" s="1199"/>
      <c r="F13" s="1191"/>
      <c r="R13" s="1193"/>
    </row>
    <row r="14" spans="1:18" ht="18" customHeight="1" x14ac:dyDescent="0.35">
      <c r="A14" s="1470" t="s">
        <v>389</v>
      </c>
      <c r="B14" s="1470"/>
      <c r="C14" s="1470"/>
      <c r="D14" s="599">
        <f>+D5+D6+D7+D8+D9+D10+D11+D12+D13</f>
        <v>1098000</v>
      </c>
      <c r="F14" s="248"/>
      <c r="G14" s="248"/>
      <c r="H14" s="248"/>
      <c r="I14" s="248"/>
      <c r="J14" s="248"/>
      <c r="K14" s="248"/>
      <c r="L14" s="248"/>
      <c r="M14" s="248"/>
      <c r="O14" s="1258"/>
    </row>
    <row r="15" spans="1:18" ht="18" customHeight="1" x14ac:dyDescent="0.35">
      <c r="A15" s="800" t="s">
        <v>1257</v>
      </c>
      <c r="B15" s="720"/>
      <c r="C15" s="720"/>
      <c r="D15" s="722"/>
      <c r="F15" s="248"/>
      <c r="G15" s="248"/>
      <c r="H15" s="248"/>
      <c r="I15" s="248"/>
      <c r="J15" s="248"/>
      <c r="K15" s="248"/>
      <c r="L15" s="248"/>
      <c r="M15" s="248"/>
      <c r="O15" s="1258"/>
    </row>
    <row r="16" spans="1:18" ht="18" customHeight="1" x14ac:dyDescent="0.35">
      <c r="A16" s="1141" t="s">
        <v>1258</v>
      </c>
      <c r="B16" s="721"/>
      <c r="C16" s="905"/>
      <c r="D16" s="722"/>
      <c r="F16" s="248"/>
      <c r="G16" s="248"/>
      <c r="H16" s="248"/>
      <c r="I16" s="248"/>
      <c r="J16" s="248"/>
      <c r="K16" s="248"/>
      <c r="L16" s="248"/>
      <c r="M16" s="248"/>
      <c r="O16" s="1258"/>
    </row>
    <row r="17" spans="1:19" ht="18" customHeight="1" x14ac:dyDescent="0.35">
      <c r="A17" s="1433" t="s">
        <v>11</v>
      </c>
      <c r="B17" s="1433"/>
      <c r="C17" s="1433"/>
      <c r="D17" s="603">
        <f>+D14+D15+D16</f>
        <v>1098000</v>
      </c>
      <c r="F17" s="321"/>
      <c r="G17" s="321"/>
      <c r="H17" s="473"/>
      <c r="I17" s="321"/>
      <c r="J17" s="321"/>
      <c r="Q17" s="1258"/>
    </row>
    <row r="18" spans="1:19" ht="18" customHeight="1" x14ac:dyDescent="0.35">
      <c r="A18" s="1053"/>
      <c r="B18" s="1054"/>
      <c r="C18" s="1054"/>
      <c r="D18" s="1055"/>
      <c r="F18" s="321"/>
      <c r="G18" s="321"/>
      <c r="H18" s="473"/>
      <c r="I18" s="321"/>
      <c r="J18" s="321"/>
      <c r="Q18" s="1258"/>
    </row>
    <row r="19" spans="1:19" s="908" customFormat="1" ht="18" customHeight="1" x14ac:dyDescent="0.35">
      <c r="A19" s="689"/>
      <c r="B19" s="689"/>
      <c r="C19" s="689"/>
      <c r="D19" s="688"/>
      <c r="E19" s="768"/>
      <c r="I19" s="910"/>
      <c r="J19" s="911"/>
      <c r="K19" s="912"/>
      <c r="L19" s="912"/>
      <c r="M19" s="910"/>
      <c r="N19" s="910"/>
      <c r="O19" s="910"/>
      <c r="P19" s="764"/>
      <c r="S19" s="764"/>
    </row>
    <row r="20" spans="1:19" ht="18" customHeight="1" x14ac:dyDescent="0.45">
      <c r="A20" s="1450" t="s">
        <v>1304</v>
      </c>
      <c r="B20" s="1451"/>
      <c r="C20" s="1451"/>
      <c r="D20" s="1452"/>
      <c r="E20" s="796"/>
      <c r="J20" s="185"/>
      <c r="K20" s="181"/>
      <c r="L20" s="181"/>
      <c r="M20" s="181"/>
      <c r="N20" s="181"/>
    </row>
    <row r="21" spans="1:19" ht="18" customHeight="1" x14ac:dyDescent="0.35">
      <c r="A21" s="604" t="s">
        <v>7</v>
      </c>
      <c r="B21" s="605" t="s">
        <v>8</v>
      </c>
      <c r="C21" s="606" t="s">
        <v>4</v>
      </c>
      <c r="D21" s="606" t="s">
        <v>9</v>
      </c>
      <c r="J21" s="185"/>
      <c r="K21" s="181"/>
      <c r="L21" s="181"/>
      <c r="M21" s="184"/>
    </row>
    <row r="22" spans="1:19" ht="18" customHeight="1" x14ac:dyDescent="0.35">
      <c r="A22" s="607" t="s">
        <v>3</v>
      </c>
      <c r="B22" s="267"/>
      <c r="C22" s="211">
        <v>4547</v>
      </c>
      <c r="D22" s="211">
        <f>+B22*C22</f>
        <v>0</v>
      </c>
      <c r="J22" s="182"/>
    </row>
    <row r="23" spans="1:19" ht="18" customHeight="1" x14ac:dyDescent="0.35">
      <c r="A23" s="607" t="s">
        <v>1277</v>
      </c>
      <c r="B23" s="267"/>
      <c r="C23" s="211">
        <f>+C22</f>
        <v>4547</v>
      </c>
      <c r="D23" s="211">
        <f>+B23*C23</f>
        <v>0</v>
      </c>
      <c r="J23" s="182"/>
    </row>
    <row r="24" spans="1:19" ht="18" customHeight="1" x14ac:dyDescent="0.35">
      <c r="A24" s="607" t="s">
        <v>1278</v>
      </c>
      <c r="B24" s="267"/>
      <c r="C24" s="211">
        <f>+C22</f>
        <v>4547</v>
      </c>
      <c r="D24" s="211">
        <f>+B24*C24</f>
        <v>0</v>
      </c>
      <c r="J24" s="182"/>
    </row>
    <row r="25" spans="1:19" ht="18" customHeight="1" x14ac:dyDescent="0.35">
      <c r="A25" s="607" t="s">
        <v>1236</v>
      </c>
      <c r="B25" s="267"/>
      <c r="C25" s="211">
        <f>+C22</f>
        <v>4547</v>
      </c>
      <c r="D25" s="211">
        <f>+B25*C25</f>
        <v>0</v>
      </c>
      <c r="J25" s="182"/>
    </row>
    <row r="26" spans="1:19" ht="18" customHeight="1" x14ac:dyDescent="0.35">
      <c r="A26" s="772" t="s">
        <v>196</v>
      </c>
      <c r="B26" s="267"/>
      <c r="C26" s="211">
        <v>50000</v>
      </c>
      <c r="D26" s="211">
        <f>+C26</f>
        <v>50000</v>
      </c>
      <c r="I26" s="1258"/>
    </row>
    <row r="27" spans="1:19" ht="18" customHeight="1" x14ac:dyDescent="0.35">
      <c r="A27" s="772" t="s">
        <v>6</v>
      </c>
      <c r="B27" s="267"/>
      <c r="C27" s="211">
        <v>100000</v>
      </c>
      <c r="D27" s="211">
        <f>+C27</f>
        <v>100000</v>
      </c>
      <c r="I27" s="1258"/>
    </row>
    <row r="28" spans="1:19" ht="18" customHeight="1" x14ac:dyDescent="0.35">
      <c r="A28" s="772" t="s">
        <v>1028</v>
      </c>
      <c r="B28" s="267"/>
      <c r="C28" s="211">
        <f>+C22*1.5</f>
        <v>6820.5</v>
      </c>
      <c r="D28" s="211">
        <f>B28*C28</f>
        <v>0</v>
      </c>
      <c r="E28" s="1025"/>
      <c r="F28" s="181"/>
      <c r="G28" s="187"/>
      <c r="H28" s="188"/>
      <c r="I28" s="1258"/>
      <c r="L28" s="1258"/>
    </row>
    <row r="29" spans="1:19" ht="18" customHeight="1" x14ac:dyDescent="0.35">
      <c r="A29" s="772" t="s">
        <v>281</v>
      </c>
      <c r="B29" s="267"/>
      <c r="C29" s="211">
        <f>+C22*2</f>
        <v>9094</v>
      </c>
      <c r="D29" s="211">
        <f>+B29*C29</f>
        <v>0</v>
      </c>
      <c r="E29" s="1025"/>
      <c r="F29" s="181"/>
      <c r="G29" s="187"/>
      <c r="H29" s="188"/>
      <c r="I29" s="1258"/>
      <c r="L29" s="1258"/>
    </row>
    <row r="30" spans="1:19" s="1192" customFormat="1" ht="18" customHeight="1" x14ac:dyDescent="0.35">
      <c r="A30" s="1149" t="s">
        <v>1040</v>
      </c>
      <c r="B30" s="1196"/>
      <c r="C30" s="1197"/>
      <c r="D30" s="1197">
        <v>250000</v>
      </c>
      <c r="E30" s="1233"/>
      <c r="F30" s="1198"/>
      <c r="G30" s="1195"/>
      <c r="H30" s="1195"/>
      <c r="I30" s="1193"/>
      <c r="L30" s="1193"/>
    </row>
    <row r="31" spans="1:19" s="1192" customFormat="1" ht="18" customHeight="1" x14ac:dyDescent="0.35">
      <c r="A31" s="1149"/>
      <c r="B31" s="1196"/>
      <c r="C31" s="1197"/>
      <c r="D31" s="1197"/>
      <c r="E31" s="1233"/>
      <c r="F31" s="1198"/>
      <c r="G31" s="1195"/>
      <c r="H31" s="1195"/>
      <c r="I31" s="1193"/>
      <c r="L31" s="1193"/>
    </row>
    <row r="32" spans="1:19" s="1258" customFormat="1" ht="18" customHeight="1" x14ac:dyDescent="0.35">
      <c r="A32" s="1463" t="s">
        <v>389</v>
      </c>
      <c r="B32" s="1464"/>
      <c r="C32" s="1465"/>
      <c r="D32" s="599">
        <f>+D22+D23+D24+D25+D26+D27+D28+D29+D30+D31</f>
        <v>400000</v>
      </c>
      <c r="E32" s="553"/>
      <c r="F32" s="181"/>
      <c r="G32" s="181"/>
      <c r="H32" s="184"/>
      <c r="I32" s="771"/>
      <c r="K32" s="771"/>
      <c r="L32" s="771"/>
    </row>
    <row r="33" spans="1:19" s="1258" customFormat="1" ht="18" customHeight="1" x14ac:dyDescent="0.35">
      <c r="A33" s="825" t="s">
        <v>1260</v>
      </c>
      <c r="B33" s="824"/>
      <c r="C33" s="823"/>
      <c r="D33" s="930">
        <v>-1000000</v>
      </c>
      <c r="E33" s="553"/>
      <c r="F33" s="181"/>
      <c r="G33" s="181"/>
      <c r="H33" s="184"/>
      <c r="I33" s="771"/>
      <c r="K33" s="771"/>
      <c r="L33" s="771"/>
    </row>
    <row r="34" spans="1:19" ht="18" customHeight="1" x14ac:dyDescent="0.35">
      <c r="A34" s="786" t="s">
        <v>11</v>
      </c>
      <c r="B34" s="783"/>
      <c r="C34" s="783"/>
      <c r="D34" s="784">
        <f>+D32+D33</f>
        <v>-600000</v>
      </c>
      <c r="F34" s="181"/>
      <c r="G34" s="181"/>
      <c r="H34" s="184"/>
    </row>
    <row r="35" spans="1:19" ht="18" customHeight="1" x14ac:dyDescent="0.35">
      <c r="A35" s="1047"/>
      <c r="B35" s="594"/>
      <c r="C35" s="594"/>
      <c r="D35" s="595"/>
      <c r="F35" s="181"/>
      <c r="G35" s="181"/>
      <c r="H35" s="184"/>
    </row>
    <row r="36" spans="1:19" ht="18" customHeight="1" x14ac:dyDescent="0.35">
      <c r="A36" s="594"/>
      <c r="B36" s="594"/>
      <c r="C36" s="594"/>
      <c r="D36" s="595"/>
      <c r="F36" s="181"/>
      <c r="G36" s="181"/>
      <c r="H36" s="184"/>
    </row>
    <row r="37" spans="1:19" ht="18" customHeight="1" x14ac:dyDescent="0.35">
      <c r="A37" s="1431" t="s">
        <v>1307</v>
      </c>
      <c r="B37" s="1431"/>
      <c r="C37" s="1431"/>
      <c r="D37" s="1431"/>
      <c r="F37" s="181"/>
      <c r="G37" s="181"/>
      <c r="H37" s="184"/>
    </row>
    <row r="38" spans="1:19" ht="18" customHeight="1" x14ac:dyDescent="0.35">
      <c r="A38" s="2"/>
      <c r="B38" s="270" t="s">
        <v>8</v>
      </c>
      <c r="C38" s="217" t="s">
        <v>4</v>
      </c>
      <c r="D38" s="597" t="s">
        <v>9</v>
      </c>
      <c r="F38" s="181"/>
      <c r="G38" s="181"/>
      <c r="H38" s="184"/>
    </row>
    <row r="39" spans="1:19" ht="18" customHeight="1" x14ac:dyDescent="0.35">
      <c r="A39" s="772" t="s">
        <v>253</v>
      </c>
      <c r="B39" s="258"/>
      <c r="C39" s="194">
        <v>5967</v>
      </c>
      <c r="D39" s="598">
        <f>+B39*C39</f>
        <v>0</v>
      </c>
      <c r="F39" s="181"/>
      <c r="G39" s="181"/>
      <c r="H39" s="184"/>
    </row>
    <row r="40" spans="1:19" ht="18" customHeight="1" x14ac:dyDescent="0.35">
      <c r="A40" s="772" t="s">
        <v>394</v>
      </c>
      <c r="B40" s="258"/>
      <c r="C40" s="194">
        <f>+C39</f>
        <v>5967</v>
      </c>
      <c r="D40" s="598">
        <f>+B40*C40</f>
        <v>0</v>
      </c>
      <c r="F40" s="181"/>
      <c r="G40" s="181"/>
      <c r="H40" s="184"/>
    </row>
    <row r="41" spans="1:19" ht="15" customHeight="1" x14ac:dyDescent="0.35">
      <c r="A41" s="772" t="s">
        <v>196</v>
      </c>
      <c r="B41" s="258"/>
      <c r="C41" s="194">
        <v>50000</v>
      </c>
      <c r="D41" s="598">
        <f>+C41</f>
        <v>50000</v>
      </c>
      <c r="F41" s="181"/>
      <c r="G41" s="181"/>
      <c r="H41" s="184"/>
      <c r="I41" s="1258"/>
    </row>
    <row r="42" spans="1:19" ht="15" customHeight="1" x14ac:dyDescent="0.35">
      <c r="A42" s="772" t="s">
        <v>6</v>
      </c>
      <c r="B42" s="258"/>
      <c r="C42" s="194">
        <v>100000</v>
      </c>
      <c r="D42" s="598">
        <f>+C42</f>
        <v>100000</v>
      </c>
      <c r="F42" s="181"/>
      <c r="G42" s="181"/>
      <c r="H42" s="184"/>
      <c r="I42" s="1258"/>
    </row>
    <row r="43" spans="1:19" ht="15" customHeight="1" x14ac:dyDescent="0.35">
      <c r="A43" s="772" t="s">
        <v>1029</v>
      </c>
      <c r="B43" s="315"/>
      <c r="C43" s="194">
        <f>+C39*1.5</f>
        <v>8950.5</v>
      </c>
      <c r="D43" s="598">
        <f>+B43*C43</f>
        <v>0</v>
      </c>
      <c r="F43" s="181"/>
      <c r="G43" s="181"/>
      <c r="H43" s="184"/>
      <c r="I43" s="1258"/>
    </row>
    <row r="44" spans="1:19" ht="15" customHeight="1" x14ac:dyDescent="0.35">
      <c r="A44" s="772" t="s">
        <v>449</v>
      </c>
      <c r="B44" s="315"/>
      <c r="C44" s="194">
        <f>+C39*2</f>
        <v>11934</v>
      </c>
      <c r="D44" s="598">
        <f>+B44*C44</f>
        <v>0</v>
      </c>
      <c r="F44" s="181"/>
      <c r="G44" s="416"/>
      <c r="H44" s="184"/>
      <c r="I44" s="1258"/>
    </row>
    <row r="45" spans="1:19" s="1192" customFormat="1" ht="15" customHeight="1" x14ac:dyDescent="0.35">
      <c r="A45" s="1149" t="s">
        <v>1040</v>
      </c>
      <c r="B45" s="1232"/>
      <c r="C45" s="1151"/>
      <c r="D45" s="1152">
        <v>250000</v>
      </c>
      <c r="E45" s="1199"/>
      <c r="F45" s="1198"/>
      <c r="G45" s="1203"/>
      <c r="H45" s="1198"/>
      <c r="I45" s="1193"/>
    </row>
    <row r="46" spans="1:19" s="1192" customFormat="1" ht="15" customHeight="1" x14ac:dyDescent="0.35">
      <c r="A46" s="1149" t="s">
        <v>1285</v>
      </c>
      <c r="B46" s="1232"/>
      <c r="C46" s="1151">
        <f>1642000/2</f>
        <v>821000</v>
      </c>
      <c r="D46" s="1152">
        <f>+C46</f>
        <v>821000</v>
      </c>
      <c r="E46" s="1199"/>
      <c r="F46" s="1198"/>
      <c r="G46" s="1203"/>
      <c r="H46" s="1198"/>
      <c r="I46" s="1193"/>
    </row>
    <row r="47" spans="1:19" ht="15" customHeight="1" x14ac:dyDescent="0.35">
      <c r="A47" s="1459" t="s">
        <v>389</v>
      </c>
      <c r="B47" s="1459"/>
      <c r="C47" s="1459"/>
      <c r="D47" s="599">
        <f>+D39+D40+D41+D42+D43+D44+D45+D46</f>
        <v>1221000</v>
      </c>
      <c r="J47" s="176"/>
      <c r="K47" s="176"/>
      <c r="L47" s="176"/>
      <c r="M47" s="181"/>
      <c r="N47" s="181"/>
      <c r="O47" s="184"/>
      <c r="Q47" s="1258"/>
    </row>
    <row r="48" spans="1:19" s="1258" customFormat="1" ht="15" customHeight="1" x14ac:dyDescent="0.35">
      <c r="A48" s="921" t="str">
        <f>A15</f>
        <v>DEPOSITO P/BCO. (1er.QUINC.11/25)</v>
      </c>
      <c r="B48" s="727" t="s">
        <v>63</v>
      </c>
      <c r="C48" s="727" t="s">
        <v>63</v>
      </c>
      <c r="D48" s="722"/>
      <c r="E48" s="1025"/>
      <c r="F48" s="774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258" customFormat="1" ht="15" customHeight="1" x14ac:dyDescent="0.35">
      <c r="A49" s="921" t="str">
        <f t="shared" ref="A49" si="0">A16</f>
        <v>DEPOSITO P/BCO. (2da.QUINC.11/25)</v>
      </c>
      <c r="B49" s="727"/>
      <c r="C49" s="727"/>
      <c r="D49" s="722"/>
      <c r="E49" s="1025"/>
      <c r="F49" s="774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258" customFormat="1" ht="15" customHeight="1" x14ac:dyDescent="0.35">
      <c r="A50" s="1103" t="s">
        <v>11</v>
      </c>
      <c r="B50" s="1104"/>
      <c r="C50" s="1231"/>
      <c r="D50" s="675">
        <f>+D47+D48+D49</f>
        <v>1221000</v>
      </c>
      <c r="E50" s="1025"/>
      <c r="F50" s="771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s="1258" customFormat="1" ht="15" customHeight="1" x14ac:dyDescent="0.35">
      <c r="A51" s="1224" t="s">
        <v>1149</v>
      </c>
      <c r="B51" s="1225"/>
      <c r="C51" s="1226"/>
      <c r="D51" s="844">
        <v>250000</v>
      </c>
      <c r="E51" s="1025"/>
      <c r="F51" s="771"/>
      <c r="G51" s="771"/>
      <c r="H51" s="771"/>
      <c r="I51" s="771"/>
      <c r="J51" s="176"/>
      <c r="K51" s="176"/>
      <c r="L51" s="176"/>
      <c r="M51" s="176"/>
      <c r="N51" s="176"/>
      <c r="O51" s="176"/>
      <c r="P51" s="771"/>
      <c r="Q51" s="771"/>
      <c r="R51" s="771"/>
      <c r="S51" s="771"/>
    </row>
    <row r="52" spans="1:19" ht="15" customHeight="1" x14ac:dyDescent="0.35">
      <c r="A52" s="1229" t="s">
        <v>1281</v>
      </c>
      <c r="B52" s="1229"/>
      <c r="C52" s="1229"/>
      <c r="D52" s="1230">
        <f>+D50+D51</f>
        <v>1471000</v>
      </c>
      <c r="K52" s="183"/>
      <c r="L52" s="183"/>
      <c r="M52" s="176"/>
      <c r="N52" s="176"/>
      <c r="O52" s="176"/>
      <c r="Q52" s="1258"/>
    </row>
    <row r="53" spans="1:19" ht="15" customHeight="1" x14ac:dyDescent="0.35">
      <c r="A53" s="1247"/>
      <c r="B53" s="1248"/>
      <c r="C53" s="1248"/>
      <c r="D53" s="1249"/>
      <c r="K53" s="183"/>
      <c r="L53" s="183"/>
      <c r="M53" s="176"/>
      <c r="N53" s="176"/>
      <c r="O53" s="176"/>
      <c r="Q53" s="1258"/>
    </row>
    <row r="54" spans="1:19" s="4" customFormat="1" ht="15" customHeight="1" x14ac:dyDescent="0.35">
      <c r="A54" s="95"/>
      <c r="E54" s="1250"/>
      <c r="K54" s="183"/>
      <c r="L54" s="183"/>
      <c r="M54" s="176"/>
      <c r="N54" s="176"/>
      <c r="O54" s="176"/>
      <c r="Q54" s="1251"/>
    </row>
    <row r="55" spans="1:19" ht="15" customHeight="1" x14ac:dyDescent="0.35">
      <c r="A55" s="1431" t="s">
        <v>1299</v>
      </c>
      <c r="B55" s="1431"/>
      <c r="C55" s="1431"/>
      <c r="D55" s="1431"/>
      <c r="S55" s="1258"/>
    </row>
    <row r="56" spans="1:19" x14ac:dyDescent="0.35">
      <c r="A56" s="2" t="s">
        <v>7</v>
      </c>
      <c r="B56" s="270" t="s">
        <v>8</v>
      </c>
      <c r="C56" s="217" t="s">
        <v>4</v>
      </c>
      <c r="D56" s="597" t="s">
        <v>9</v>
      </c>
    </row>
    <row r="57" spans="1:19" x14ac:dyDescent="0.35">
      <c r="A57" s="772" t="s">
        <v>253</v>
      </c>
      <c r="B57" s="258">
        <v>158</v>
      </c>
      <c r="C57" s="227">
        <v>3927</v>
      </c>
      <c r="D57" s="598">
        <f>+B57*C57</f>
        <v>620466</v>
      </c>
    </row>
    <row r="58" spans="1:19" x14ac:dyDescent="0.35">
      <c r="A58" s="772" t="s">
        <v>369</v>
      </c>
      <c r="B58" s="258">
        <v>16</v>
      </c>
      <c r="C58" s="227">
        <f>+C57</f>
        <v>3927</v>
      </c>
      <c r="D58" s="598">
        <f>+B58*C58</f>
        <v>62832</v>
      </c>
    </row>
    <row r="59" spans="1:19" x14ac:dyDescent="0.35">
      <c r="A59" s="772" t="s">
        <v>266</v>
      </c>
      <c r="B59" s="258"/>
      <c r="C59" s="227">
        <v>50000</v>
      </c>
      <c r="D59" s="598">
        <f>+C59</f>
        <v>50000</v>
      </c>
    </row>
    <row r="60" spans="1:19" x14ac:dyDescent="0.35">
      <c r="A60" s="772" t="s">
        <v>6</v>
      </c>
      <c r="B60" s="258"/>
      <c r="C60" s="227">
        <v>100000</v>
      </c>
      <c r="D60" s="598">
        <f>+C60</f>
        <v>100000</v>
      </c>
    </row>
    <row r="61" spans="1:19" x14ac:dyDescent="0.35">
      <c r="A61" s="772" t="s">
        <v>1030</v>
      </c>
      <c r="B61" s="258">
        <v>1</v>
      </c>
      <c r="C61" s="194">
        <f>+C57*1.5</f>
        <v>5890.5</v>
      </c>
      <c r="D61" s="598">
        <f>+B61*C61</f>
        <v>5890.5</v>
      </c>
    </row>
    <row r="62" spans="1:19" x14ac:dyDescent="0.35">
      <c r="A62" s="772" t="s">
        <v>449</v>
      </c>
      <c r="B62" s="258"/>
      <c r="C62" s="194">
        <f>+C57*2</f>
        <v>7854</v>
      </c>
      <c r="D62" s="598">
        <f>+B62*C62</f>
        <v>0</v>
      </c>
    </row>
    <row r="63" spans="1:19" s="1192" customFormat="1" x14ac:dyDescent="0.35">
      <c r="A63" s="1149" t="s">
        <v>823</v>
      </c>
      <c r="B63" s="1150"/>
      <c r="C63" s="1151"/>
      <c r="D63" s="1152">
        <v>150000</v>
      </c>
      <c r="E63" s="1199"/>
    </row>
    <row r="64" spans="1:19" s="1192" customFormat="1" x14ac:dyDescent="0.35">
      <c r="A64" s="1149" t="s">
        <v>1300</v>
      </c>
      <c r="B64" s="1150">
        <v>24</v>
      </c>
      <c r="C64" s="1151">
        <f>+C57</f>
        <v>3927</v>
      </c>
      <c r="D64" s="1152">
        <f>+B64*C64</f>
        <v>94248</v>
      </c>
      <c r="E64" s="1199"/>
    </row>
    <row r="65" spans="1:6" x14ac:dyDescent="0.35">
      <c r="A65" s="1459" t="s">
        <v>389</v>
      </c>
      <c r="B65" s="1459"/>
      <c r="C65" s="1459"/>
      <c r="D65" s="599">
        <f>+D57+D58+D59+D60+D61+D62+D63+D64</f>
        <v>1083436.5</v>
      </c>
      <c r="F65" s="774"/>
    </row>
    <row r="66" spans="1:6" x14ac:dyDescent="0.35">
      <c r="A66" s="904" t="s">
        <v>19</v>
      </c>
      <c r="B66" s="922"/>
      <c r="C66" s="720"/>
      <c r="D66" s="722"/>
    </row>
    <row r="67" spans="1:6" x14ac:dyDescent="0.35">
      <c r="A67" s="129" t="s">
        <v>11</v>
      </c>
      <c r="B67" s="1103"/>
      <c r="C67" s="197"/>
      <c r="D67" s="675">
        <f>+D65+D66</f>
        <v>1083436.5</v>
      </c>
    </row>
    <row r="68" spans="1:6" x14ac:dyDescent="0.35">
      <c r="B68" s="771"/>
      <c r="C68" s="771"/>
      <c r="D68" s="771"/>
    </row>
    <row r="70" spans="1:6" ht="14.5" customHeight="1" x14ac:dyDescent="0.35">
      <c r="A70" s="1431" t="s">
        <v>1308</v>
      </c>
      <c r="B70" s="1431"/>
      <c r="C70" s="1431"/>
      <c r="D70" s="1431"/>
    </row>
    <row r="71" spans="1:6" ht="14.5" customHeight="1" x14ac:dyDescent="0.35">
      <c r="A71" s="2" t="s">
        <v>7</v>
      </c>
      <c r="B71" s="270" t="s">
        <v>8</v>
      </c>
      <c r="C71" s="217" t="s">
        <v>4</v>
      </c>
      <c r="D71" s="597" t="s">
        <v>63</v>
      </c>
    </row>
    <row r="72" spans="1:6" ht="14.5" customHeight="1" x14ac:dyDescent="0.35">
      <c r="A72" s="772" t="s">
        <v>3</v>
      </c>
      <c r="B72" s="258">
        <v>158</v>
      </c>
      <c r="C72" s="227">
        <v>3636</v>
      </c>
      <c r="D72" s="598">
        <f>+B72*C72</f>
        <v>574488</v>
      </c>
      <c r="E72" s="1254"/>
    </row>
    <row r="73" spans="1:6" ht="14.5" customHeight="1" x14ac:dyDescent="0.35">
      <c r="A73" s="772" t="s">
        <v>369</v>
      </c>
      <c r="B73" s="258">
        <v>16</v>
      </c>
      <c r="C73" s="227">
        <f>+C72</f>
        <v>3636</v>
      </c>
      <c r="D73" s="598">
        <f>+B73*C73</f>
        <v>58176</v>
      </c>
      <c r="E73" s="1254"/>
    </row>
    <row r="74" spans="1:6" x14ac:dyDescent="0.35">
      <c r="A74" s="772" t="s">
        <v>266</v>
      </c>
      <c r="B74" s="258"/>
      <c r="C74" s="227">
        <v>50000</v>
      </c>
      <c r="D74" s="598">
        <f>+C74</f>
        <v>50000</v>
      </c>
    </row>
    <row r="75" spans="1:6" x14ac:dyDescent="0.35">
      <c r="A75" s="772" t="s">
        <v>6</v>
      </c>
      <c r="B75" s="258"/>
      <c r="C75" s="227">
        <v>100000</v>
      </c>
      <c r="D75" s="598">
        <v>100000</v>
      </c>
    </row>
    <row r="76" spans="1:6" s="1069" customFormat="1" x14ac:dyDescent="0.35">
      <c r="A76" s="614" t="s">
        <v>270</v>
      </c>
      <c r="B76" s="617">
        <v>4</v>
      </c>
      <c r="C76" s="227">
        <f>+C72*1.5</f>
        <v>5454</v>
      </c>
      <c r="D76" s="598">
        <f>+B76*C76</f>
        <v>21816</v>
      </c>
      <c r="E76" s="553"/>
    </row>
    <row r="77" spans="1:6" x14ac:dyDescent="0.35">
      <c r="A77" s="772" t="s">
        <v>281</v>
      </c>
      <c r="B77" s="258"/>
      <c r="C77" s="227">
        <f>+C72*2</f>
        <v>7272</v>
      </c>
      <c r="D77" s="598">
        <f>+B77*C77</f>
        <v>0</v>
      </c>
    </row>
    <row r="78" spans="1:6" s="1192" customFormat="1" x14ac:dyDescent="0.35">
      <c r="A78" s="1149" t="s">
        <v>1040</v>
      </c>
      <c r="B78" s="1150"/>
      <c r="C78" s="1151"/>
      <c r="D78" s="1152">
        <v>130000</v>
      </c>
      <c r="E78" s="1199"/>
    </row>
    <row r="79" spans="1:6" s="1192" customFormat="1" x14ac:dyDescent="0.35">
      <c r="A79" s="1149" t="s">
        <v>1301</v>
      </c>
      <c r="B79" s="1150">
        <f>14*8</f>
        <v>112</v>
      </c>
      <c r="C79" s="1151">
        <f>+C72</f>
        <v>3636</v>
      </c>
      <c r="D79" s="1152">
        <f>+B79*C79</f>
        <v>407232</v>
      </c>
      <c r="E79" s="1199"/>
    </row>
    <row r="80" spans="1:6" x14ac:dyDescent="0.35">
      <c r="A80" s="1459" t="s">
        <v>389</v>
      </c>
      <c r="B80" s="1459"/>
      <c r="C80" s="1459"/>
      <c r="D80" s="599">
        <f>+D72+D73+D74+D75+D76+D77+D78+D79</f>
        <v>1341712</v>
      </c>
      <c r="F80" s="774"/>
    </row>
    <row r="81" spans="1:5" x14ac:dyDescent="0.35">
      <c r="A81" s="723" t="s">
        <v>19</v>
      </c>
      <c r="B81" s="721"/>
      <c r="C81" s="721"/>
      <c r="D81" s="722"/>
    </row>
    <row r="82" spans="1:5" ht="15.5" x14ac:dyDescent="0.35">
      <c r="A82" s="1471" t="s">
        <v>11</v>
      </c>
      <c r="B82" s="1471"/>
      <c r="C82" s="1471"/>
      <c r="D82" s="603">
        <f>+D80+D81</f>
        <v>1341712</v>
      </c>
    </row>
    <row r="83" spans="1:5" s="90" customFormat="1" x14ac:dyDescent="0.35">
      <c r="A83" s="1035"/>
      <c r="B83" s="1042"/>
      <c r="C83" s="553"/>
      <c r="D83" s="1051"/>
      <c r="E83" s="553"/>
    </row>
    <row r="85" spans="1:5" ht="23.5" x14ac:dyDescent="0.35">
      <c r="A85" s="1431" t="s">
        <v>1302</v>
      </c>
      <c r="B85" s="1431"/>
      <c r="C85" s="1431"/>
      <c r="D85" s="1431"/>
    </row>
    <row r="86" spans="1:5" x14ac:dyDescent="0.35">
      <c r="A86" s="2" t="s">
        <v>7</v>
      </c>
      <c r="B86" s="270" t="s">
        <v>388</v>
      </c>
      <c r="C86" s="217" t="s">
        <v>272</v>
      </c>
      <c r="D86" s="597" t="s">
        <v>9</v>
      </c>
    </row>
    <row r="87" spans="1:5" x14ac:dyDescent="0.35">
      <c r="A87" s="772" t="s">
        <v>3</v>
      </c>
      <c r="B87" s="258">
        <v>158</v>
      </c>
      <c r="C87" s="227">
        <v>3613</v>
      </c>
      <c r="D87" s="598">
        <f>+B87*C87</f>
        <v>570854</v>
      </c>
    </row>
    <row r="88" spans="1:5" x14ac:dyDescent="0.35">
      <c r="A88" s="772" t="s">
        <v>369</v>
      </c>
      <c r="B88" s="258">
        <v>16</v>
      </c>
      <c r="C88" s="227">
        <f>+C87</f>
        <v>3613</v>
      </c>
      <c r="D88" s="598">
        <f>+B88*C88</f>
        <v>57808</v>
      </c>
    </row>
    <row r="89" spans="1:5" x14ac:dyDescent="0.35">
      <c r="A89" s="772" t="s">
        <v>1303</v>
      </c>
      <c r="B89" s="258">
        <f>3*8</f>
        <v>24</v>
      </c>
      <c r="C89" s="227">
        <f>+C87</f>
        <v>3613</v>
      </c>
      <c r="D89" s="598">
        <f>+B89*C89</f>
        <v>86712</v>
      </c>
    </row>
    <row r="90" spans="1:5" x14ac:dyDescent="0.35">
      <c r="A90" s="772" t="s">
        <v>6</v>
      </c>
      <c r="B90" s="258"/>
      <c r="C90" s="227">
        <v>80000</v>
      </c>
      <c r="D90" s="598">
        <f>+C90</f>
        <v>80000</v>
      </c>
    </row>
    <row r="91" spans="1:5" x14ac:dyDescent="0.35">
      <c r="A91" s="772" t="s">
        <v>200</v>
      </c>
      <c r="B91" s="258"/>
      <c r="C91" s="227">
        <v>50000</v>
      </c>
      <c r="D91" s="598">
        <f>+C91</f>
        <v>50000</v>
      </c>
    </row>
    <row r="92" spans="1:5" x14ac:dyDescent="0.35">
      <c r="A92" s="772" t="s">
        <v>1032</v>
      </c>
      <c r="B92" s="258"/>
      <c r="C92" s="227">
        <f>+C87*1.5</f>
        <v>5419.5</v>
      </c>
      <c r="D92" s="811">
        <f>+B92*C92</f>
        <v>0</v>
      </c>
    </row>
    <row r="93" spans="1:5" x14ac:dyDescent="0.35">
      <c r="A93" s="772" t="s">
        <v>757</v>
      </c>
      <c r="B93" s="258"/>
      <c r="C93" s="227">
        <f>+C87*2</f>
        <v>7226</v>
      </c>
      <c r="D93" s="598">
        <f>+B93*C93</f>
        <v>0</v>
      </c>
    </row>
    <row r="94" spans="1:5" s="1192" customFormat="1" x14ac:dyDescent="0.35">
      <c r="A94" s="1149" t="s">
        <v>1033</v>
      </c>
      <c r="B94" s="1150"/>
      <c r="C94" s="1151"/>
      <c r="D94" s="1152">
        <v>300000</v>
      </c>
      <c r="E94" s="1199"/>
    </row>
    <row r="95" spans="1:5" s="1192" customFormat="1" x14ac:dyDescent="0.35">
      <c r="A95" s="1149"/>
      <c r="B95" s="1150"/>
      <c r="C95" s="1151"/>
      <c r="D95" s="1152">
        <f>+C95</f>
        <v>0</v>
      </c>
      <c r="E95" s="1199"/>
    </row>
    <row r="96" spans="1:5" x14ac:dyDescent="0.35">
      <c r="A96" s="1036" t="s">
        <v>389</v>
      </c>
      <c r="B96" s="681"/>
      <c r="C96" s="1037"/>
      <c r="D96" s="1038">
        <f>+D87+D88+D89+D90+D91+D92+D93+D94+D95</f>
        <v>1145374</v>
      </c>
    </row>
    <row r="97" spans="1:6" x14ac:dyDescent="0.35">
      <c r="A97" s="772" t="s">
        <v>50</v>
      </c>
      <c r="B97" s="258"/>
      <c r="C97" s="227"/>
      <c r="D97" s="731"/>
      <c r="F97" s="774"/>
    </row>
    <row r="98" spans="1:6" ht="15.5" x14ac:dyDescent="0.35">
      <c r="A98" s="1471" t="s">
        <v>11</v>
      </c>
      <c r="B98" s="1471"/>
      <c r="C98" s="1471"/>
      <c r="D98" s="603">
        <f>+D96+D97</f>
        <v>1145374</v>
      </c>
    </row>
    <row r="99" spans="1:6" ht="15.5" x14ac:dyDescent="0.35">
      <c r="A99" s="723" t="s">
        <v>631</v>
      </c>
      <c r="B99" s="723"/>
      <c r="C99" s="723"/>
      <c r="D99" s="832">
        <v>-258100</v>
      </c>
    </row>
    <row r="100" spans="1:6" ht="15.5" x14ac:dyDescent="0.35">
      <c r="A100" s="1259" t="s">
        <v>1010</v>
      </c>
      <c r="B100" s="1259"/>
      <c r="C100" s="1259"/>
      <c r="D100" s="603">
        <f>+D98+D99</f>
        <v>887274</v>
      </c>
    </row>
    <row r="101" spans="1:6" s="90" customFormat="1" x14ac:dyDescent="0.35">
      <c r="B101" s="1042"/>
      <c r="C101" s="553"/>
      <c r="D101" s="1051" t="s">
        <v>63</v>
      </c>
      <c r="E101" s="553"/>
    </row>
    <row r="103" spans="1:6" ht="23.5" x14ac:dyDescent="0.35">
      <c r="A103" s="1431" t="s">
        <v>1309</v>
      </c>
      <c r="B103" s="1431"/>
      <c r="C103" s="1431"/>
      <c r="D103" s="1431"/>
    </row>
    <row r="104" spans="1:6" x14ac:dyDescent="0.35">
      <c r="A104" s="2" t="s">
        <v>7</v>
      </c>
      <c r="B104" s="270" t="s">
        <v>8</v>
      </c>
      <c r="C104" s="217" t="s">
        <v>4</v>
      </c>
      <c r="D104" s="597" t="s">
        <v>9</v>
      </c>
    </row>
    <row r="105" spans="1:6" x14ac:dyDescent="0.35">
      <c r="A105" s="772" t="s">
        <v>3</v>
      </c>
      <c r="B105" s="258">
        <v>158</v>
      </c>
      <c r="C105" s="227">
        <v>3636</v>
      </c>
      <c r="D105" s="598">
        <f>+B105*C105</f>
        <v>574488</v>
      </c>
    </row>
    <row r="106" spans="1:6" x14ac:dyDescent="0.35">
      <c r="A106" s="772" t="s">
        <v>379</v>
      </c>
      <c r="B106" s="258">
        <v>16</v>
      </c>
      <c r="C106" s="227">
        <f>+C105</f>
        <v>3636</v>
      </c>
      <c r="D106" s="598">
        <f>+B106*C106</f>
        <v>58176</v>
      </c>
    </row>
    <row r="107" spans="1:6" x14ac:dyDescent="0.35">
      <c r="A107" s="772" t="s">
        <v>200</v>
      </c>
      <c r="B107" s="258"/>
      <c r="C107" s="227">
        <v>50000</v>
      </c>
      <c r="D107" s="598">
        <v>50000</v>
      </c>
    </row>
    <row r="108" spans="1:6" x14ac:dyDescent="0.35">
      <c r="A108" s="772" t="s">
        <v>6</v>
      </c>
      <c r="B108" s="258"/>
      <c r="C108" s="194">
        <v>100000</v>
      </c>
      <c r="D108" s="598">
        <f>+C108</f>
        <v>100000</v>
      </c>
    </row>
    <row r="109" spans="1:6" x14ac:dyDescent="0.35">
      <c r="A109" s="772" t="s">
        <v>1032</v>
      </c>
      <c r="B109" s="258">
        <v>2</v>
      </c>
      <c r="C109" s="194">
        <f>+C105*1.5</f>
        <v>5454</v>
      </c>
      <c r="D109" s="598">
        <f>+B109*C109</f>
        <v>10908</v>
      </c>
    </row>
    <row r="110" spans="1:6" x14ac:dyDescent="0.35">
      <c r="A110" s="772" t="s">
        <v>281</v>
      </c>
      <c r="B110" s="258"/>
      <c r="C110" s="194">
        <f>+C105*2</f>
        <v>7272</v>
      </c>
      <c r="D110" s="598">
        <f>+B110*C110</f>
        <v>0</v>
      </c>
    </row>
    <row r="111" spans="1:6" s="90" customFormat="1" x14ac:dyDescent="0.35">
      <c r="A111" s="141" t="s">
        <v>1033</v>
      </c>
      <c r="B111" s="274"/>
      <c r="C111" s="195"/>
      <c r="D111" s="1017">
        <v>130000</v>
      </c>
      <c r="E111" s="553"/>
    </row>
    <row r="112" spans="1:6" s="90" customFormat="1" x14ac:dyDescent="0.35">
      <c r="A112" s="141" t="s">
        <v>1301</v>
      </c>
      <c r="B112" s="274">
        <f>14*8</f>
        <v>112</v>
      </c>
      <c r="C112" s="195">
        <f>+C105</f>
        <v>3636</v>
      </c>
      <c r="D112" s="1017">
        <f>+B112*C112</f>
        <v>407232</v>
      </c>
      <c r="E112" s="553"/>
    </row>
    <row r="113" spans="1:5" x14ac:dyDescent="0.35">
      <c r="A113" s="1463" t="s">
        <v>389</v>
      </c>
      <c r="B113" s="1464"/>
      <c r="C113" s="1465"/>
      <c r="D113" s="599">
        <f>+D105+D106+D107+D108+D109+D110+D111+D112</f>
        <v>1330804</v>
      </c>
    </row>
    <row r="114" spans="1:5" x14ac:dyDescent="0.35">
      <c r="A114" s="724" t="s">
        <v>374</v>
      </c>
      <c r="B114" s="729"/>
      <c r="C114" s="730"/>
      <c r="D114" s="731"/>
    </row>
    <row r="115" spans="1:5" x14ac:dyDescent="0.35">
      <c r="A115" s="724"/>
      <c r="B115" s="729"/>
      <c r="C115" s="730"/>
      <c r="D115" s="731"/>
    </row>
    <row r="116" spans="1:5" s="997" customFormat="1" ht="15.5" x14ac:dyDescent="0.35">
      <c r="A116" s="992" t="s">
        <v>11</v>
      </c>
      <c r="B116" s="1181"/>
      <c r="C116" s="994"/>
      <c r="D116" s="995">
        <f>+D113+D114+D115</f>
        <v>1330804</v>
      </c>
      <c r="E116" s="1026"/>
    </row>
    <row r="117" spans="1:5" s="90" customFormat="1" x14ac:dyDescent="0.35">
      <c r="B117" s="1042"/>
      <c r="C117" s="553"/>
      <c r="D117" s="1051"/>
      <c r="E117" s="553"/>
    </row>
    <row r="119" spans="1:5" ht="23.5" x14ac:dyDescent="0.35">
      <c r="A119" s="1431" t="s">
        <v>1266</v>
      </c>
      <c r="B119" s="1431"/>
      <c r="C119" s="1431"/>
      <c r="D119" s="1431"/>
    </row>
    <row r="120" spans="1:5" x14ac:dyDescent="0.35">
      <c r="A120" s="2" t="s">
        <v>7</v>
      </c>
      <c r="B120" s="270" t="s">
        <v>388</v>
      </c>
      <c r="C120" s="217" t="s">
        <v>629</v>
      </c>
      <c r="D120" s="597" t="s">
        <v>9</v>
      </c>
    </row>
    <row r="121" spans="1:5" x14ac:dyDescent="0.35">
      <c r="A121" s="772" t="s">
        <v>3</v>
      </c>
      <c r="B121" s="258"/>
      <c r="C121" s="194">
        <v>5331</v>
      </c>
      <c r="D121" s="598">
        <f>+B121*C121</f>
        <v>0</v>
      </c>
    </row>
    <row r="122" spans="1:5" x14ac:dyDescent="0.35">
      <c r="A122" s="772" t="s">
        <v>394</v>
      </c>
      <c r="B122" s="258"/>
      <c r="C122" s="194">
        <f>+C121</f>
        <v>5331</v>
      </c>
      <c r="D122" s="609">
        <f>+B122*C122</f>
        <v>0</v>
      </c>
    </row>
    <row r="123" spans="1:5" x14ac:dyDescent="0.35">
      <c r="A123" s="772" t="s">
        <v>556</v>
      </c>
      <c r="B123" s="258"/>
      <c r="C123" s="194">
        <v>50000</v>
      </c>
      <c r="D123" s="609">
        <f>+C123</f>
        <v>50000</v>
      </c>
    </row>
    <row r="124" spans="1:5" x14ac:dyDescent="0.35">
      <c r="A124" s="772" t="s">
        <v>6</v>
      </c>
      <c r="B124" s="258"/>
      <c r="C124" s="194">
        <v>100000</v>
      </c>
      <c r="D124" s="609">
        <f>+C124</f>
        <v>100000</v>
      </c>
    </row>
    <row r="125" spans="1:5" x14ac:dyDescent="0.35">
      <c r="A125" s="614" t="s">
        <v>628</v>
      </c>
      <c r="B125" s="617"/>
      <c r="C125" s="227">
        <f>+C121*1.5</f>
        <v>7996.5</v>
      </c>
      <c r="D125" s="609">
        <f>+B125*C125</f>
        <v>0</v>
      </c>
    </row>
    <row r="126" spans="1:5" x14ac:dyDescent="0.35">
      <c r="A126" s="614" t="s">
        <v>823</v>
      </c>
      <c r="B126" s="617"/>
      <c r="C126" s="227"/>
      <c r="D126" s="609">
        <v>120000</v>
      </c>
    </row>
    <row r="127" spans="1:5" x14ac:dyDescent="0.35">
      <c r="A127" s="614" t="s">
        <v>1287</v>
      </c>
      <c r="B127" s="617"/>
      <c r="C127" s="227">
        <f>1347000/2</f>
        <v>673500</v>
      </c>
      <c r="D127" s="609">
        <f>+C127</f>
        <v>673500</v>
      </c>
    </row>
    <row r="128" spans="1:5" s="90" customFormat="1" x14ac:dyDescent="0.35">
      <c r="A128" s="1071" t="s">
        <v>389</v>
      </c>
      <c r="B128" s="1074"/>
      <c r="C128" s="1172"/>
      <c r="D128" s="1173">
        <f>+D121+D122+D123+D124+D125+D126+D127</f>
        <v>943500</v>
      </c>
      <c r="E128" s="553"/>
    </row>
    <row r="129" spans="1:5" x14ac:dyDescent="0.35">
      <c r="A129" s="614" t="s">
        <v>1267</v>
      </c>
      <c r="B129" s="617"/>
      <c r="C129" s="227"/>
      <c r="D129" s="609">
        <v>58900</v>
      </c>
    </row>
    <row r="130" spans="1:5" x14ac:dyDescent="0.35">
      <c r="A130" s="614" t="s">
        <v>1268</v>
      </c>
      <c r="B130" s="617"/>
      <c r="C130" s="227"/>
      <c r="D130" s="609">
        <v>37100</v>
      </c>
    </row>
    <row r="131" spans="1:5" ht="15.5" x14ac:dyDescent="0.35">
      <c r="A131" s="1059" t="s">
        <v>11</v>
      </c>
      <c r="B131" s="1060"/>
      <c r="C131" s="1061"/>
      <c r="D131" s="1167">
        <f>+D128+D129+D130</f>
        <v>1039500</v>
      </c>
    </row>
    <row r="134" spans="1:5" ht="23.5" x14ac:dyDescent="0.35">
      <c r="A134" s="1431" t="s">
        <v>1269</v>
      </c>
      <c r="B134" s="1431"/>
      <c r="C134" s="1431"/>
      <c r="D134" s="1431"/>
    </row>
    <row r="135" spans="1:5" x14ac:dyDescent="0.35">
      <c r="A135" s="2" t="s">
        <v>7</v>
      </c>
      <c r="B135" s="270" t="s">
        <v>8</v>
      </c>
      <c r="C135" s="217" t="s">
        <v>4</v>
      </c>
      <c r="D135" s="597" t="s">
        <v>9</v>
      </c>
    </row>
    <row r="136" spans="1:5" x14ac:dyDescent="0.35">
      <c r="A136" s="772" t="s">
        <v>3</v>
      </c>
      <c r="B136" s="258">
        <v>87.5</v>
      </c>
      <c r="C136" s="194">
        <v>5331</v>
      </c>
      <c r="D136" s="598">
        <f>+B136*C136</f>
        <v>466462.5</v>
      </c>
    </row>
    <row r="137" spans="1:5" x14ac:dyDescent="0.35">
      <c r="A137" s="772" t="s">
        <v>394</v>
      </c>
      <c r="B137" s="258">
        <v>7.5</v>
      </c>
      <c r="C137" s="194">
        <f>+C136</f>
        <v>5331</v>
      </c>
      <c r="D137" s="609">
        <f>+B137*C137</f>
        <v>39982.5</v>
      </c>
    </row>
    <row r="138" spans="1:5" x14ac:dyDescent="0.35">
      <c r="A138" s="772" t="s">
        <v>338</v>
      </c>
      <c r="B138" s="258">
        <v>52.5</v>
      </c>
      <c r="C138" s="194">
        <f>+C137</f>
        <v>5331</v>
      </c>
      <c r="D138" s="609">
        <f>+B138*C138</f>
        <v>279877.5</v>
      </c>
    </row>
    <row r="139" spans="1:5" x14ac:dyDescent="0.35">
      <c r="A139" s="772" t="s">
        <v>6</v>
      </c>
      <c r="B139" s="258"/>
      <c r="C139" s="194">
        <v>100000</v>
      </c>
      <c r="D139" s="609">
        <f>+C139</f>
        <v>100000</v>
      </c>
    </row>
    <row r="140" spans="1:5" x14ac:dyDescent="0.35">
      <c r="A140" s="614" t="s">
        <v>556</v>
      </c>
      <c r="B140" s="617"/>
      <c r="C140" s="227">
        <v>50000</v>
      </c>
      <c r="D140" s="609">
        <v>50000</v>
      </c>
    </row>
    <row r="141" spans="1:5" x14ac:dyDescent="0.35">
      <c r="A141" s="614" t="s">
        <v>1035</v>
      </c>
      <c r="B141" s="617">
        <v>5.5</v>
      </c>
      <c r="C141" s="227">
        <f>+C136*1.5</f>
        <v>7996.5</v>
      </c>
      <c r="D141" s="609">
        <f>+B141*C141</f>
        <v>43980.75</v>
      </c>
    </row>
    <row r="142" spans="1:5" s="1192" customFormat="1" x14ac:dyDescent="0.35">
      <c r="A142" s="1149" t="s">
        <v>823</v>
      </c>
      <c r="B142" s="1150"/>
      <c r="C142" s="1151">
        <v>120000</v>
      </c>
      <c r="D142" s="1210">
        <f>+C142</f>
        <v>120000</v>
      </c>
      <c r="E142" s="1199"/>
    </row>
    <row r="143" spans="1:5" x14ac:dyDescent="0.35">
      <c r="A143" s="1149" t="s">
        <v>1287</v>
      </c>
      <c r="B143" s="617"/>
      <c r="C143" s="227">
        <f>1179000/2</f>
        <v>589500</v>
      </c>
      <c r="D143" s="609">
        <f>+C143</f>
        <v>589500</v>
      </c>
    </row>
    <row r="144" spans="1:5" x14ac:dyDescent="0.35">
      <c r="A144" s="882" t="s">
        <v>389</v>
      </c>
      <c r="B144" s="883"/>
      <c r="C144" s="884"/>
      <c r="D144" s="1058">
        <f>+D136+D137+D138+D139+D140+D141+D142+D143</f>
        <v>1689803.25</v>
      </c>
    </row>
    <row r="145" spans="1:19" x14ac:dyDescent="0.35">
      <c r="A145" s="724" t="s">
        <v>1270</v>
      </c>
      <c r="B145" s="729"/>
      <c r="C145" s="729"/>
      <c r="D145" s="731"/>
    </row>
    <row r="146" spans="1:19" x14ac:dyDescent="0.35">
      <c r="A146" s="1071" t="s">
        <v>11</v>
      </c>
      <c r="B146" s="1074"/>
      <c r="C146" s="1074"/>
      <c r="D146" s="1075">
        <f>+D144+D145</f>
        <v>1689803.25</v>
      </c>
    </row>
    <row r="150" spans="1:19" s="1042" customFormat="1" ht="23.5" x14ac:dyDescent="0.35">
      <c r="A150" s="1442" t="s">
        <v>1305</v>
      </c>
      <c r="B150" s="1443"/>
      <c r="C150" s="1443"/>
      <c r="D150" s="1444"/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2" t="s">
        <v>7</v>
      </c>
      <c r="B151" s="270" t="s">
        <v>388</v>
      </c>
      <c r="C151" s="217" t="s">
        <v>1037</v>
      </c>
      <c r="D151" s="597" t="s">
        <v>9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772" t="s">
        <v>3</v>
      </c>
      <c r="B152" s="258">
        <v>158</v>
      </c>
      <c r="C152" s="194">
        <v>3927</v>
      </c>
      <c r="D152" s="598">
        <f>+B152*C152</f>
        <v>620466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72" t="s">
        <v>369</v>
      </c>
      <c r="B153" s="258">
        <v>16</v>
      </c>
      <c r="C153" s="194">
        <f>+C152</f>
        <v>3927</v>
      </c>
      <c r="D153" s="609">
        <f>+B153*C153</f>
        <v>62832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772" t="s">
        <v>200</v>
      </c>
      <c r="B154" s="258"/>
      <c r="C154" s="194">
        <v>50000</v>
      </c>
      <c r="D154" s="609">
        <f>+C154</f>
        <v>50000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614" t="s">
        <v>6</v>
      </c>
      <c r="B155" s="617"/>
      <c r="C155" s="227">
        <v>100000</v>
      </c>
      <c r="D155" s="609">
        <f>+C155</f>
        <v>100000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614" t="s">
        <v>1035</v>
      </c>
      <c r="B156" s="617"/>
      <c r="C156" s="227">
        <f>+C152*1.5</f>
        <v>5890.5</v>
      </c>
      <c r="D156" s="609">
        <f>+B156*C156</f>
        <v>0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614" t="s">
        <v>1036</v>
      </c>
      <c r="B157" s="617"/>
      <c r="C157" s="227">
        <f>+C152*2</f>
        <v>7854</v>
      </c>
      <c r="D157" s="609">
        <f>+C157*0</f>
        <v>0</v>
      </c>
      <c r="E157" s="553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190" customFormat="1" x14ac:dyDescent="0.35">
      <c r="A158" s="1149" t="s">
        <v>823</v>
      </c>
      <c r="B158" s="1150"/>
      <c r="C158" s="1151"/>
      <c r="D158" s="1210">
        <v>80000</v>
      </c>
      <c r="E158" s="1199"/>
      <c r="F158" s="1192"/>
      <c r="G158" s="1192"/>
      <c r="H158" s="1192"/>
      <c r="I158" s="1192"/>
      <c r="J158" s="1192"/>
      <c r="K158" s="1192"/>
      <c r="L158" s="1192"/>
      <c r="M158" s="1192"/>
      <c r="N158" s="1192"/>
      <c r="O158" s="1192"/>
      <c r="P158" s="1192"/>
      <c r="Q158" s="1192"/>
      <c r="R158" s="1192"/>
      <c r="S158" s="1192"/>
    </row>
    <row r="159" spans="1:19" s="1190" customFormat="1" x14ac:dyDescent="0.35">
      <c r="A159" s="1223" t="s">
        <v>1300</v>
      </c>
      <c r="B159" s="1150">
        <f>3*8</f>
        <v>24</v>
      </c>
      <c r="C159" s="1151">
        <f>+C152</f>
        <v>3927</v>
      </c>
      <c r="D159" s="1210">
        <f>+B159*C159</f>
        <v>94248</v>
      </c>
      <c r="E159" s="1199"/>
      <c r="F159" s="1192"/>
      <c r="G159" s="1192"/>
      <c r="H159" s="1192"/>
      <c r="I159" s="1192"/>
      <c r="J159" s="1192"/>
      <c r="K159" s="1192"/>
      <c r="L159" s="1192"/>
      <c r="M159" s="1192"/>
      <c r="N159" s="1192"/>
      <c r="O159" s="1192"/>
      <c r="P159" s="1192"/>
      <c r="Q159" s="1192"/>
      <c r="R159" s="1192"/>
      <c r="S159" s="1192"/>
    </row>
    <row r="160" spans="1:19" s="1042" customFormat="1" x14ac:dyDescent="0.35">
      <c r="A160" s="882" t="s">
        <v>389</v>
      </c>
      <c r="B160" s="883"/>
      <c r="C160" s="884"/>
      <c r="D160" s="1058">
        <f>+D152+D153+D154+D155+D156+D157+D158+D159</f>
        <v>1007546</v>
      </c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1211"/>
      <c r="B161" s="1212"/>
      <c r="C161" s="1213"/>
      <c r="D161" s="1214"/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724"/>
      <c r="B162" s="729"/>
      <c r="C162" s="729"/>
      <c r="D162" s="731"/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3" spans="1:19" s="1042" customFormat="1" x14ac:dyDescent="0.35">
      <c r="A163" s="1071" t="s">
        <v>11</v>
      </c>
      <c r="B163" s="1074"/>
      <c r="C163" s="1074"/>
      <c r="D163" s="1075">
        <f>+D160+D161+D162</f>
        <v>1007546</v>
      </c>
      <c r="E163" s="553"/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</row>
    <row r="167" spans="1:19" ht="23.5" x14ac:dyDescent="0.35">
      <c r="A167" s="1442" t="s">
        <v>1310</v>
      </c>
      <c r="B167" s="1443"/>
      <c r="C167" s="1443"/>
      <c r="D167" s="1444"/>
    </row>
    <row r="168" spans="1:19" x14ac:dyDescent="0.35">
      <c r="A168" s="2" t="s">
        <v>7</v>
      </c>
      <c r="B168" s="270" t="s">
        <v>425</v>
      </c>
      <c r="C168" s="217" t="s">
        <v>272</v>
      </c>
      <c r="D168" s="597" t="s">
        <v>9</v>
      </c>
    </row>
    <row r="169" spans="1:19" x14ac:dyDescent="0.35">
      <c r="A169" s="772" t="s">
        <v>3</v>
      </c>
      <c r="B169" s="258">
        <v>158</v>
      </c>
      <c r="C169" s="194">
        <v>3179</v>
      </c>
      <c r="D169" s="598">
        <f>+B169*C169</f>
        <v>502282</v>
      </c>
    </row>
    <row r="170" spans="1:19" x14ac:dyDescent="0.35">
      <c r="A170" s="772" t="s">
        <v>369</v>
      </c>
      <c r="B170" s="258">
        <v>16</v>
      </c>
      <c r="C170" s="194">
        <f>+C169</f>
        <v>3179</v>
      </c>
      <c r="D170" s="609">
        <f>+B170*C170</f>
        <v>50864</v>
      </c>
    </row>
    <row r="171" spans="1:19" x14ac:dyDescent="0.35">
      <c r="A171" s="772" t="s">
        <v>200</v>
      </c>
      <c r="B171" s="258"/>
      <c r="C171" s="194">
        <v>50000</v>
      </c>
      <c r="D171" s="609">
        <f>+C171</f>
        <v>50000</v>
      </c>
    </row>
    <row r="172" spans="1:19" x14ac:dyDescent="0.35">
      <c r="A172" s="614" t="s">
        <v>6</v>
      </c>
      <c r="B172" s="617"/>
      <c r="C172" s="227">
        <v>40000</v>
      </c>
      <c r="D172" s="609">
        <f>+C172</f>
        <v>40000</v>
      </c>
    </row>
    <row r="173" spans="1:19" x14ac:dyDescent="0.35">
      <c r="A173" s="614" t="s">
        <v>1035</v>
      </c>
      <c r="B173" s="617">
        <v>4</v>
      </c>
      <c r="C173" s="227">
        <f>+C169*1.5</f>
        <v>4768.5</v>
      </c>
      <c r="D173" s="609">
        <f>+B173*C173</f>
        <v>19074</v>
      </c>
    </row>
    <row r="174" spans="1:19" x14ac:dyDescent="0.35">
      <c r="A174" s="614" t="s">
        <v>1036</v>
      </c>
      <c r="B174" s="617"/>
      <c r="C174" s="227">
        <f>+C169*2</f>
        <v>6358</v>
      </c>
      <c r="D174" s="609">
        <f>+B174*C174</f>
        <v>0</v>
      </c>
    </row>
    <row r="175" spans="1:19" s="1192" customFormat="1" x14ac:dyDescent="0.35">
      <c r="A175" s="1149" t="s">
        <v>823</v>
      </c>
      <c r="B175" s="1150"/>
      <c r="C175" s="1151"/>
      <c r="D175" s="1210">
        <v>100000</v>
      </c>
      <c r="E175" s="1199"/>
    </row>
    <row r="176" spans="1:19" s="1192" customFormat="1" x14ac:dyDescent="0.35">
      <c r="A176" s="1223" t="s">
        <v>1301</v>
      </c>
      <c r="B176" s="1150">
        <f>14*8</f>
        <v>112</v>
      </c>
      <c r="C176" s="1151">
        <f>856000/2</f>
        <v>428000</v>
      </c>
      <c r="D176" s="1210">
        <f>+C176</f>
        <v>428000</v>
      </c>
      <c r="E176" s="1199"/>
    </row>
    <row r="177" spans="1:5" x14ac:dyDescent="0.35">
      <c r="A177" s="882" t="s">
        <v>389</v>
      </c>
      <c r="B177" s="883"/>
      <c r="C177" s="884"/>
      <c r="D177" s="1058">
        <f>+D169+D170+D171+D172+D173+D174+D175+D176</f>
        <v>1190220</v>
      </c>
    </row>
    <row r="178" spans="1:5" s="1070" customFormat="1" x14ac:dyDescent="0.35">
      <c r="A178" s="739" t="s">
        <v>1306</v>
      </c>
      <c r="B178" s="1215"/>
      <c r="C178" s="1216"/>
      <c r="D178" s="736">
        <v>-200000</v>
      </c>
      <c r="E178" s="1234"/>
    </row>
    <row r="179" spans="1:5" x14ac:dyDescent="0.35">
      <c r="A179" s="1245"/>
      <c r="B179" s="729"/>
      <c r="C179" s="729"/>
      <c r="D179" s="731"/>
    </row>
    <row r="180" spans="1:5" x14ac:dyDescent="0.35">
      <c r="A180" s="1071" t="s">
        <v>11</v>
      </c>
      <c r="B180" s="1074"/>
      <c r="C180" s="1074"/>
      <c r="D180" s="1075">
        <f>+D177+D178+D179</f>
        <v>990220</v>
      </c>
    </row>
  </sheetData>
  <mergeCells count="20">
    <mergeCell ref="A82:C82"/>
    <mergeCell ref="A3:D3"/>
    <mergeCell ref="A14:C14"/>
    <mergeCell ref="A17:C17"/>
    <mergeCell ref="A20:D20"/>
    <mergeCell ref="A32:C32"/>
    <mergeCell ref="A37:D37"/>
    <mergeCell ref="A47:C47"/>
    <mergeCell ref="A55:D55"/>
    <mergeCell ref="A65:C65"/>
    <mergeCell ref="A70:D70"/>
    <mergeCell ref="A80:C80"/>
    <mergeCell ref="A150:D150"/>
    <mergeCell ref="A167:D167"/>
    <mergeCell ref="A85:D85"/>
    <mergeCell ref="A98:C98"/>
    <mergeCell ref="A103:D103"/>
    <mergeCell ref="A113:C113"/>
    <mergeCell ref="A119:D119"/>
    <mergeCell ref="A134:D134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89EE-15DF-435F-AC7C-D72B454F5D7A}">
  <sheetPr>
    <pageSetUpPr fitToPage="1"/>
  </sheetPr>
  <dimension ref="A1:S179"/>
  <sheetViews>
    <sheetView topLeftCell="A127" zoomScaleNormal="100" workbookViewId="0">
      <selection activeCell="D8" sqref="D8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45992</v>
      </c>
    </row>
    <row r="3" spans="1:18" ht="25.5" customHeight="1" x14ac:dyDescent="0.35">
      <c r="A3" s="1466" t="s">
        <v>1329</v>
      </c>
      <c r="B3" s="1431"/>
      <c r="C3" s="1431"/>
      <c r="D3" s="1431"/>
    </row>
    <row r="4" spans="1:18" s="1263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/>
      <c r="C5" s="227">
        <v>4753</v>
      </c>
      <c r="D5" s="598">
        <f>+B5*C5</f>
        <v>0</v>
      </c>
      <c r="Q5" s="1263"/>
    </row>
    <row r="6" spans="1:18" ht="18" customHeight="1" x14ac:dyDescent="0.35">
      <c r="A6" s="772" t="s">
        <v>1273</v>
      </c>
      <c r="B6" s="258"/>
      <c r="C6" s="227">
        <f>+C5</f>
        <v>4753</v>
      </c>
      <c r="D6" s="598">
        <f>+B6*C6</f>
        <v>0</v>
      </c>
      <c r="F6" s="176"/>
      <c r="Q6" s="774"/>
    </row>
    <row r="7" spans="1:18" ht="18" customHeight="1" x14ac:dyDescent="0.35">
      <c r="A7" s="772" t="s">
        <v>196</v>
      </c>
      <c r="B7" s="258"/>
      <c r="C7" s="227">
        <v>50000</v>
      </c>
      <c r="D7" s="598"/>
      <c r="F7" s="176"/>
    </row>
    <row r="8" spans="1:18" ht="18" customHeight="1" x14ac:dyDescent="0.35">
      <c r="A8" s="772" t="s">
        <v>6</v>
      </c>
      <c r="B8" s="258"/>
      <c r="C8" s="227">
        <v>100000</v>
      </c>
      <c r="D8" s="598"/>
      <c r="F8" s="176"/>
    </row>
    <row r="9" spans="1:18" ht="18" customHeight="1" x14ac:dyDescent="0.35">
      <c r="A9" s="772" t="s">
        <v>467</v>
      </c>
      <c r="B9" s="258"/>
      <c r="C9" s="194">
        <f>+C5*1.5</f>
        <v>7129.5</v>
      </c>
      <c r="D9" s="598">
        <f>+B9*C9</f>
        <v>0</v>
      </c>
      <c r="F9" s="176"/>
    </row>
    <row r="10" spans="1:18" ht="18" customHeight="1" x14ac:dyDescent="0.35">
      <c r="A10" s="772" t="s">
        <v>281</v>
      </c>
      <c r="B10" s="258"/>
      <c r="C10" s="194">
        <f>+C5*2</f>
        <v>9506</v>
      </c>
      <c r="D10" s="598">
        <f>+B10*C10</f>
        <v>0</v>
      </c>
      <c r="F10" s="176"/>
    </row>
    <row r="11" spans="1:18" s="1192" customFormat="1" ht="18" customHeight="1" x14ac:dyDescent="0.35">
      <c r="A11" s="1149" t="s">
        <v>823</v>
      </c>
      <c r="B11" s="1150"/>
      <c r="C11" s="1151"/>
      <c r="D11" s="1152"/>
      <c r="E11" s="1199"/>
      <c r="F11" s="1191"/>
      <c r="R11" s="1193"/>
    </row>
    <row r="12" spans="1:18" s="1192" customFormat="1" ht="18" customHeight="1" x14ac:dyDescent="0.35">
      <c r="A12" s="1149" t="s">
        <v>2</v>
      </c>
      <c r="B12" s="1150">
        <f>14*8</f>
        <v>112</v>
      </c>
      <c r="C12" s="1151">
        <f>+C5</f>
        <v>4753</v>
      </c>
      <c r="D12" s="1152">
        <f>+B12*C12</f>
        <v>532336</v>
      </c>
      <c r="E12" s="1199"/>
      <c r="F12" s="1191"/>
      <c r="R12" s="1193"/>
    </row>
    <row r="13" spans="1:18" ht="18" customHeight="1" x14ac:dyDescent="0.35">
      <c r="A13" s="1470" t="s">
        <v>389</v>
      </c>
      <c r="B13" s="1470"/>
      <c r="C13" s="1470"/>
      <c r="D13" s="599"/>
      <c r="F13" s="248"/>
      <c r="G13" s="248"/>
      <c r="H13" s="248"/>
      <c r="I13" s="248"/>
      <c r="J13" s="248"/>
      <c r="K13" s="248"/>
      <c r="L13" s="248"/>
      <c r="M13" s="248"/>
      <c r="O13" s="1263"/>
    </row>
    <row r="14" spans="1:18" ht="18" customHeight="1" x14ac:dyDescent="0.35">
      <c r="A14" s="800" t="s">
        <v>1257</v>
      </c>
      <c r="B14" s="720"/>
      <c r="C14" s="720"/>
      <c r="D14" s="722"/>
      <c r="F14" s="248"/>
      <c r="G14" s="248"/>
      <c r="H14" s="248"/>
      <c r="I14" s="248"/>
      <c r="J14" s="248"/>
      <c r="K14" s="248"/>
      <c r="L14" s="248"/>
      <c r="M14" s="248"/>
      <c r="O14" s="1263"/>
    </row>
    <row r="15" spans="1:18" ht="18" customHeight="1" x14ac:dyDescent="0.35">
      <c r="A15" s="1141" t="s">
        <v>1258</v>
      </c>
      <c r="B15" s="721"/>
      <c r="C15" s="905"/>
      <c r="D15" s="722"/>
      <c r="F15" s="248"/>
      <c r="G15" s="248"/>
      <c r="H15" s="248"/>
      <c r="I15" s="248"/>
      <c r="J15" s="248"/>
      <c r="K15" s="248"/>
      <c r="L15" s="248"/>
      <c r="M15" s="248"/>
      <c r="O15" s="1263"/>
    </row>
    <row r="16" spans="1:18" ht="18" customHeight="1" x14ac:dyDescent="0.35">
      <c r="A16" s="1433" t="s">
        <v>11</v>
      </c>
      <c r="B16" s="1433"/>
      <c r="C16" s="1433"/>
      <c r="D16" s="603"/>
      <c r="F16" s="321"/>
      <c r="G16" s="321"/>
      <c r="H16" s="473"/>
      <c r="I16" s="321"/>
      <c r="J16" s="321"/>
      <c r="Q16" s="1263"/>
    </row>
    <row r="17" spans="1:19" ht="18" customHeight="1" x14ac:dyDescent="0.35">
      <c r="A17" s="1053"/>
      <c r="B17" s="1054"/>
      <c r="C17" s="1054"/>
      <c r="D17" s="1055"/>
      <c r="F17" s="321"/>
      <c r="G17" s="321"/>
      <c r="H17" s="473"/>
      <c r="I17" s="321"/>
      <c r="J17" s="321"/>
      <c r="Q17" s="1263"/>
    </row>
    <row r="18" spans="1:19" s="908" customFormat="1" ht="18" customHeight="1" x14ac:dyDescent="0.35">
      <c r="A18" s="689"/>
      <c r="B18" s="689"/>
      <c r="C18" s="689"/>
      <c r="D18" s="688"/>
      <c r="E18" s="768"/>
      <c r="I18" s="910"/>
      <c r="J18" s="911"/>
      <c r="K18" s="912"/>
      <c r="L18" s="912"/>
      <c r="M18" s="910"/>
      <c r="N18" s="910"/>
      <c r="O18" s="910"/>
      <c r="P18" s="764"/>
      <c r="S18" s="764"/>
    </row>
    <row r="19" spans="1:19" ht="18" customHeight="1" x14ac:dyDescent="0.45">
      <c r="A19" s="1450" t="s">
        <v>1304</v>
      </c>
      <c r="B19" s="1451"/>
      <c r="C19" s="1451"/>
      <c r="D19" s="1452"/>
      <c r="E19" s="796"/>
      <c r="J19" s="185"/>
      <c r="K19" s="181"/>
      <c r="L19" s="181"/>
      <c r="M19" s="181"/>
      <c r="N19" s="181"/>
    </row>
    <row r="20" spans="1:19" ht="18" customHeight="1" x14ac:dyDescent="0.35">
      <c r="A20" s="604" t="s">
        <v>7</v>
      </c>
      <c r="B20" s="605" t="s">
        <v>8</v>
      </c>
      <c r="C20" s="606" t="s">
        <v>4</v>
      </c>
      <c r="D20" s="606" t="s">
        <v>9</v>
      </c>
      <c r="J20" s="185"/>
      <c r="K20" s="181"/>
      <c r="L20" s="181"/>
      <c r="M20" s="184"/>
    </row>
    <row r="21" spans="1:19" ht="18" customHeight="1" x14ac:dyDescent="0.35">
      <c r="A21" s="607" t="s">
        <v>3</v>
      </c>
      <c r="B21" s="267"/>
      <c r="C21" s="211">
        <v>4547</v>
      </c>
      <c r="D21" s="211">
        <f>+B21*C21</f>
        <v>0</v>
      </c>
      <c r="J21" s="182"/>
    </row>
    <row r="22" spans="1:19" ht="18" customHeight="1" x14ac:dyDescent="0.35">
      <c r="A22" s="607" t="s">
        <v>1277</v>
      </c>
      <c r="B22" s="267"/>
      <c r="C22" s="211">
        <f>+C21</f>
        <v>4547</v>
      </c>
      <c r="D22" s="211">
        <f>+B22*C22</f>
        <v>0</v>
      </c>
      <c r="J22" s="182"/>
    </row>
    <row r="23" spans="1:19" ht="18" customHeight="1" x14ac:dyDescent="0.35">
      <c r="A23" s="607" t="s">
        <v>1278</v>
      </c>
      <c r="B23" s="267"/>
      <c r="C23" s="211">
        <f>+C21</f>
        <v>4547</v>
      </c>
      <c r="D23" s="211">
        <f>+B23*C23</f>
        <v>0</v>
      </c>
      <c r="J23" s="182"/>
    </row>
    <row r="24" spans="1:19" ht="18" customHeight="1" x14ac:dyDescent="0.35">
      <c r="A24" s="607" t="s">
        <v>1236</v>
      </c>
      <c r="B24" s="267"/>
      <c r="C24" s="211">
        <f>+C21</f>
        <v>4547</v>
      </c>
      <c r="D24" s="211">
        <f>+B24*C24</f>
        <v>0</v>
      </c>
      <c r="J24" s="182"/>
    </row>
    <row r="25" spans="1:19" ht="18" customHeight="1" x14ac:dyDescent="0.35">
      <c r="A25" s="772" t="s">
        <v>196</v>
      </c>
      <c r="B25" s="267"/>
      <c r="C25" s="211">
        <v>50000</v>
      </c>
      <c r="D25" s="211">
        <f>+C25</f>
        <v>50000</v>
      </c>
      <c r="I25" s="1263"/>
    </row>
    <row r="26" spans="1:19" ht="18" customHeight="1" x14ac:dyDescent="0.35">
      <c r="A26" s="772" t="s">
        <v>6</v>
      </c>
      <c r="B26" s="267"/>
      <c r="C26" s="211">
        <v>100000</v>
      </c>
      <c r="D26" s="211">
        <f>+C26</f>
        <v>100000</v>
      </c>
      <c r="I26" s="1263"/>
    </row>
    <row r="27" spans="1:19" ht="18" customHeight="1" x14ac:dyDescent="0.35">
      <c r="A27" s="772" t="s">
        <v>1028</v>
      </c>
      <c r="B27" s="267"/>
      <c r="C27" s="211">
        <f>+C21*1.5</f>
        <v>6820.5</v>
      </c>
      <c r="D27" s="211">
        <f>B27*C27</f>
        <v>0</v>
      </c>
      <c r="E27" s="1025"/>
      <c r="F27" s="181"/>
      <c r="G27" s="187"/>
      <c r="H27" s="188"/>
      <c r="I27" s="1263"/>
      <c r="L27" s="1263"/>
    </row>
    <row r="28" spans="1:19" ht="18" customHeight="1" x14ac:dyDescent="0.35">
      <c r="A28" s="772" t="s">
        <v>281</v>
      </c>
      <c r="B28" s="267"/>
      <c r="C28" s="211">
        <f>+C21*2</f>
        <v>9094</v>
      </c>
      <c r="D28" s="211">
        <f>+B28*C28</f>
        <v>0</v>
      </c>
      <c r="E28" s="1025"/>
      <c r="F28" s="181"/>
      <c r="G28" s="187"/>
      <c r="H28" s="188"/>
      <c r="I28" s="1263"/>
      <c r="L28" s="1263"/>
    </row>
    <row r="29" spans="1:19" s="1192" customFormat="1" ht="18" customHeight="1" x14ac:dyDescent="0.35">
      <c r="A29" s="1149" t="s">
        <v>1040</v>
      </c>
      <c r="B29" s="1196"/>
      <c r="C29" s="1197"/>
      <c r="D29" s="1197">
        <v>250000</v>
      </c>
      <c r="E29" s="1233"/>
      <c r="F29" s="1198"/>
      <c r="G29" s="1195"/>
      <c r="H29" s="1195"/>
      <c r="I29" s="1193"/>
      <c r="L29" s="1193"/>
    </row>
    <row r="30" spans="1:19" s="1192" customFormat="1" ht="18" customHeight="1" x14ac:dyDescent="0.35">
      <c r="A30" s="1149"/>
      <c r="B30" s="1196"/>
      <c r="C30" s="1197"/>
      <c r="D30" s="1197"/>
      <c r="E30" s="1233"/>
      <c r="F30" s="1198"/>
      <c r="G30" s="1195"/>
      <c r="H30" s="1195"/>
      <c r="I30" s="1193"/>
      <c r="L30" s="1193"/>
    </row>
    <row r="31" spans="1:19" s="1263" customFormat="1" ht="18" customHeight="1" x14ac:dyDescent="0.35">
      <c r="A31" s="1463" t="s">
        <v>389</v>
      </c>
      <c r="B31" s="1464"/>
      <c r="C31" s="1465"/>
      <c r="D31" s="599">
        <f>+D21+D22+D23+D24+D25+D26+D27+D28+D29+D30</f>
        <v>400000</v>
      </c>
      <c r="E31" s="553"/>
      <c r="F31" s="181"/>
      <c r="G31" s="181"/>
      <c r="H31" s="184"/>
      <c r="I31" s="771"/>
      <c r="K31" s="771"/>
      <c r="L31" s="771"/>
    </row>
    <row r="32" spans="1:19" s="1263" customFormat="1" ht="18" customHeight="1" x14ac:dyDescent="0.35">
      <c r="A32" s="825" t="s">
        <v>1260</v>
      </c>
      <c r="B32" s="824"/>
      <c r="C32" s="823"/>
      <c r="D32" s="930">
        <v>-1000000</v>
      </c>
      <c r="E32" s="553"/>
      <c r="F32" s="181"/>
      <c r="G32" s="181"/>
      <c r="H32" s="184"/>
      <c r="I32" s="771"/>
      <c r="K32" s="771"/>
      <c r="L32" s="771"/>
    </row>
    <row r="33" spans="1:19" ht="18" customHeight="1" x14ac:dyDescent="0.35">
      <c r="A33" s="786" t="s">
        <v>11</v>
      </c>
      <c r="B33" s="783"/>
      <c r="C33" s="783"/>
      <c r="D33" s="784">
        <f>+D31+D32</f>
        <v>-600000</v>
      </c>
      <c r="F33" s="181"/>
      <c r="G33" s="181"/>
      <c r="H33" s="184"/>
    </row>
    <row r="34" spans="1:19" ht="18" customHeight="1" x14ac:dyDescent="0.35">
      <c r="A34" s="1047"/>
      <c r="B34" s="594"/>
      <c r="C34" s="594"/>
      <c r="D34" s="595"/>
      <c r="F34" s="181"/>
      <c r="G34" s="181"/>
      <c r="H34" s="184"/>
    </row>
    <row r="35" spans="1:19" ht="18" customHeight="1" x14ac:dyDescent="0.35">
      <c r="A35" s="594"/>
      <c r="B35" s="594"/>
      <c r="C35" s="594"/>
      <c r="D35" s="595"/>
      <c r="F35" s="181"/>
      <c r="G35" s="181"/>
      <c r="H35" s="184"/>
    </row>
    <row r="36" spans="1:19" ht="18" customHeight="1" x14ac:dyDescent="0.35">
      <c r="A36" s="1431" t="s">
        <v>1307</v>
      </c>
      <c r="B36" s="1431"/>
      <c r="C36" s="1431"/>
      <c r="D36" s="1431"/>
      <c r="F36" s="181"/>
      <c r="G36" s="181"/>
      <c r="H36" s="184"/>
    </row>
    <row r="37" spans="1:19" ht="18" customHeight="1" x14ac:dyDescent="0.35">
      <c r="A37" s="2"/>
      <c r="B37" s="270" t="s">
        <v>8</v>
      </c>
      <c r="C37" s="217" t="s">
        <v>4</v>
      </c>
      <c r="D37" s="597" t="s">
        <v>9</v>
      </c>
      <c r="F37" s="181"/>
      <c r="G37" s="181"/>
      <c r="H37" s="184"/>
    </row>
    <row r="38" spans="1:19" ht="18" customHeight="1" x14ac:dyDescent="0.35">
      <c r="A38" s="772" t="s">
        <v>253</v>
      </c>
      <c r="B38" s="258"/>
      <c r="C38" s="194">
        <v>5967</v>
      </c>
      <c r="D38" s="598">
        <f>+B38*C38</f>
        <v>0</v>
      </c>
      <c r="F38" s="181"/>
      <c r="G38" s="181"/>
      <c r="H38" s="184"/>
    </row>
    <row r="39" spans="1:19" ht="18" customHeight="1" x14ac:dyDescent="0.35">
      <c r="A39" s="772" t="s">
        <v>394</v>
      </c>
      <c r="B39" s="258"/>
      <c r="C39" s="194">
        <f>+C38</f>
        <v>5967</v>
      </c>
      <c r="D39" s="598">
        <f>+B39*C39</f>
        <v>0</v>
      </c>
      <c r="F39" s="181"/>
      <c r="G39" s="181"/>
      <c r="H39" s="184"/>
    </row>
    <row r="40" spans="1:19" ht="15" customHeight="1" x14ac:dyDescent="0.35">
      <c r="A40" s="772" t="s">
        <v>196</v>
      </c>
      <c r="B40" s="258"/>
      <c r="C40" s="194">
        <v>50000</v>
      </c>
      <c r="D40" s="598">
        <f>+C40</f>
        <v>50000</v>
      </c>
      <c r="F40" s="181"/>
      <c r="G40" s="181"/>
      <c r="H40" s="184"/>
      <c r="I40" s="1263"/>
    </row>
    <row r="41" spans="1:19" ht="15" customHeight="1" x14ac:dyDescent="0.35">
      <c r="A41" s="772" t="s">
        <v>6</v>
      </c>
      <c r="B41" s="258"/>
      <c r="C41" s="194">
        <v>100000</v>
      </c>
      <c r="D41" s="598">
        <f>+C41</f>
        <v>100000</v>
      </c>
      <c r="F41" s="181"/>
      <c r="G41" s="181"/>
      <c r="H41" s="184"/>
      <c r="I41" s="1263"/>
    </row>
    <row r="42" spans="1:19" ht="15" customHeight="1" x14ac:dyDescent="0.35">
      <c r="A42" s="772" t="s">
        <v>1029</v>
      </c>
      <c r="B42" s="315"/>
      <c r="C42" s="194">
        <f>+C38*1.5</f>
        <v>8950.5</v>
      </c>
      <c r="D42" s="598">
        <f>+B42*C42</f>
        <v>0</v>
      </c>
      <c r="F42" s="181"/>
      <c r="G42" s="181"/>
      <c r="H42" s="184"/>
      <c r="I42" s="1263"/>
    </row>
    <row r="43" spans="1:19" ht="15" customHeight="1" x14ac:dyDescent="0.35">
      <c r="A43" s="772" t="s">
        <v>449</v>
      </c>
      <c r="B43" s="315"/>
      <c r="C43" s="194">
        <f>+C38*2</f>
        <v>11934</v>
      </c>
      <c r="D43" s="598">
        <f>+B43*C43</f>
        <v>0</v>
      </c>
      <c r="F43" s="181"/>
      <c r="G43" s="416"/>
      <c r="H43" s="184"/>
      <c r="I43" s="1263"/>
    </row>
    <row r="44" spans="1:19" s="1192" customFormat="1" ht="15" customHeight="1" x14ac:dyDescent="0.35">
      <c r="A44" s="1149" t="s">
        <v>1040</v>
      </c>
      <c r="B44" s="1232"/>
      <c r="C44" s="1151"/>
      <c r="D44" s="1152">
        <v>250000</v>
      </c>
      <c r="E44" s="1199"/>
      <c r="F44" s="1198"/>
      <c r="G44" s="1203"/>
      <c r="H44" s="1198"/>
      <c r="I44" s="1193"/>
    </row>
    <row r="45" spans="1:19" s="1192" customFormat="1" ht="15" customHeight="1" x14ac:dyDescent="0.35">
      <c r="A45" s="1149" t="s">
        <v>1285</v>
      </c>
      <c r="B45" s="1232"/>
      <c r="C45" s="1151">
        <f>1642000/2</f>
        <v>821000</v>
      </c>
      <c r="D45" s="1152">
        <f>+C45</f>
        <v>821000</v>
      </c>
      <c r="E45" s="1199"/>
      <c r="F45" s="1198"/>
      <c r="G45" s="1203"/>
      <c r="H45" s="1198"/>
      <c r="I45" s="1193"/>
    </row>
    <row r="46" spans="1:19" ht="15" customHeight="1" x14ac:dyDescent="0.35">
      <c r="A46" s="1459" t="s">
        <v>389</v>
      </c>
      <c r="B46" s="1459"/>
      <c r="C46" s="1459"/>
      <c r="D46" s="599">
        <f>+D38+D39+D40+D41+D42+D43+D44+D45</f>
        <v>1221000</v>
      </c>
      <c r="J46" s="176"/>
      <c r="K46" s="176"/>
      <c r="L46" s="176"/>
      <c r="M46" s="181"/>
      <c r="N46" s="181"/>
      <c r="O46" s="184"/>
      <c r="Q46" s="1263"/>
    </row>
    <row r="47" spans="1:19" s="1263" customFormat="1" ht="15" customHeight="1" x14ac:dyDescent="0.35">
      <c r="A47" s="921" t="str">
        <f>A14</f>
        <v>DEPOSITO P/BCO. (1er.QUINC.11/25)</v>
      </c>
      <c r="B47" s="727" t="s">
        <v>63</v>
      </c>
      <c r="C47" s="727" t="s">
        <v>63</v>
      </c>
      <c r="D47" s="722"/>
      <c r="E47" s="1025"/>
      <c r="F47" s="774"/>
      <c r="G47" s="771"/>
      <c r="H47" s="771"/>
      <c r="I47" s="771"/>
      <c r="J47" s="176"/>
      <c r="K47" s="176"/>
      <c r="L47" s="176"/>
      <c r="M47" s="176"/>
      <c r="N47" s="176"/>
      <c r="O47" s="176"/>
      <c r="P47" s="771"/>
      <c r="Q47" s="771"/>
      <c r="R47" s="771"/>
      <c r="S47" s="771"/>
    </row>
    <row r="48" spans="1:19" s="1263" customFormat="1" ht="15" customHeight="1" x14ac:dyDescent="0.35">
      <c r="A48" s="921" t="str">
        <f t="shared" ref="A48" si="0">A15</f>
        <v>DEPOSITO P/BCO. (2da.QUINC.11/25)</v>
      </c>
      <c r="B48" s="727"/>
      <c r="C48" s="727"/>
      <c r="D48" s="722"/>
      <c r="E48" s="1025"/>
      <c r="F48" s="774"/>
      <c r="G48" s="771"/>
      <c r="H48" s="771"/>
      <c r="I48" s="771"/>
      <c r="J48" s="176"/>
      <c r="K48" s="176"/>
      <c r="L48" s="176"/>
      <c r="M48" s="176"/>
      <c r="N48" s="176"/>
      <c r="O48" s="176"/>
      <c r="P48" s="771"/>
      <c r="Q48" s="771"/>
      <c r="R48" s="771"/>
      <c r="S48" s="771"/>
    </row>
    <row r="49" spans="1:19" s="1263" customFormat="1" ht="15" customHeight="1" x14ac:dyDescent="0.35">
      <c r="A49" s="1103" t="s">
        <v>11</v>
      </c>
      <c r="B49" s="1104"/>
      <c r="C49" s="1231"/>
      <c r="D49" s="675">
        <f>+D46+D47+D48</f>
        <v>1221000</v>
      </c>
      <c r="E49" s="1025"/>
      <c r="F49" s="771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263" customFormat="1" ht="15" customHeight="1" x14ac:dyDescent="0.35">
      <c r="A50" s="1224" t="s">
        <v>1149</v>
      </c>
      <c r="B50" s="1225"/>
      <c r="C50" s="1226"/>
      <c r="D50" s="844">
        <v>250000</v>
      </c>
      <c r="E50" s="1025"/>
      <c r="F50" s="771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ht="15" customHeight="1" x14ac:dyDescent="0.35">
      <c r="A51" s="1229" t="s">
        <v>1281</v>
      </c>
      <c r="B51" s="1229"/>
      <c r="C51" s="1229"/>
      <c r="D51" s="1230">
        <f>+D49+D50</f>
        <v>1471000</v>
      </c>
      <c r="K51" s="183"/>
      <c r="L51" s="183"/>
      <c r="M51" s="176"/>
      <c r="N51" s="176"/>
      <c r="O51" s="176"/>
      <c r="Q51" s="1263"/>
    </row>
    <row r="52" spans="1:19" ht="15" customHeight="1" x14ac:dyDescent="0.35">
      <c r="A52" s="1247"/>
      <c r="B52" s="1248"/>
      <c r="C52" s="1248"/>
      <c r="D52" s="1249"/>
      <c r="K52" s="183"/>
      <c r="L52" s="183"/>
      <c r="M52" s="176"/>
      <c r="N52" s="176"/>
      <c r="O52" s="176"/>
      <c r="Q52" s="1263"/>
    </row>
    <row r="53" spans="1:19" s="4" customFormat="1" ht="15" customHeight="1" x14ac:dyDescent="0.35">
      <c r="A53" s="95"/>
      <c r="E53" s="1250"/>
      <c r="K53" s="183"/>
      <c r="L53" s="183"/>
      <c r="M53" s="176"/>
      <c r="N53" s="176"/>
      <c r="O53" s="176"/>
      <c r="Q53" s="1251"/>
    </row>
    <row r="54" spans="1:19" ht="15" customHeight="1" x14ac:dyDescent="0.35">
      <c r="A54" s="1431" t="s">
        <v>1299</v>
      </c>
      <c r="B54" s="1431"/>
      <c r="C54" s="1431"/>
      <c r="D54" s="1431"/>
      <c r="S54" s="1263"/>
    </row>
    <row r="55" spans="1:19" x14ac:dyDescent="0.35">
      <c r="A55" s="2" t="s">
        <v>7</v>
      </c>
      <c r="B55" s="270" t="s">
        <v>8</v>
      </c>
      <c r="C55" s="217" t="s">
        <v>4</v>
      </c>
      <c r="D55" s="597" t="s">
        <v>9</v>
      </c>
    </row>
    <row r="56" spans="1:19" x14ac:dyDescent="0.35">
      <c r="A56" s="772" t="s">
        <v>253</v>
      </c>
      <c r="B56" s="258">
        <v>158</v>
      </c>
      <c r="C56" s="227">
        <v>3927</v>
      </c>
      <c r="D56" s="598">
        <f>+B56*C56</f>
        <v>620466</v>
      </c>
    </row>
    <row r="57" spans="1:19" x14ac:dyDescent="0.35">
      <c r="A57" s="772" t="s">
        <v>369</v>
      </c>
      <c r="B57" s="258">
        <v>16</v>
      </c>
      <c r="C57" s="227">
        <f>+C56</f>
        <v>3927</v>
      </c>
      <c r="D57" s="598">
        <f>+B57*C57</f>
        <v>62832</v>
      </c>
    </row>
    <row r="58" spans="1:19" x14ac:dyDescent="0.35">
      <c r="A58" s="772" t="s">
        <v>266</v>
      </c>
      <c r="B58" s="258"/>
      <c r="C58" s="227">
        <v>50000</v>
      </c>
      <c r="D58" s="598">
        <f>+C58</f>
        <v>50000</v>
      </c>
    </row>
    <row r="59" spans="1:19" x14ac:dyDescent="0.35">
      <c r="A59" s="772" t="s">
        <v>6</v>
      </c>
      <c r="B59" s="258"/>
      <c r="C59" s="227">
        <v>100000</v>
      </c>
      <c r="D59" s="598">
        <f>+C59</f>
        <v>100000</v>
      </c>
    </row>
    <row r="60" spans="1:19" x14ac:dyDescent="0.35">
      <c r="A60" s="772" t="s">
        <v>1030</v>
      </c>
      <c r="B60" s="258">
        <v>1</v>
      </c>
      <c r="C60" s="194">
        <f>+C56*1.5</f>
        <v>5890.5</v>
      </c>
      <c r="D60" s="598">
        <f>+B60*C60</f>
        <v>5890.5</v>
      </c>
    </row>
    <row r="61" spans="1:19" x14ac:dyDescent="0.35">
      <c r="A61" s="772" t="s">
        <v>449</v>
      </c>
      <c r="B61" s="258"/>
      <c r="C61" s="194">
        <f>+C56*2</f>
        <v>7854</v>
      </c>
      <c r="D61" s="598">
        <f>+B61*C61</f>
        <v>0</v>
      </c>
    </row>
    <row r="62" spans="1:19" s="1192" customFormat="1" x14ac:dyDescent="0.35">
      <c r="A62" s="1149" t="s">
        <v>823</v>
      </c>
      <c r="B62" s="1150"/>
      <c r="C62" s="1151"/>
      <c r="D62" s="1152">
        <v>150000</v>
      </c>
      <c r="E62" s="1199"/>
    </row>
    <row r="63" spans="1:19" s="1192" customFormat="1" x14ac:dyDescent="0.35">
      <c r="A63" s="1149" t="s">
        <v>1300</v>
      </c>
      <c r="B63" s="1150">
        <v>24</v>
      </c>
      <c r="C63" s="1151">
        <f>+C56</f>
        <v>3927</v>
      </c>
      <c r="D63" s="1152">
        <f>+B63*C63</f>
        <v>94248</v>
      </c>
      <c r="E63" s="1199"/>
    </row>
    <row r="64" spans="1:19" x14ac:dyDescent="0.35">
      <c r="A64" s="1459" t="s">
        <v>389</v>
      </c>
      <c r="B64" s="1459"/>
      <c r="C64" s="1459"/>
      <c r="D64" s="599">
        <f>+D56+D57+D58+D59+D60+D61+D62+D63</f>
        <v>1083436.5</v>
      </c>
      <c r="F64" s="774"/>
    </row>
    <row r="65" spans="1:6" x14ac:dyDescent="0.35">
      <c r="A65" s="904" t="s">
        <v>19</v>
      </c>
      <c r="B65" s="922"/>
      <c r="C65" s="720"/>
      <c r="D65" s="722"/>
    </row>
    <row r="66" spans="1:6" x14ac:dyDescent="0.35">
      <c r="A66" s="129" t="s">
        <v>11</v>
      </c>
      <c r="B66" s="1103"/>
      <c r="C66" s="197"/>
      <c r="D66" s="675">
        <f>+D64+D65</f>
        <v>1083436.5</v>
      </c>
    </row>
    <row r="67" spans="1:6" x14ac:dyDescent="0.35">
      <c r="B67" s="771"/>
      <c r="C67" s="771"/>
      <c r="D67" s="771"/>
    </row>
    <row r="69" spans="1:6" ht="14.5" customHeight="1" x14ac:dyDescent="0.35">
      <c r="A69" s="1431" t="s">
        <v>1308</v>
      </c>
      <c r="B69" s="1431"/>
      <c r="C69" s="1431"/>
      <c r="D69" s="1431"/>
    </row>
    <row r="70" spans="1:6" ht="14.5" customHeight="1" x14ac:dyDescent="0.35">
      <c r="A70" s="2" t="s">
        <v>7</v>
      </c>
      <c r="B70" s="270" t="s">
        <v>8</v>
      </c>
      <c r="C70" s="217" t="s">
        <v>4</v>
      </c>
      <c r="D70" s="597" t="s">
        <v>63</v>
      </c>
    </row>
    <row r="71" spans="1:6" ht="14.5" customHeight="1" x14ac:dyDescent="0.35">
      <c r="A71" s="772" t="s">
        <v>3</v>
      </c>
      <c r="B71" s="258">
        <v>158</v>
      </c>
      <c r="C71" s="227">
        <v>3636</v>
      </c>
      <c r="D71" s="598">
        <f>+B71*C71</f>
        <v>574488</v>
      </c>
      <c r="E71" s="1254"/>
    </row>
    <row r="72" spans="1:6" ht="14.5" customHeight="1" x14ac:dyDescent="0.35">
      <c r="A72" s="772" t="s">
        <v>369</v>
      </c>
      <c r="B72" s="258">
        <v>16</v>
      </c>
      <c r="C72" s="227">
        <f>+C71</f>
        <v>3636</v>
      </c>
      <c r="D72" s="598">
        <f>+B72*C72</f>
        <v>58176</v>
      </c>
      <c r="E72" s="1254"/>
    </row>
    <row r="73" spans="1:6" x14ac:dyDescent="0.35">
      <c r="A73" s="772" t="s">
        <v>266</v>
      </c>
      <c r="B73" s="258"/>
      <c r="C73" s="227">
        <v>50000</v>
      </c>
      <c r="D73" s="598">
        <f>+C73</f>
        <v>50000</v>
      </c>
    </row>
    <row r="74" spans="1:6" x14ac:dyDescent="0.35">
      <c r="A74" s="772" t="s">
        <v>6</v>
      </c>
      <c r="B74" s="258"/>
      <c r="C74" s="227">
        <v>100000</v>
      </c>
      <c r="D74" s="598">
        <v>100000</v>
      </c>
    </row>
    <row r="75" spans="1:6" s="1069" customFormat="1" x14ac:dyDescent="0.35">
      <c r="A75" s="614" t="s">
        <v>270</v>
      </c>
      <c r="B75" s="617">
        <v>4</v>
      </c>
      <c r="C75" s="227">
        <f>+C71*1.5</f>
        <v>5454</v>
      </c>
      <c r="D75" s="598">
        <f>+B75*C75</f>
        <v>21816</v>
      </c>
      <c r="E75" s="553"/>
    </row>
    <row r="76" spans="1:6" x14ac:dyDescent="0.35">
      <c r="A76" s="772" t="s">
        <v>281</v>
      </c>
      <c r="B76" s="258"/>
      <c r="C76" s="227">
        <f>+C71*2</f>
        <v>7272</v>
      </c>
      <c r="D76" s="598">
        <f>+B76*C76</f>
        <v>0</v>
      </c>
    </row>
    <row r="77" spans="1:6" s="1192" customFormat="1" x14ac:dyDescent="0.35">
      <c r="A77" s="1149" t="s">
        <v>1040</v>
      </c>
      <c r="B77" s="1150"/>
      <c r="C77" s="1151"/>
      <c r="D77" s="1152">
        <v>130000</v>
      </c>
      <c r="E77" s="1199"/>
    </row>
    <row r="78" spans="1:6" s="1192" customFormat="1" x14ac:dyDescent="0.35">
      <c r="A78" s="1149" t="s">
        <v>1301</v>
      </c>
      <c r="B78" s="1150">
        <f>14*8</f>
        <v>112</v>
      </c>
      <c r="C78" s="1151">
        <f>+C71</f>
        <v>3636</v>
      </c>
      <c r="D78" s="1152">
        <f>+B78*C78</f>
        <v>407232</v>
      </c>
      <c r="E78" s="1199"/>
    </row>
    <row r="79" spans="1:6" x14ac:dyDescent="0.35">
      <c r="A79" s="1459" t="s">
        <v>389</v>
      </c>
      <c r="B79" s="1459"/>
      <c r="C79" s="1459"/>
      <c r="D79" s="599">
        <f>+D71+D72+D73+D74+D75+D76+D77+D78</f>
        <v>1341712</v>
      </c>
      <c r="F79" s="774"/>
    </row>
    <row r="80" spans="1:6" x14ac:dyDescent="0.35">
      <c r="A80" s="723" t="s">
        <v>19</v>
      </c>
      <c r="B80" s="721"/>
      <c r="C80" s="721"/>
      <c r="D80" s="722"/>
    </row>
    <row r="81" spans="1:6" ht="15.5" x14ac:dyDescent="0.35">
      <c r="A81" s="1471" t="s">
        <v>11</v>
      </c>
      <c r="B81" s="1471"/>
      <c r="C81" s="1471"/>
      <c r="D81" s="603">
        <f>+D79+D80</f>
        <v>1341712</v>
      </c>
    </row>
    <row r="82" spans="1:6" s="90" customFormat="1" x14ac:dyDescent="0.35">
      <c r="A82" s="1035"/>
      <c r="B82" s="1042"/>
      <c r="C82" s="553"/>
      <c r="D82" s="1051"/>
      <c r="E82" s="553"/>
    </row>
    <row r="84" spans="1:6" ht="23.5" x14ac:dyDescent="0.35">
      <c r="A84" s="1431" t="s">
        <v>1302</v>
      </c>
      <c r="B84" s="1431"/>
      <c r="C84" s="1431"/>
      <c r="D84" s="1431"/>
    </row>
    <row r="85" spans="1:6" x14ac:dyDescent="0.35">
      <c r="A85" s="2" t="s">
        <v>7</v>
      </c>
      <c r="B85" s="270" t="s">
        <v>388</v>
      </c>
      <c r="C85" s="217" t="s">
        <v>272</v>
      </c>
      <c r="D85" s="597" t="s">
        <v>9</v>
      </c>
    </row>
    <row r="86" spans="1:6" x14ac:dyDescent="0.35">
      <c r="A86" s="772" t="s">
        <v>3</v>
      </c>
      <c r="B86" s="258">
        <v>158</v>
      </c>
      <c r="C86" s="227">
        <v>3613</v>
      </c>
      <c r="D86" s="598">
        <f>+B86*C86</f>
        <v>570854</v>
      </c>
    </row>
    <row r="87" spans="1:6" x14ac:dyDescent="0.35">
      <c r="A87" s="772" t="s">
        <v>369</v>
      </c>
      <c r="B87" s="258">
        <v>16</v>
      </c>
      <c r="C87" s="227">
        <f>+C86</f>
        <v>3613</v>
      </c>
      <c r="D87" s="598">
        <f>+B87*C87</f>
        <v>57808</v>
      </c>
    </row>
    <row r="88" spans="1:6" x14ac:dyDescent="0.35">
      <c r="A88" s="772" t="s">
        <v>1303</v>
      </c>
      <c r="B88" s="258">
        <f>3*8</f>
        <v>24</v>
      </c>
      <c r="C88" s="227">
        <f>+C86</f>
        <v>3613</v>
      </c>
      <c r="D88" s="598">
        <f>+B88*C88</f>
        <v>86712</v>
      </c>
    </row>
    <row r="89" spans="1:6" x14ac:dyDescent="0.35">
      <c r="A89" s="772" t="s">
        <v>6</v>
      </c>
      <c r="B89" s="258"/>
      <c r="C89" s="227">
        <v>80000</v>
      </c>
      <c r="D89" s="598">
        <f>+C89</f>
        <v>80000</v>
      </c>
    </row>
    <row r="90" spans="1:6" x14ac:dyDescent="0.35">
      <c r="A90" s="772" t="s">
        <v>200</v>
      </c>
      <c r="B90" s="258"/>
      <c r="C90" s="227">
        <v>50000</v>
      </c>
      <c r="D90" s="598">
        <f>+C90</f>
        <v>50000</v>
      </c>
    </row>
    <row r="91" spans="1:6" x14ac:dyDescent="0.35">
      <c r="A91" s="772" t="s">
        <v>1032</v>
      </c>
      <c r="B91" s="258"/>
      <c r="C91" s="227">
        <f>+C86*1.5</f>
        <v>5419.5</v>
      </c>
      <c r="D91" s="811">
        <f>+B91*C91</f>
        <v>0</v>
      </c>
    </row>
    <row r="92" spans="1:6" x14ac:dyDescent="0.35">
      <c r="A92" s="772" t="s">
        <v>757</v>
      </c>
      <c r="B92" s="258"/>
      <c r="C92" s="227">
        <f>+C86*2</f>
        <v>7226</v>
      </c>
      <c r="D92" s="598">
        <f>+B92*C92</f>
        <v>0</v>
      </c>
    </row>
    <row r="93" spans="1:6" s="1192" customFormat="1" x14ac:dyDescent="0.35">
      <c r="A93" s="1149" t="s">
        <v>1033</v>
      </c>
      <c r="B93" s="1150"/>
      <c r="C93" s="1151"/>
      <c r="D93" s="1152">
        <v>300000</v>
      </c>
      <c r="E93" s="1199"/>
    </row>
    <row r="94" spans="1:6" s="1192" customFormat="1" x14ac:dyDescent="0.35">
      <c r="A94" s="1149"/>
      <c r="B94" s="1150"/>
      <c r="C94" s="1151"/>
      <c r="D94" s="1152">
        <f>+C94</f>
        <v>0</v>
      </c>
      <c r="E94" s="1199"/>
    </row>
    <row r="95" spans="1:6" x14ac:dyDescent="0.35">
      <c r="A95" s="1036" t="s">
        <v>389</v>
      </c>
      <c r="B95" s="681"/>
      <c r="C95" s="1037"/>
      <c r="D95" s="1038">
        <f>+D86+D87+D88+D89+D90+D91+D92+D93+D94</f>
        <v>1145374</v>
      </c>
    </row>
    <row r="96" spans="1:6" x14ac:dyDescent="0.35">
      <c r="A96" s="772" t="s">
        <v>50</v>
      </c>
      <c r="B96" s="258"/>
      <c r="C96" s="227"/>
      <c r="D96" s="731"/>
      <c r="F96" s="774"/>
    </row>
    <row r="97" spans="1:5" ht="15.5" x14ac:dyDescent="0.35">
      <c r="A97" s="1471" t="s">
        <v>11</v>
      </c>
      <c r="B97" s="1471"/>
      <c r="C97" s="1471"/>
      <c r="D97" s="603">
        <f>+D95+D96</f>
        <v>1145374</v>
      </c>
    </row>
    <row r="98" spans="1:5" ht="15.5" x14ac:dyDescent="0.35">
      <c r="A98" s="723" t="s">
        <v>631</v>
      </c>
      <c r="B98" s="723"/>
      <c r="C98" s="723"/>
      <c r="D98" s="832">
        <v>-258100</v>
      </c>
    </row>
    <row r="99" spans="1:5" ht="15.5" x14ac:dyDescent="0.35">
      <c r="A99" s="1264" t="s">
        <v>1010</v>
      </c>
      <c r="B99" s="1264"/>
      <c r="C99" s="1264"/>
      <c r="D99" s="603">
        <f>+D97+D98</f>
        <v>887274</v>
      </c>
    </row>
    <row r="100" spans="1:5" s="90" customFormat="1" x14ac:dyDescent="0.35">
      <c r="B100" s="1042"/>
      <c r="C100" s="553"/>
      <c r="D100" s="1051" t="s">
        <v>63</v>
      </c>
      <c r="E100" s="553"/>
    </row>
    <row r="102" spans="1:5" ht="23.5" x14ac:dyDescent="0.35">
      <c r="A102" s="1431" t="s">
        <v>1309</v>
      </c>
      <c r="B102" s="1431"/>
      <c r="C102" s="1431"/>
      <c r="D102" s="1431"/>
    </row>
    <row r="103" spans="1:5" x14ac:dyDescent="0.35">
      <c r="A103" s="2" t="s">
        <v>7</v>
      </c>
      <c r="B103" s="270" t="s">
        <v>8</v>
      </c>
      <c r="C103" s="217" t="s">
        <v>4</v>
      </c>
      <c r="D103" s="597" t="s">
        <v>9</v>
      </c>
    </row>
    <row r="104" spans="1:5" x14ac:dyDescent="0.35">
      <c r="A104" s="772" t="s">
        <v>3</v>
      </c>
      <c r="B104" s="258">
        <v>158</v>
      </c>
      <c r="C104" s="227">
        <v>3636</v>
      </c>
      <c r="D104" s="598">
        <f>+B104*C104</f>
        <v>574488</v>
      </c>
    </row>
    <row r="105" spans="1:5" x14ac:dyDescent="0.35">
      <c r="A105" s="772" t="s">
        <v>379</v>
      </c>
      <c r="B105" s="258">
        <v>16</v>
      </c>
      <c r="C105" s="227">
        <f>+C104</f>
        <v>3636</v>
      </c>
      <c r="D105" s="598">
        <f>+B105*C105</f>
        <v>58176</v>
      </c>
    </row>
    <row r="106" spans="1:5" x14ac:dyDescent="0.35">
      <c r="A106" s="772" t="s">
        <v>200</v>
      </c>
      <c r="B106" s="258"/>
      <c r="C106" s="227">
        <v>50000</v>
      </c>
      <c r="D106" s="598">
        <v>50000</v>
      </c>
    </row>
    <row r="107" spans="1:5" x14ac:dyDescent="0.35">
      <c r="A107" s="772" t="s">
        <v>6</v>
      </c>
      <c r="B107" s="258"/>
      <c r="C107" s="194">
        <v>100000</v>
      </c>
      <c r="D107" s="598">
        <f>+C107</f>
        <v>100000</v>
      </c>
    </row>
    <row r="108" spans="1:5" x14ac:dyDescent="0.35">
      <c r="A108" s="772" t="s">
        <v>1032</v>
      </c>
      <c r="B108" s="258">
        <v>2</v>
      </c>
      <c r="C108" s="194">
        <f>+C104*1.5</f>
        <v>5454</v>
      </c>
      <c r="D108" s="598">
        <f>+B108*C108</f>
        <v>10908</v>
      </c>
    </row>
    <row r="109" spans="1:5" x14ac:dyDescent="0.35">
      <c r="A109" s="772" t="s">
        <v>281</v>
      </c>
      <c r="B109" s="258"/>
      <c r="C109" s="194">
        <f>+C104*2</f>
        <v>7272</v>
      </c>
      <c r="D109" s="598">
        <f>+B109*C109</f>
        <v>0</v>
      </c>
    </row>
    <row r="110" spans="1:5" s="90" customFormat="1" x14ac:dyDescent="0.35">
      <c r="A110" s="141" t="s">
        <v>1033</v>
      </c>
      <c r="B110" s="274"/>
      <c r="C110" s="195"/>
      <c r="D110" s="1017">
        <v>130000</v>
      </c>
      <c r="E110" s="553"/>
    </row>
    <row r="111" spans="1:5" s="90" customFormat="1" x14ac:dyDescent="0.35">
      <c r="A111" s="141" t="s">
        <v>1301</v>
      </c>
      <c r="B111" s="274">
        <f>14*8</f>
        <v>112</v>
      </c>
      <c r="C111" s="195">
        <f>+C104</f>
        <v>3636</v>
      </c>
      <c r="D111" s="1017">
        <f>+B111*C111</f>
        <v>407232</v>
      </c>
      <c r="E111" s="553"/>
    </row>
    <row r="112" spans="1:5" x14ac:dyDescent="0.35">
      <c r="A112" s="1463" t="s">
        <v>389</v>
      </c>
      <c r="B112" s="1464"/>
      <c r="C112" s="1465"/>
      <c r="D112" s="599">
        <f>+D104+D105+D106+D107+D108+D109+D110+D111</f>
        <v>1330804</v>
      </c>
    </row>
    <row r="113" spans="1:5" x14ac:dyDescent="0.35">
      <c r="A113" s="724" t="s">
        <v>374</v>
      </c>
      <c r="B113" s="729"/>
      <c r="C113" s="730"/>
      <c r="D113" s="731"/>
    </row>
    <row r="114" spans="1:5" x14ac:dyDescent="0.35">
      <c r="A114" s="724"/>
      <c r="B114" s="729"/>
      <c r="C114" s="730"/>
      <c r="D114" s="731"/>
    </row>
    <row r="115" spans="1:5" s="997" customFormat="1" ht="15.5" x14ac:dyDescent="0.35">
      <c r="A115" s="992" t="s">
        <v>11</v>
      </c>
      <c r="B115" s="1181"/>
      <c r="C115" s="994"/>
      <c r="D115" s="995">
        <f>+D112+D113+D114</f>
        <v>1330804</v>
      </c>
      <c r="E115" s="1026"/>
    </row>
    <row r="116" spans="1:5" s="90" customFormat="1" x14ac:dyDescent="0.35">
      <c r="B116" s="1042"/>
      <c r="C116" s="553"/>
      <c r="D116" s="1051"/>
      <c r="E116" s="553"/>
    </row>
    <row r="118" spans="1:5" ht="23.5" x14ac:dyDescent="0.35">
      <c r="A118" s="1431" t="s">
        <v>1266</v>
      </c>
      <c r="B118" s="1431"/>
      <c r="C118" s="1431"/>
      <c r="D118" s="1431"/>
    </row>
    <row r="119" spans="1:5" x14ac:dyDescent="0.35">
      <c r="A119" s="2" t="s">
        <v>7</v>
      </c>
      <c r="B119" s="270" t="s">
        <v>388</v>
      </c>
      <c r="C119" s="217" t="s">
        <v>629</v>
      </c>
      <c r="D119" s="597" t="s">
        <v>9</v>
      </c>
    </row>
    <row r="120" spans="1:5" x14ac:dyDescent="0.35">
      <c r="A120" s="772" t="s">
        <v>3</v>
      </c>
      <c r="B120" s="258"/>
      <c r="C120" s="194">
        <v>5331</v>
      </c>
      <c r="D120" s="598">
        <f>+B120*C120</f>
        <v>0</v>
      </c>
    </row>
    <row r="121" spans="1:5" x14ac:dyDescent="0.35">
      <c r="A121" s="772" t="s">
        <v>394</v>
      </c>
      <c r="B121" s="258"/>
      <c r="C121" s="194">
        <f>+C120</f>
        <v>5331</v>
      </c>
      <c r="D121" s="609">
        <f>+B121*C121</f>
        <v>0</v>
      </c>
    </row>
    <row r="122" spans="1:5" x14ac:dyDescent="0.35">
      <c r="A122" s="772" t="s">
        <v>556</v>
      </c>
      <c r="B122" s="258"/>
      <c r="C122" s="194">
        <v>50000</v>
      </c>
      <c r="D122" s="609">
        <f>+C122</f>
        <v>50000</v>
      </c>
    </row>
    <row r="123" spans="1:5" x14ac:dyDescent="0.35">
      <c r="A123" s="772" t="s">
        <v>6</v>
      </c>
      <c r="B123" s="258"/>
      <c r="C123" s="194">
        <v>100000</v>
      </c>
      <c r="D123" s="609">
        <f>+C123</f>
        <v>100000</v>
      </c>
    </row>
    <row r="124" spans="1:5" x14ac:dyDescent="0.35">
      <c r="A124" s="614" t="s">
        <v>628</v>
      </c>
      <c r="B124" s="617"/>
      <c r="C124" s="227">
        <f>+C120*1.5</f>
        <v>7996.5</v>
      </c>
      <c r="D124" s="609">
        <f>+B124*C124</f>
        <v>0</v>
      </c>
    </row>
    <row r="125" spans="1:5" x14ac:dyDescent="0.35">
      <c r="A125" s="614" t="s">
        <v>823</v>
      </c>
      <c r="B125" s="617"/>
      <c r="C125" s="227"/>
      <c r="D125" s="609">
        <v>120000</v>
      </c>
    </row>
    <row r="126" spans="1:5" x14ac:dyDescent="0.35">
      <c r="A126" s="614" t="s">
        <v>1287</v>
      </c>
      <c r="B126" s="617"/>
      <c r="C126" s="227">
        <f>1347000/2</f>
        <v>673500</v>
      </c>
      <c r="D126" s="609">
        <f>+C126</f>
        <v>673500</v>
      </c>
    </row>
    <row r="127" spans="1:5" s="90" customFormat="1" x14ac:dyDescent="0.35">
      <c r="A127" s="1071" t="s">
        <v>389</v>
      </c>
      <c r="B127" s="1074"/>
      <c r="C127" s="1172"/>
      <c r="D127" s="1173">
        <f>+D120+D121+D122+D123+D124+D125+D126</f>
        <v>943500</v>
      </c>
      <c r="E127" s="553"/>
    </row>
    <row r="128" spans="1:5" x14ac:dyDescent="0.35">
      <c r="A128" s="614" t="s">
        <v>1267</v>
      </c>
      <c r="B128" s="617"/>
      <c r="C128" s="227"/>
      <c r="D128" s="609">
        <v>58900</v>
      </c>
    </row>
    <row r="129" spans="1:5" x14ac:dyDescent="0.35">
      <c r="A129" s="614" t="s">
        <v>1268</v>
      </c>
      <c r="B129" s="617"/>
      <c r="C129" s="227"/>
      <c r="D129" s="609">
        <v>37100</v>
      </c>
    </row>
    <row r="130" spans="1:5" ht="15.5" x14ac:dyDescent="0.35">
      <c r="A130" s="1059" t="s">
        <v>11</v>
      </c>
      <c r="B130" s="1060"/>
      <c r="C130" s="1061"/>
      <c r="D130" s="1167">
        <f>+D127+D128+D129</f>
        <v>1039500</v>
      </c>
    </row>
    <row r="133" spans="1:5" ht="23.5" x14ac:dyDescent="0.35">
      <c r="A133" s="1431" t="s">
        <v>1269</v>
      </c>
      <c r="B133" s="1431"/>
      <c r="C133" s="1431"/>
      <c r="D133" s="1431"/>
    </row>
    <row r="134" spans="1:5" x14ac:dyDescent="0.35">
      <c r="A134" s="2" t="s">
        <v>7</v>
      </c>
      <c r="B134" s="270" t="s">
        <v>8</v>
      </c>
      <c r="C134" s="217" t="s">
        <v>4</v>
      </c>
      <c r="D134" s="597" t="s">
        <v>9</v>
      </c>
    </row>
    <row r="135" spans="1:5" x14ac:dyDescent="0.35">
      <c r="A135" s="772" t="s">
        <v>3</v>
      </c>
      <c r="B135" s="258">
        <v>87.5</v>
      </c>
      <c r="C135" s="194">
        <v>5331</v>
      </c>
      <c r="D135" s="598">
        <f>+B135*C135</f>
        <v>466462.5</v>
      </c>
    </row>
    <row r="136" spans="1:5" x14ac:dyDescent="0.35">
      <c r="A136" s="772" t="s">
        <v>394</v>
      </c>
      <c r="B136" s="258">
        <v>7.5</v>
      </c>
      <c r="C136" s="194">
        <f>+C135</f>
        <v>5331</v>
      </c>
      <c r="D136" s="609">
        <f>+B136*C136</f>
        <v>39982.5</v>
      </c>
    </row>
    <row r="137" spans="1:5" x14ac:dyDescent="0.35">
      <c r="A137" s="772" t="s">
        <v>338</v>
      </c>
      <c r="B137" s="258">
        <v>52.5</v>
      </c>
      <c r="C137" s="194">
        <f>+C136</f>
        <v>5331</v>
      </c>
      <c r="D137" s="609">
        <f>+B137*C137</f>
        <v>279877.5</v>
      </c>
    </row>
    <row r="138" spans="1:5" x14ac:dyDescent="0.35">
      <c r="A138" s="772" t="s">
        <v>6</v>
      </c>
      <c r="B138" s="258"/>
      <c r="C138" s="194">
        <v>100000</v>
      </c>
      <c r="D138" s="609">
        <f>+C138</f>
        <v>100000</v>
      </c>
    </row>
    <row r="139" spans="1:5" x14ac:dyDescent="0.35">
      <c r="A139" s="614" t="s">
        <v>556</v>
      </c>
      <c r="B139" s="617"/>
      <c r="C139" s="227">
        <v>50000</v>
      </c>
      <c r="D139" s="609">
        <v>50000</v>
      </c>
    </row>
    <row r="140" spans="1:5" x14ac:dyDescent="0.35">
      <c r="A140" s="614" t="s">
        <v>1035</v>
      </c>
      <c r="B140" s="617">
        <v>5.5</v>
      </c>
      <c r="C140" s="227">
        <f>+C135*1.5</f>
        <v>7996.5</v>
      </c>
      <c r="D140" s="609">
        <f>+B140*C140</f>
        <v>43980.75</v>
      </c>
    </row>
    <row r="141" spans="1:5" s="1192" customFormat="1" x14ac:dyDescent="0.35">
      <c r="A141" s="1149" t="s">
        <v>823</v>
      </c>
      <c r="B141" s="1150"/>
      <c r="C141" s="1151">
        <v>120000</v>
      </c>
      <c r="D141" s="1210">
        <f>+C141</f>
        <v>120000</v>
      </c>
      <c r="E141" s="1199"/>
    </row>
    <row r="142" spans="1:5" x14ac:dyDescent="0.35">
      <c r="A142" s="1149" t="s">
        <v>1287</v>
      </c>
      <c r="B142" s="617"/>
      <c r="C142" s="227">
        <f>1179000/2</f>
        <v>589500</v>
      </c>
      <c r="D142" s="609">
        <f>+C142</f>
        <v>589500</v>
      </c>
    </row>
    <row r="143" spans="1:5" x14ac:dyDescent="0.35">
      <c r="A143" s="882" t="s">
        <v>389</v>
      </c>
      <c r="B143" s="883"/>
      <c r="C143" s="884"/>
      <c r="D143" s="1058">
        <f>+D135+D136+D137+D138+D139+D140+D141+D142</f>
        <v>1689803.25</v>
      </c>
    </row>
    <row r="144" spans="1:5" x14ac:dyDescent="0.35">
      <c r="A144" s="724" t="s">
        <v>1270</v>
      </c>
      <c r="B144" s="729"/>
      <c r="C144" s="729"/>
      <c r="D144" s="731"/>
    </row>
    <row r="145" spans="1:19" x14ac:dyDescent="0.35">
      <c r="A145" s="1071" t="s">
        <v>11</v>
      </c>
      <c r="B145" s="1074"/>
      <c r="C145" s="1074"/>
      <c r="D145" s="1075">
        <f>+D143+D144</f>
        <v>1689803.25</v>
      </c>
    </row>
    <row r="149" spans="1:19" s="1042" customFormat="1" ht="23.5" x14ac:dyDescent="0.35">
      <c r="A149" s="1442" t="s">
        <v>1305</v>
      </c>
      <c r="B149" s="1443"/>
      <c r="C149" s="1443"/>
      <c r="D149" s="1444"/>
      <c r="E149" s="553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</row>
    <row r="150" spans="1:19" s="1042" customFormat="1" x14ac:dyDescent="0.35">
      <c r="A150" s="2" t="s">
        <v>7</v>
      </c>
      <c r="B150" s="270" t="s">
        <v>388</v>
      </c>
      <c r="C150" s="217" t="s">
        <v>1037</v>
      </c>
      <c r="D150" s="597" t="s">
        <v>9</v>
      </c>
      <c r="E150" s="553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</row>
    <row r="151" spans="1:19" s="1042" customFormat="1" x14ac:dyDescent="0.35">
      <c r="A151" s="772" t="s">
        <v>3</v>
      </c>
      <c r="B151" s="258">
        <v>158</v>
      </c>
      <c r="C151" s="194">
        <v>3927</v>
      </c>
      <c r="D151" s="598">
        <f>+B151*C151</f>
        <v>620466</v>
      </c>
      <c r="E151" s="553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</row>
    <row r="152" spans="1:19" s="1042" customFormat="1" x14ac:dyDescent="0.35">
      <c r="A152" s="772" t="s">
        <v>369</v>
      </c>
      <c r="B152" s="258">
        <v>16</v>
      </c>
      <c r="C152" s="194">
        <f>+C151</f>
        <v>3927</v>
      </c>
      <c r="D152" s="609">
        <f>+B152*C152</f>
        <v>62832</v>
      </c>
      <c r="E152" s="553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</row>
    <row r="153" spans="1:19" s="1042" customFormat="1" x14ac:dyDescent="0.35">
      <c r="A153" s="772" t="s">
        <v>200</v>
      </c>
      <c r="B153" s="258"/>
      <c r="C153" s="194">
        <v>50000</v>
      </c>
      <c r="D153" s="609">
        <f>+C153</f>
        <v>50000</v>
      </c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614" t="s">
        <v>6</v>
      </c>
      <c r="B154" s="617"/>
      <c r="C154" s="227">
        <v>100000</v>
      </c>
      <c r="D154" s="609">
        <f>+C154</f>
        <v>100000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614" t="s">
        <v>1035</v>
      </c>
      <c r="B155" s="617"/>
      <c r="C155" s="227">
        <f>+C151*1.5</f>
        <v>5890.5</v>
      </c>
      <c r="D155" s="609">
        <f>+B155*C155</f>
        <v>0</v>
      </c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614" t="s">
        <v>1036</v>
      </c>
      <c r="B156" s="617"/>
      <c r="C156" s="227">
        <f>+C151*2</f>
        <v>7854</v>
      </c>
      <c r="D156" s="609">
        <f>+C156*0</f>
        <v>0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190" customFormat="1" x14ac:dyDescent="0.35">
      <c r="A157" s="1149" t="s">
        <v>823</v>
      </c>
      <c r="B157" s="1150"/>
      <c r="C157" s="1151"/>
      <c r="D157" s="1210">
        <v>80000</v>
      </c>
      <c r="E157" s="1199"/>
      <c r="F157" s="1192"/>
      <c r="G157" s="1192"/>
      <c r="H157" s="1192"/>
      <c r="I157" s="1192"/>
      <c r="J157" s="1192"/>
      <c r="K157" s="1192"/>
      <c r="L157" s="1192"/>
      <c r="M157" s="1192"/>
      <c r="N157" s="1192"/>
      <c r="O157" s="1192"/>
      <c r="P157" s="1192"/>
      <c r="Q157" s="1192"/>
      <c r="R157" s="1192"/>
      <c r="S157" s="1192"/>
    </row>
    <row r="158" spans="1:19" s="1190" customFormat="1" x14ac:dyDescent="0.35">
      <c r="A158" s="1223" t="s">
        <v>1300</v>
      </c>
      <c r="B158" s="1150">
        <f>3*8</f>
        <v>24</v>
      </c>
      <c r="C158" s="1151">
        <f>+C151</f>
        <v>3927</v>
      </c>
      <c r="D158" s="1210">
        <f>+B158*C158</f>
        <v>94248</v>
      </c>
      <c r="E158" s="1199"/>
      <c r="F158" s="1192"/>
      <c r="G158" s="1192"/>
      <c r="H158" s="1192"/>
      <c r="I158" s="1192"/>
      <c r="J158" s="1192"/>
      <c r="K158" s="1192"/>
      <c r="L158" s="1192"/>
      <c r="M158" s="1192"/>
      <c r="N158" s="1192"/>
      <c r="O158" s="1192"/>
      <c r="P158" s="1192"/>
      <c r="Q158" s="1192"/>
      <c r="R158" s="1192"/>
      <c r="S158" s="1192"/>
    </row>
    <row r="159" spans="1:19" s="1042" customFormat="1" x14ac:dyDescent="0.35">
      <c r="A159" s="882" t="s">
        <v>389</v>
      </c>
      <c r="B159" s="883"/>
      <c r="C159" s="884"/>
      <c r="D159" s="1058">
        <f>+D151+D152+D153+D154+D155+D156+D157+D158</f>
        <v>1007546</v>
      </c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s="1042" customFormat="1" x14ac:dyDescent="0.35">
      <c r="A160" s="1211"/>
      <c r="B160" s="1212"/>
      <c r="C160" s="1213"/>
      <c r="D160" s="1214"/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724"/>
      <c r="B161" s="729"/>
      <c r="C161" s="729"/>
      <c r="D161" s="731"/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1071" t="s">
        <v>11</v>
      </c>
      <c r="B162" s="1074"/>
      <c r="C162" s="1074"/>
      <c r="D162" s="1075">
        <f>+D159+D160+D161</f>
        <v>1007546</v>
      </c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6" spans="1:19" ht="23.5" x14ac:dyDescent="0.35">
      <c r="A166" s="1442" t="s">
        <v>1310</v>
      </c>
      <c r="B166" s="1443"/>
      <c r="C166" s="1443"/>
      <c r="D166" s="1444"/>
    </row>
    <row r="167" spans="1:19" x14ac:dyDescent="0.35">
      <c r="A167" s="2" t="s">
        <v>7</v>
      </c>
      <c r="B167" s="270" t="s">
        <v>425</v>
      </c>
      <c r="C167" s="217" t="s">
        <v>272</v>
      </c>
      <c r="D167" s="597" t="s">
        <v>9</v>
      </c>
    </row>
    <row r="168" spans="1:19" x14ac:dyDescent="0.35">
      <c r="A168" s="772" t="s">
        <v>3</v>
      </c>
      <c r="B168" s="258">
        <v>158</v>
      </c>
      <c r="C168" s="194">
        <v>3179</v>
      </c>
      <c r="D168" s="598">
        <f>+B168*C168</f>
        <v>502282</v>
      </c>
    </row>
    <row r="169" spans="1:19" x14ac:dyDescent="0.35">
      <c r="A169" s="772" t="s">
        <v>369</v>
      </c>
      <c r="B169" s="258">
        <v>16</v>
      </c>
      <c r="C169" s="194">
        <f>+C168</f>
        <v>3179</v>
      </c>
      <c r="D169" s="609">
        <f>+B169*C169</f>
        <v>50864</v>
      </c>
    </row>
    <row r="170" spans="1:19" x14ac:dyDescent="0.35">
      <c r="A170" s="772" t="s">
        <v>200</v>
      </c>
      <c r="B170" s="258"/>
      <c r="C170" s="194">
        <v>50000</v>
      </c>
      <c r="D170" s="609">
        <f>+C170</f>
        <v>50000</v>
      </c>
    </row>
    <row r="171" spans="1:19" x14ac:dyDescent="0.35">
      <c r="A171" s="614" t="s">
        <v>6</v>
      </c>
      <c r="B171" s="617"/>
      <c r="C171" s="227">
        <v>40000</v>
      </c>
      <c r="D171" s="609">
        <f>+C171</f>
        <v>40000</v>
      </c>
    </row>
    <row r="172" spans="1:19" x14ac:dyDescent="0.35">
      <c r="A172" s="614" t="s">
        <v>1035</v>
      </c>
      <c r="B172" s="617">
        <v>4</v>
      </c>
      <c r="C172" s="227">
        <f>+C168*1.5</f>
        <v>4768.5</v>
      </c>
      <c r="D172" s="609">
        <f>+B172*C172</f>
        <v>19074</v>
      </c>
    </row>
    <row r="173" spans="1:19" x14ac:dyDescent="0.35">
      <c r="A173" s="614" t="s">
        <v>1036</v>
      </c>
      <c r="B173" s="617"/>
      <c r="C173" s="227">
        <f>+C168*2</f>
        <v>6358</v>
      </c>
      <c r="D173" s="609">
        <f>+B173*C173</f>
        <v>0</v>
      </c>
    </row>
    <row r="174" spans="1:19" s="1192" customFormat="1" x14ac:dyDescent="0.35">
      <c r="A174" s="1149" t="s">
        <v>823</v>
      </c>
      <c r="B174" s="1150"/>
      <c r="C174" s="1151"/>
      <c r="D174" s="1210">
        <v>100000</v>
      </c>
      <c r="E174" s="1199"/>
    </row>
    <row r="175" spans="1:19" s="1192" customFormat="1" x14ac:dyDescent="0.35">
      <c r="A175" s="1223" t="s">
        <v>1301</v>
      </c>
      <c r="B175" s="1150">
        <f>14*8</f>
        <v>112</v>
      </c>
      <c r="C175" s="1151">
        <f>856000/2</f>
        <v>428000</v>
      </c>
      <c r="D175" s="1210">
        <f>+C175</f>
        <v>428000</v>
      </c>
      <c r="E175" s="1199"/>
    </row>
    <row r="176" spans="1:19" x14ac:dyDescent="0.35">
      <c r="A176" s="882" t="s">
        <v>389</v>
      </c>
      <c r="B176" s="883"/>
      <c r="C176" s="884"/>
      <c r="D176" s="1058">
        <f>+D168+D169+D170+D171+D172+D173+D174+D175</f>
        <v>1190220</v>
      </c>
    </row>
    <row r="177" spans="1:5" s="1070" customFormat="1" x14ac:dyDescent="0.35">
      <c r="A177" s="739" t="s">
        <v>1306</v>
      </c>
      <c r="B177" s="1215"/>
      <c r="C177" s="1216"/>
      <c r="D177" s="736">
        <v>-200000</v>
      </c>
      <c r="E177" s="1234"/>
    </row>
    <row r="178" spans="1:5" x14ac:dyDescent="0.35">
      <c r="A178" s="1245"/>
      <c r="B178" s="729"/>
      <c r="C178" s="729"/>
      <c r="D178" s="731"/>
    </row>
    <row r="179" spans="1:5" x14ac:dyDescent="0.35">
      <c r="A179" s="1071" t="s">
        <v>11</v>
      </c>
      <c r="B179" s="1074"/>
      <c r="C179" s="1074"/>
      <c r="D179" s="1075">
        <f>+D176+D177+D178</f>
        <v>990220</v>
      </c>
    </row>
  </sheetData>
  <mergeCells count="20">
    <mergeCell ref="A149:D149"/>
    <mergeCell ref="A166:D166"/>
    <mergeCell ref="A84:D84"/>
    <mergeCell ref="A97:C97"/>
    <mergeCell ref="A102:D102"/>
    <mergeCell ref="A112:C112"/>
    <mergeCell ref="A118:D118"/>
    <mergeCell ref="A133:D133"/>
    <mergeCell ref="A81:C81"/>
    <mergeCell ref="A3:D3"/>
    <mergeCell ref="A13:C13"/>
    <mergeCell ref="A16:C16"/>
    <mergeCell ref="A19:D19"/>
    <mergeCell ref="A31:C31"/>
    <mergeCell ref="A36:D36"/>
    <mergeCell ref="A46:C46"/>
    <mergeCell ref="A54:D54"/>
    <mergeCell ref="A64:C64"/>
    <mergeCell ref="A69:D69"/>
    <mergeCell ref="A79:C79"/>
  </mergeCells>
  <pageMargins left="0.31496062992125984" right="0.11811023622047245" top="0" bottom="0" header="0.31496062992125984" footer="0.31496062992125984"/>
  <pageSetup paperSize="9" scale="28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09F0-2AB2-414D-AC63-5A87397E6C78}">
  <sheetPr>
    <pageSetUpPr fitToPage="1"/>
  </sheetPr>
  <dimension ref="A1:S184"/>
  <sheetViews>
    <sheetView topLeftCell="A34" zoomScaleNormal="100" workbookViewId="0">
      <selection activeCell="F42" sqref="F42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46023</v>
      </c>
    </row>
    <row r="3" spans="1:18" ht="25.5" customHeight="1" x14ac:dyDescent="0.35">
      <c r="A3" s="1466" t="s">
        <v>1330</v>
      </c>
      <c r="B3" s="1431"/>
      <c r="C3" s="1431"/>
      <c r="D3" s="1431"/>
    </row>
    <row r="4" spans="1:18" s="1265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>
        <v>88</v>
      </c>
      <c r="C5" s="227">
        <v>4991</v>
      </c>
      <c r="D5" s="598">
        <f>+B5*C5</f>
        <v>439208</v>
      </c>
      <c r="E5" s="553" t="s">
        <v>1153</v>
      </c>
      <c r="Q5" s="1265"/>
    </row>
    <row r="6" spans="1:18" ht="18" customHeight="1" x14ac:dyDescent="0.35">
      <c r="A6" s="772" t="s">
        <v>403</v>
      </c>
      <c r="B6" s="258">
        <v>8</v>
      </c>
      <c r="C6" s="227">
        <f>+C5</f>
        <v>4991</v>
      </c>
      <c r="D6" s="598">
        <f>+B6*C6</f>
        <v>39928</v>
      </c>
      <c r="F6" s="176"/>
      <c r="Q6" s="774"/>
    </row>
    <row r="7" spans="1:18" ht="18" customHeight="1" x14ac:dyDescent="0.35">
      <c r="A7" s="772" t="s">
        <v>1343</v>
      </c>
      <c r="B7" s="258">
        <f>15*8</f>
        <v>120</v>
      </c>
      <c r="C7" s="227">
        <f>+C5</f>
        <v>4991</v>
      </c>
      <c r="D7" s="598">
        <f>+B7*C7</f>
        <v>598920</v>
      </c>
      <c r="F7" s="176"/>
      <c r="Q7" s="774"/>
    </row>
    <row r="8" spans="1:18" ht="18" customHeight="1" x14ac:dyDescent="0.35">
      <c r="A8" s="772" t="s">
        <v>196</v>
      </c>
      <c r="B8" s="258"/>
      <c r="C8" s="227">
        <v>50000</v>
      </c>
      <c r="D8" s="598">
        <v>50000</v>
      </c>
      <c r="F8" s="176"/>
    </row>
    <row r="9" spans="1:18" ht="18" customHeight="1" x14ac:dyDescent="0.35">
      <c r="A9" s="772" t="s">
        <v>6</v>
      </c>
      <c r="B9" s="258"/>
      <c r="C9" s="227">
        <v>100000</v>
      </c>
      <c r="D9" s="598">
        <v>100000</v>
      </c>
      <c r="F9" s="176"/>
    </row>
    <row r="10" spans="1:18" ht="18" customHeight="1" x14ac:dyDescent="0.35">
      <c r="A10" s="772" t="s">
        <v>467</v>
      </c>
      <c r="B10" s="258"/>
      <c r="C10" s="194">
        <f>+C5*1.5</f>
        <v>7486.5</v>
      </c>
      <c r="D10" s="598">
        <f>+B10*C10</f>
        <v>0</v>
      </c>
      <c r="F10" s="176"/>
    </row>
    <row r="11" spans="1:18" ht="18" customHeight="1" x14ac:dyDescent="0.35">
      <c r="A11" s="772" t="s">
        <v>281</v>
      </c>
      <c r="B11" s="258"/>
      <c r="C11" s="194">
        <f>+C5*2</f>
        <v>9982</v>
      </c>
      <c r="D11" s="598">
        <f>+B11*C11</f>
        <v>0</v>
      </c>
      <c r="F11" s="176"/>
    </row>
    <row r="12" spans="1:18" s="1192" customFormat="1" ht="18" customHeight="1" x14ac:dyDescent="0.35">
      <c r="A12" s="1149" t="s">
        <v>823</v>
      </c>
      <c r="B12" s="1150"/>
      <c r="C12" s="1151"/>
      <c r="D12" s="1152">
        <v>150000</v>
      </c>
      <c r="E12" s="1199"/>
      <c r="F12" s="1191"/>
      <c r="R12" s="1193"/>
    </row>
    <row r="13" spans="1:18" s="1192" customFormat="1" ht="18" customHeight="1" x14ac:dyDescent="0.35">
      <c r="A13" s="1149"/>
      <c r="B13" s="1150"/>
      <c r="C13" s="1151"/>
      <c r="D13" s="1152"/>
      <c r="E13" s="1199"/>
      <c r="F13" s="1191"/>
      <c r="R13" s="1193"/>
    </row>
    <row r="14" spans="1:18" ht="18" customHeight="1" x14ac:dyDescent="0.35">
      <c r="A14" s="1470" t="s">
        <v>389</v>
      </c>
      <c r="B14" s="1470"/>
      <c r="C14" s="1470"/>
      <c r="D14" s="599">
        <f>+D5+D6+D7+D8+D9+D10+D11+D12+D13</f>
        <v>1378056</v>
      </c>
      <c r="F14" s="248"/>
      <c r="G14" s="248"/>
      <c r="H14" s="248"/>
      <c r="I14" s="248"/>
      <c r="J14" s="248"/>
      <c r="K14" s="248"/>
      <c r="L14" s="248"/>
      <c r="M14" s="248"/>
      <c r="O14" s="1265"/>
    </row>
    <row r="15" spans="1:18" ht="18" customHeight="1" x14ac:dyDescent="0.35">
      <c r="A15" s="800" t="s">
        <v>1331</v>
      </c>
      <c r="B15" s="720"/>
      <c r="C15" s="720"/>
      <c r="D15" s="722">
        <v>-637250.88</v>
      </c>
      <c r="F15" s="248"/>
      <c r="G15" s="248"/>
      <c r="H15" s="248"/>
      <c r="I15" s="248"/>
      <c r="J15" s="248"/>
      <c r="K15" s="248"/>
      <c r="L15" s="248"/>
      <c r="M15" s="248"/>
      <c r="O15" s="1265"/>
    </row>
    <row r="16" spans="1:18" ht="18" customHeight="1" x14ac:dyDescent="0.35">
      <c r="A16" s="1141" t="s">
        <v>1332</v>
      </c>
      <c r="B16" s="721"/>
      <c r="C16" s="905"/>
      <c r="D16" s="722">
        <v>-627230.06000000006</v>
      </c>
      <c r="F16" s="248"/>
      <c r="G16" s="248"/>
      <c r="H16" s="248"/>
      <c r="I16" s="248"/>
      <c r="J16" s="248"/>
      <c r="K16" s="248"/>
      <c r="L16" s="248"/>
      <c r="M16" s="248"/>
      <c r="O16" s="1265"/>
    </row>
    <row r="17" spans="1:19" ht="18" customHeight="1" x14ac:dyDescent="0.35">
      <c r="A17" s="1433" t="s">
        <v>11</v>
      </c>
      <c r="B17" s="1433"/>
      <c r="C17" s="1433"/>
      <c r="D17" s="603">
        <f>+D14+D15+D16</f>
        <v>113575.05999999994</v>
      </c>
      <c r="F17" s="321"/>
      <c r="G17" s="321"/>
      <c r="H17" s="473"/>
      <c r="I17" s="321"/>
      <c r="J17" s="321"/>
      <c r="Q17" s="1265"/>
    </row>
    <row r="18" spans="1:19" ht="18" customHeight="1" x14ac:dyDescent="0.35">
      <c r="A18" s="1053"/>
      <c r="B18" s="1054"/>
      <c r="C18" s="1054"/>
      <c r="D18" s="1055"/>
      <c r="F18" s="321"/>
      <c r="G18" s="321"/>
      <c r="H18" s="473"/>
      <c r="I18" s="321"/>
      <c r="J18" s="321"/>
      <c r="Q18" s="1265"/>
    </row>
    <row r="19" spans="1:19" s="908" customFormat="1" ht="18" customHeight="1" x14ac:dyDescent="0.35">
      <c r="A19" s="689"/>
      <c r="B19" s="689"/>
      <c r="C19" s="689"/>
      <c r="D19" s="688"/>
      <c r="E19" s="768"/>
      <c r="I19" s="910"/>
      <c r="J19" s="911"/>
      <c r="K19" s="912"/>
      <c r="L19" s="912"/>
      <c r="M19" s="910"/>
      <c r="N19" s="910"/>
      <c r="O19" s="910"/>
      <c r="P19" s="764"/>
      <c r="S19" s="764"/>
    </row>
    <row r="20" spans="1:19" ht="18" customHeight="1" x14ac:dyDescent="0.45">
      <c r="A20" s="1450" t="s">
        <v>1333</v>
      </c>
      <c r="B20" s="1451"/>
      <c r="C20" s="1451"/>
      <c r="D20" s="1452"/>
      <c r="E20" s="796"/>
      <c r="J20" s="185"/>
      <c r="K20" s="181"/>
      <c r="L20" s="181"/>
      <c r="M20" s="181"/>
      <c r="N20" s="181"/>
    </row>
    <row r="21" spans="1:19" ht="18" customHeight="1" x14ac:dyDescent="0.35">
      <c r="A21" s="604" t="s">
        <v>7</v>
      </c>
      <c r="B21" s="605" t="s">
        <v>8</v>
      </c>
      <c r="C21" s="606" t="s">
        <v>4</v>
      </c>
      <c r="D21" s="606" t="s">
        <v>9</v>
      </c>
      <c r="J21" s="185"/>
      <c r="K21" s="181"/>
      <c r="L21" s="181"/>
      <c r="M21" s="184"/>
    </row>
    <row r="22" spans="1:19" ht="18" customHeight="1" x14ac:dyDescent="0.35">
      <c r="A22" s="607" t="s">
        <v>3</v>
      </c>
      <c r="B22" s="267">
        <v>176</v>
      </c>
      <c r="C22" s="211">
        <v>4775</v>
      </c>
      <c r="D22" s="211">
        <f>+B22*C22</f>
        <v>840400</v>
      </c>
      <c r="E22" s="553" t="s">
        <v>1153</v>
      </c>
      <c r="J22" s="182"/>
    </row>
    <row r="23" spans="1:19" ht="18" customHeight="1" x14ac:dyDescent="0.35">
      <c r="A23" s="607" t="s">
        <v>394</v>
      </c>
      <c r="B23" s="267">
        <v>8</v>
      </c>
      <c r="C23" s="211">
        <f>+C22</f>
        <v>4775</v>
      </c>
      <c r="D23" s="211">
        <f>+B23*C23</f>
        <v>38200</v>
      </c>
      <c r="J23" s="182"/>
    </row>
    <row r="24" spans="1:19" ht="18" customHeight="1" x14ac:dyDescent="0.35">
      <c r="A24" s="607" t="s">
        <v>1236</v>
      </c>
      <c r="B24" s="267">
        <v>0</v>
      </c>
      <c r="C24" s="211">
        <f>+C22</f>
        <v>4775</v>
      </c>
      <c r="D24" s="211">
        <f>+B24*C24</f>
        <v>0</v>
      </c>
      <c r="J24" s="182"/>
    </row>
    <row r="25" spans="1:19" ht="18" customHeight="1" x14ac:dyDescent="0.35">
      <c r="A25" s="772" t="s">
        <v>196</v>
      </c>
      <c r="B25" s="267"/>
      <c r="C25" s="211">
        <v>50000</v>
      </c>
      <c r="D25" s="211">
        <f>+C25</f>
        <v>50000</v>
      </c>
      <c r="I25" s="1265"/>
    </row>
    <row r="26" spans="1:19" ht="18" customHeight="1" x14ac:dyDescent="0.35">
      <c r="A26" s="772" t="s">
        <v>6</v>
      </c>
      <c r="B26" s="267"/>
      <c r="C26" s="211">
        <v>100000</v>
      </c>
      <c r="D26" s="211">
        <f>+C26</f>
        <v>100000</v>
      </c>
      <c r="I26" s="1265"/>
    </row>
    <row r="27" spans="1:19" ht="18" customHeight="1" x14ac:dyDescent="0.35">
      <c r="A27" s="772" t="s">
        <v>1028</v>
      </c>
      <c r="B27" s="267">
        <v>2</v>
      </c>
      <c r="C27" s="211">
        <f>+C22*1.5</f>
        <v>7162.5</v>
      </c>
      <c r="D27" s="211">
        <f>B27*C27</f>
        <v>14325</v>
      </c>
      <c r="E27" s="1025"/>
      <c r="F27" s="181"/>
      <c r="G27" s="187"/>
      <c r="H27" s="188"/>
      <c r="I27" s="1265"/>
      <c r="L27" s="1265"/>
    </row>
    <row r="28" spans="1:19" ht="18" customHeight="1" x14ac:dyDescent="0.35">
      <c r="A28" s="772" t="s">
        <v>281</v>
      </c>
      <c r="B28" s="267"/>
      <c r="C28" s="211">
        <f>+C22*2</f>
        <v>9550</v>
      </c>
      <c r="D28" s="211">
        <f>+B28*C28</f>
        <v>0</v>
      </c>
      <c r="E28" s="1025"/>
      <c r="F28" s="181"/>
      <c r="G28" s="187"/>
      <c r="H28" s="188"/>
      <c r="I28" s="1265"/>
      <c r="L28" s="1265"/>
    </row>
    <row r="29" spans="1:19" s="1192" customFormat="1" ht="18" customHeight="1" x14ac:dyDescent="0.35">
      <c r="A29" s="1149" t="s">
        <v>1040</v>
      </c>
      <c r="B29" s="1196"/>
      <c r="C29" s="1197"/>
      <c r="D29" s="1197">
        <v>250000</v>
      </c>
      <c r="E29" s="1233"/>
      <c r="F29" s="1198"/>
      <c r="G29" s="1195"/>
      <c r="H29" s="1195"/>
      <c r="I29" s="1193"/>
      <c r="L29" s="1193"/>
    </row>
    <row r="30" spans="1:19" s="1192" customFormat="1" ht="18" customHeight="1" x14ac:dyDescent="0.35">
      <c r="A30" s="1149"/>
      <c r="B30" s="1196"/>
      <c r="C30" s="1197"/>
      <c r="D30" s="1197"/>
      <c r="E30" s="1233"/>
      <c r="F30" s="1198"/>
      <c r="G30" s="1195"/>
      <c r="H30" s="1195"/>
      <c r="I30" s="1193"/>
      <c r="L30" s="1193"/>
    </row>
    <row r="31" spans="1:19" s="1265" customFormat="1" ht="18" customHeight="1" x14ac:dyDescent="0.35">
      <c r="A31" s="1459" t="s">
        <v>389</v>
      </c>
      <c r="B31" s="1459"/>
      <c r="C31" s="1459"/>
      <c r="D31" s="599">
        <f>+D22+D23+D24+D25+D26+D27+D28+D29+D30</f>
        <v>1292925</v>
      </c>
      <c r="E31" s="553"/>
      <c r="F31" s="181"/>
      <c r="G31" s="181"/>
      <c r="H31" s="184"/>
      <c r="I31" s="771"/>
      <c r="K31" s="771"/>
      <c r="L31" s="771"/>
    </row>
    <row r="32" spans="1:19" s="47" customFormat="1" ht="18" customHeight="1" x14ac:dyDescent="0.35">
      <c r="A32" s="723" t="s">
        <v>1315</v>
      </c>
      <c r="B32" s="723"/>
      <c r="C32" s="1267"/>
      <c r="D32" s="722">
        <v>-315000</v>
      </c>
      <c r="E32" s="1234"/>
      <c r="F32" s="1268"/>
      <c r="G32" s="1268"/>
      <c r="H32" s="1269"/>
      <c r="I32" s="114"/>
      <c r="K32" s="114"/>
      <c r="L32" s="114"/>
    </row>
    <row r="33" spans="1:17" s="1265" customFormat="1" ht="18" customHeight="1" x14ac:dyDescent="0.35">
      <c r="A33" s="825" t="s">
        <v>1338</v>
      </c>
      <c r="B33" s="824"/>
      <c r="C33" s="823"/>
      <c r="D33" s="930">
        <v>-400000</v>
      </c>
      <c r="E33" s="553"/>
      <c r="F33" s="181"/>
      <c r="G33" s="181"/>
      <c r="H33" s="184"/>
      <c r="I33" s="771"/>
      <c r="K33" s="771"/>
      <c r="L33" s="771"/>
    </row>
    <row r="34" spans="1:17" ht="18" customHeight="1" x14ac:dyDescent="0.35">
      <c r="A34" s="786" t="s">
        <v>11</v>
      </c>
      <c r="B34" s="783"/>
      <c r="C34" s="783"/>
      <c r="D34" s="784">
        <f>+D31+D32+D33</f>
        <v>577925</v>
      </c>
      <c r="F34" s="181"/>
      <c r="G34" s="181"/>
      <c r="H34" s="184"/>
    </row>
    <row r="35" spans="1:17" ht="18" customHeight="1" x14ac:dyDescent="0.35">
      <c r="A35" s="1047"/>
      <c r="B35" s="594"/>
      <c r="C35" s="594"/>
      <c r="D35" s="595"/>
      <c r="F35" s="181"/>
      <c r="G35" s="181"/>
      <c r="H35" s="184"/>
    </row>
    <row r="36" spans="1:17" ht="18" customHeight="1" x14ac:dyDescent="0.35">
      <c r="A36" s="594"/>
      <c r="B36" s="594"/>
      <c r="C36" s="594"/>
      <c r="D36" s="595"/>
      <c r="F36" s="181"/>
      <c r="G36" s="181"/>
      <c r="H36" s="184"/>
    </row>
    <row r="37" spans="1:17" ht="18" customHeight="1" x14ac:dyDescent="0.35">
      <c r="A37" s="1431" t="s">
        <v>1334</v>
      </c>
      <c r="B37" s="1431"/>
      <c r="C37" s="1431"/>
      <c r="D37" s="1431"/>
      <c r="F37" s="181"/>
      <c r="G37" s="181"/>
      <c r="H37" s="184"/>
    </row>
    <row r="38" spans="1:17" ht="18" customHeight="1" x14ac:dyDescent="0.35">
      <c r="A38" s="2"/>
      <c r="B38" s="270" t="s">
        <v>8</v>
      </c>
      <c r="C38" s="217" t="s">
        <v>4</v>
      </c>
      <c r="D38" s="597" t="s">
        <v>9</v>
      </c>
      <c r="F38" s="181"/>
      <c r="G38" s="181"/>
      <c r="H38" s="184"/>
    </row>
    <row r="39" spans="1:17" ht="18" customHeight="1" x14ac:dyDescent="0.35">
      <c r="A39" s="772" t="s">
        <v>253</v>
      </c>
      <c r="B39" s="258">
        <v>176</v>
      </c>
      <c r="C39" s="194">
        <v>5967</v>
      </c>
      <c r="D39" s="598">
        <f>+B39*C39</f>
        <v>1050192</v>
      </c>
      <c r="F39" s="181"/>
      <c r="G39" s="181"/>
      <c r="H39" s="184"/>
    </row>
    <row r="40" spans="1:17" ht="18" customHeight="1" x14ac:dyDescent="0.35">
      <c r="A40" s="772" t="s">
        <v>394</v>
      </c>
      <c r="B40" s="258">
        <v>8</v>
      </c>
      <c r="C40" s="194">
        <f>+C39</f>
        <v>5967</v>
      </c>
      <c r="D40" s="598">
        <f>+B40*C40</f>
        <v>47736</v>
      </c>
      <c r="F40" s="181"/>
      <c r="G40" s="181"/>
      <c r="H40" s="184"/>
    </row>
    <row r="41" spans="1:17" ht="18" customHeight="1" x14ac:dyDescent="0.35">
      <c r="A41" s="772" t="s">
        <v>1244</v>
      </c>
      <c r="B41" s="258">
        <v>8</v>
      </c>
      <c r="C41" s="194">
        <f>+C39</f>
        <v>5967</v>
      </c>
      <c r="D41" s="598">
        <f>+B41*C41</f>
        <v>47736</v>
      </c>
      <c r="F41" s="181"/>
      <c r="G41" s="181"/>
      <c r="H41" s="184"/>
    </row>
    <row r="42" spans="1:17" ht="15" customHeight="1" x14ac:dyDescent="0.35">
      <c r="A42" s="772" t="s">
        <v>196</v>
      </c>
      <c r="B42" s="258"/>
      <c r="C42" s="194">
        <v>50000</v>
      </c>
      <c r="D42" s="598">
        <f>+C42</f>
        <v>50000</v>
      </c>
      <c r="F42" s="181"/>
      <c r="G42" s="181"/>
      <c r="H42" s="184"/>
      <c r="I42" s="1265"/>
    </row>
    <row r="43" spans="1:17" ht="15" customHeight="1" x14ac:dyDescent="0.35">
      <c r="A43" s="772" t="s">
        <v>6</v>
      </c>
      <c r="B43" s="258"/>
      <c r="C43" s="194">
        <v>100000</v>
      </c>
      <c r="D43" s="598">
        <f>+C43</f>
        <v>100000</v>
      </c>
      <c r="F43" s="181"/>
      <c r="G43" s="181"/>
      <c r="H43" s="184"/>
      <c r="I43" s="1265"/>
    </row>
    <row r="44" spans="1:17" ht="15" customHeight="1" x14ac:dyDescent="0.35">
      <c r="A44" s="772" t="s">
        <v>1029</v>
      </c>
      <c r="B44" s="315">
        <v>3</v>
      </c>
      <c r="C44" s="194">
        <f>+C39*1.5</f>
        <v>8950.5</v>
      </c>
      <c r="D44" s="598">
        <f>+B44*C44</f>
        <v>26851.5</v>
      </c>
      <c r="F44" s="181"/>
      <c r="G44" s="181"/>
      <c r="H44" s="184"/>
      <c r="I44" s="1265"/>
    </row>
    <row r="45" spans="1:17" ht="15" customHeight="1" x14ac:dyDescent="0.35">
      <c r="A45" s="772" t="s">
        <v>449</v>
      </c>
      <c r="B45" s="315"/>
      <c r="C45" s="194">
        <f>+C39*2</f>
        <v>11934</v>
      </c>
      <c r="D45" s="598">
        <f>+B45*C45</f>
        <v>0</v>
      </c>
      <c r="F45" s="181"/>
      <c r="G45" s="416"/>
      <c r="H45" s="184"/>
      <c r="I45" s="1265"/>
    </row>
    <row r="46" spans="1:17" s="1192" customFormat="1" ht="15" customHeight="1" x14ac:dyDescent="0.35">
      <c r="A46" s="1149" t="s">
        <v>1040</v>
      </c>
      <c r="B46" s="1232"/>
      <c r="C46" s="1151"/>
      <c r="D46" s="1152">
        <v>250000</v>
      </c>
      <c r="E46" s="1199"/>
      <c r="F46" s="1198"/>
      <c r="G46" s="1203"/>
      <c r="H46" s="1198"/>
      <c r="I46" s="1193"/>
    </row>
    <row r="47" spans="1:17" s="1192" customFormat="1" ht="15" customHeight="1" x14ac:dyDescent="0.35">
      <c r="A47" s="1149"/>
      <c r="B47" s="1232"/>
      <c r="C47" s="1151"/>
      <c r="D47" s="1152"/>
      <c r="E47" s="1199"/>
      <c r="F47" s="1198"/>
      <c r="G47" s="1203"/>
      <c r="H47" s="1198"/>
      <c r="I47" s="1193"/>
    </row>
    <row r="48" spans="1:17" ht="15" customHeight="1" x14ac:dyDescent="0.35">
      <c r="A48" s="1459" t="s">
        <v>389</v>
      </c>
      <c r="B48" s="1459"/>
      <c r="C48" s="1459"/>
      <c r="D48" s="599">
        <f>+D39+D40+D41+D42+D43+D44+D45+D46+D47</f>
        <v>1572515.5</v>
      </c>
      <c r="J48" s="176"/>
      <c r="K48" s="176"/>
      <c r="L48" s="176"/>
      <c r="M48" s="181"/>
      <c r="N48" s="181"/>
      <c r="O48" s="184"/>
      <c r="Q48" s="1265"/>
    </row>
    <row r="49" spans="1:19" s="1265" customFormat="1" ht="15" customHeight="1" x14ac:dyDescent="0.35">
      <c r="A49" s="921" t="str">
        <f>A15</f>
        <v>DEPOSITO P/BCO. (1er.QUINC.01/26)</v>
      </c>
      <c r="B49" s="727" t="s">
        <v>63</v>
      </c>
      <c r="C49" s="727" t="s">
        <v>63</v>
      </c>
      <c r="D49" s="722">
        <v>-621454.05000000005</v>
      </c>
      <c r="E49" s="1025"/>
      <c r="F49" s="774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265" customFormat="1" ht="15" customHeight="1" x14ac:dyDescent="0.35">
      <c r="A50" s="921" t="str">
        <f t="shared" ref="A50" si="0">A16</f>
        <v>DEPOSITO P/BCO. (2da.QUINC.01/26)</v>
      </c>
      <c r="B50" s="727"/>
      <c r="C50" s="727"/>
      <c r="D50" s="722">
        <v>-627230.06000000006</v>
      </c>
      <c r="E50" s="1025"/>
      <c r="F50" s="774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s="1265" customFormat="1" ht="15" customHeight="1" x14ac:dyDescent="0.35">
      <c r="A51" s="1103" t="s">
        <v>11</v>
      </c>
      <c r="B51" s="1104"/>
      <c r="C51" s="1231"/>
      <c r="D51" s="675">
        <f>+D48+D49+D50</f>
        <v>323831.3899999999</v>
      </c>
      <c r="E51" s="1025"/>
      <c r="F51" s="771"/>
      <c r="G51" s="771"/>
      <c r="H51" s="771"/>
      <c r="I51" s="771"/>
      <c r="J51" s="176"/>
      <c r="K51" s="176"/>
      <c r="L51" s="176"/>
      <c r="M51" s="176"/>
      <c r="N51" s="176"/>
      <c r="O51" s="176"/>
      <c r="P51" s="771"/>
      <c r="Q51" s="771"/>
      <c r="R51" s="771"/>
      <c r="S51" s="771"/>
    </row>
    <row r="52" spans="1:19" s="1265" customFormat="1" ht="15" customHeight="1" x14ac:dyDescent="0.35">
      <c r="A52" s="1224" t="s">
        <v>1149</v>
      </c>
      <c r="B52" s="1225"/>
      <c r="C52" s="1226"/>
      <c r="D52" s="844">
        <v>250000</v>
      </c>
      <c r="E52" s="1025"/>
      <c r="F52" s="771"/>
      <c r="G52" s="771"/>
      <c r="H52" s="771"/>
      <c r="I52" s="771"/>
      <c r="J52" s="176"/>
      <c r="K52" s="176"/>
      <c r="L52" s="176"/>
      <c r="M52" s="176"/>
      <c r="N52" s="176"/>
      <c r="O52" s="176"/>
      <c r="P52" s="771"/>
      <c r="Q52" s="771"/>
      <c r="R52" s="771"/>
      <c r="S52" s="771"/>
    </row>
    <row r="53" spans="1:19" ht="15" customHeight="1" x14ac:dyDescent="0.35">
      <c r="A53" s="1229" t="s">
        <v>1349</v>
      </c>
      <c r="B53" s="1229"/>
      <c r="C53" s="1229"/>
      <c r="D53" s="1230">
        <f>+D51+D52</f>
        <v>573831.3899999999</v>
      </c>
      <c r="K53" s="183"/>
      <c r="L53" s="183"/>
      <c r="M53" s="176"/>
      <c r="N53" s="176"/>
      <c r="O53" s="176"/>
      <c r="Q53" s="1265"/>
    </row>
    <row r="54" spans="1:19" ht="15" customHeight="1" x14ac:dyDescent="0.35">
      <c r="A54" s="1247"/>
      <c r="B54" s="1248"/>
      <c r="C54" s="1248"/>
      <c r="D54" s="1249"/>
      <c r="K54" s="183"/>
      <c r="L54" s="183"/>
      <c r="M54" s="176"/>
      <c r="N54" s="176"/>
      <c r="O54" s="176"/>
      <c r="Q54" s="1265"/>
    </row>
    <row r="55" spans="1:19" s="4" customFormat="1" ht="15" customHeight="1" x14ac:dyDescent="0.35">
      <c r="A55" s="95"/>
      <c r="E55" s="1250"/>
      <c r="K55" s="183"/>
      <c r="L55" s="183"/>
      <c r="M55" s="176"/>
      <c r="N55" s="176"/>
      <c r="O55" s="176"/>
      <c r="Q55" s="1251"/>
    </row>
    <row r="56" spans="1:19" ht="15" customHeight="1" x14ac:dyDescent="0.35">
      <c r="A56" s="1431" t="s">
        <v>1335</v>
      </c>
      <c r="B56" s="1431"/>
      <c r="C56" s="1431"/>
      <c r="D56" s="1431"/>
      <c r="S56" s="1265"/>
    </row>
    <row r="57" spans="1:19" x14ac:dyDescent="0.35">
      <c r="A57" s="2" t="s">
        <v>7</v>
      </c>
      <c r="B57" s="270" t="s">
        <v>8</v>
      </c>
      <c r="C57" s="217" t="s">
        <v>4</v>
      </c>
      <c r="D57" s="597" t="s">
        <v>9</v>
      </c>
    </row>
    <row r="58" spans="1:19" x14ac:dyDescent="0.35">
      <c r="A58" s="772" t="s">
        <v>253</v>
      </c>
      <c r="B58" s="258">
        <v>132</v>
      </c>
      <c r="C58" s="227">
        <v>4124</v>
      </c>
      <c r="D58" s="598">
        <f>+B58*C58</f>
        <v>544368</v>
      </c>
      <c r="E58" s="553" t="s">
        <v>1153</v>
      </c>
    </row>
    <row r="59" spans="1:19" x14ac:dyDescent="0.35">
      <c r="A59" s="772" t="s">
        <v>394</v>
      </c>
      <c r="B59" s="258">
        <v>8</v>
      </c>
      <c r="C59" s="227">
        <f>+C58</f>
        <v>4124</v>
      </c>
      <c r="D59" s="598">
        <f>+B59*C59</f>
        <v>32992</v>
      </c>
    </row>
    <row r="60" spans="1:19" x14ac:dyDescent="0.35">
      <c r="A60" s="772" t="s">
        <v>1344</v>
      </c>
      <c r="B60" s="258">
        <f>10*8</f>
        <v>80</v>
      </c>
      <c r="C60" s="227">
        <f>+C58</f>
        <v>4124</v>
      </c>
      <c r="D60" s="598">
        <f>+B60*C60</f>
        <v>329920</v>
      </c>
    </row>
    <row r="61" spans="1:19" x14ac:dyDescent="0.35">
      <c r="A61" s="772" t="s">
        <v>266</v>
      </c>
      <c r="B61" s="258"/>
      <c r="C61" s="227">
        <v>50000</v>
      </c>
      <c r="D61" s="598">
        <f>+C61</f>
        <v>50000</v>
      </c>
    </row>
    <row r="62" spans="1:19" x14ac:dyDescent="0.35">
      <c r="A62" s="772" t="s">
        <v>6</v>
      </c>
      <c r="B62" s="258"/>
      <c r="C62" s="227">
        <v>100000</v>
      </c>
      <c r="D62" s="598">
        <f>+C62</f>
        <v>100000</v>
      </c>
    </row>
    <row r="63" spans="1:19" x14ac:dyDescent="0.35">
      <c r="A63" s="772" t="s">
        <v>1030</v>
      </c>
      <c r="B63" s="258">
        <v>0.5</v>
      </c>
      <c r="C63" s="194">
        <f>+C58*1.5</f>
        <v>6186</v>
      </c>
      <c r="D63" s="598">
        <f>+B63*C63</f>
        <v>3093</v>
      </c>
    </row>
    <row r="64" spans="1:19" x14ac:dyDescent="0.35">
      <c r="A64" s="772" t="s">
        <v>449</v>
      </c>
      <c r="B64" s="258"/>
      <c r="C64" s="194">
        <f>+C58*2</f>
        <v>8248</v>
      </c>
      <c r="D64" s="598">
        <f>+B64*C64</f>
        <v>0</v>
      </c>
    </row>
    <row r="65" spans="1:6" s="1192" customFormat="1" x14ac:dyDescent="0.35">
      <c r="A65" s="1149" t="s">
        <v>823</v>
      </c>
      <c r="B65" s="1150"/>
      <c r="C65" s="1151"/>
      <c r="D65" s="1152">
        <v>250000</v>
      </c>
      <c r="E65" s="1199"/>
    </row>
    <row r="66" spans="1:6" s="1192" customFormat="1" x14ac:dyDescent="0.35">
      <c r="A66" s="1149"/>
      <c r="B66" s="1150"/>
      <c r="C66" s="1151"/>
      <c r="D66" s="1152"/>
      <c r="E66" s="1199"/>
    </row>
    <row r="67" spans="1:6" x14ac:dyDescent="0.35">
      <c r="A67" s="1459" t="s">
        <v>389</v>
      </c>
      <c r="B67" s="1459"/>
      <c r="C67" s="1459"/>
      <c r="D67" s="599">
        <f>+D58+D59+D60+D61+D62+D63+D64+D65+D66</f>
        <v>1310373</v>
      </c>
      <c r="F67" s="774"/>
    </row>
    <row r="68" spans="1:6" x14ac:dyDescent="0.35">
      <c r="A68" s="904" t="s">
        <v>19</v>
      </c>
      <c r="B68" s="922"/>
      <c r="C68" s="720"/>
      <c r="D68" s="722"/>
    </row>
    <row r="69" spans="1:6" x14ac:dyDescent="0.35">
      <c r="A69" s="129" t="s">
        <v>11</v>
      </c>
      <c r="B69" s="1103"/>
      <c r="C69" s="197"/>
      <c r="D69" s="675">
        <f>+D67+D68</f>
        <v>1310373</v>
      </c>
    </row>
    <row r="70" spans="1:6" x14ac:dyDescent="0.35">
      <c r="B70" s="771"/>
      <c r="C70" s="771"/>
      <c r="D70" s="771"/>
    </row>
    <row r="72" spans="1:6" ht="14.5" customHeight="1" x14ac:dyDescent="0.35">
      <c r="A72" s="1431" t="s">
        <v>1336</v>
      </c>
      <c r="B72" s="1431"/>
      <c r="C72" s="1431"/>
      <c r="D72" s="1431"/>
    </row>
    <row r="73" spans="1:6" ht="14.5" customHeight="1" x14ac:dyDescent="0.35">
      <c r="A73" s="2" t="s">
        <v>7</v>
      </c>
      <c r="B73" s="270" t="s">
        <v>8</v>
      </c>
      <c r="C73" s="217" t="s">
        <v>4</v>
      </c>
      <c r="D73" s="597" t="s">
        <v>63</v>
      </c>
    </row>
    <row r="74" spans="1:6" ht="14.5" customHeight="1" x14ac:dyDescent="0.35">
      <c r="A74" s="772" t="s">
        <v>3</v>
      </c>
      <c r="B74" s="258">
        <v>132</v>
      </c>
      <c r="C74" s="227">
        <v>3818</v>
      </c>
      <c r="D74" s="598">
        <f>+B74*C74</f>
        <v>503976</v>
      </c>
      <c r="E74" s="1254" t="s">
        <v>1153</v>
      </c>
    </row>
    <row r="75" spans="1:6" ht="14.5" customHeight="1" x14ac:dyDescent="0.35">
      <c r="A75" s="772" t="s">
        <v>1277</v>
      </c>
      <c r="B75" s="258"/>
      <c r="C75" s="227">
        <f>+C74</f>
        <v>3818</v>
      </c>
      <c r="D75" s="598">
        <f>+B75*C75</f>
        <v>0</v>
      </c>
      <c r="E75" s="1254"/>
    </row>
    <row r="76" spans="1:6" x14ac:dyDescent="0.35">
      <c r="A76" s="772" t="s">
        <v>266</v>
      </c>
      <c r="B76" s="258"/>
      <c r="C76" s="227">
        <v>50000</v>
      </c>
      <c r="D76" s="598">
        <f>+C76</f>
        <v>50000</v>
      </c>
    </row>
    <row r="77" spans="1:6" x14ac:dyDescent="0.35">
      <c r="A77" s="772" t="s">
        <v>6</v>
      </c>
      <c r="B77" s="258"/>
      <c r="C77" s="227">
        <v>100000</v>
      </c>
      <c r="D77" s="598">
        <v>100000</v>
      </c>
    </row>
    <row r="78" spans="1:6" s="1069" customFormat="1" x14ac:dyDescent="0.35">
      <c r="A78" s="614" t="s">
        <v>270</v>
      </c>
      <c r="B78" s="617">
        <v>2.5</v>
      </c>
      <c r="C78" s="227">
        <f>+C74*1.5</f>
        <v>5727</v>
      </c>
      <c r="D78" s="598">
        <f>+B78*C78</f>
        <v>14317.5</v>
      </c>
      <c r="E78" s="553"/>
    </row>
    <row r="79" spans="1:6" x14ac:dyDescent="0.35">
      <c r="A79" s="772" t="s">
        <v>281</v>
      </c>
      <c r="B79" s="258"/>
      <c r="C79" s="227">
        <f>+C74*2</f>
        <v>7636</v>
      </c>
      <c r="D79" s="598">
        <f>+B79*C79</f>
        <v>0</v>
      </c>
    </row>
    <row r="80" spans="1:6" s="1192" customFormat="1" x14ac:dyDescent="0.35">
      <c r="A80" s="1149" t="s">
        <v>1040</v>
      </c>
      <c r="B80" s="1150"/>
      <c r="C80" s="1151"/>
      <c r="D80" s="1152">
        <v>130000</v>
      </c>
      <c r="E80" s="1199"/>
    </row>
    <row r="81" spans="1:6" s="1192" customFormat="1" x14ac:dyDescent="0.35">
      <c r="A81" s="1149"/>
      <c r="B81" s="1150"/>
      <c r="C81" s="1151"/>
      <c r="D81" s="1152"/>
      <c r="E81" s="1199"/>
    </row>
    <row r="82" spans="1:6" x14ac:dyDescent="0.35">
      <c r="A82" s="1459" t="s">
        <v>389</v>
      </c>
      <c r="B82" s="1459"/>
      <c r="C82" s="1459"/>
      <c r="D82" s="599">
        <f>+D74+D75+D76+D77+D78+D79+D80+D81</f>
        <v>798293.5</v>
      </c>
      <c r="F82" s="774"/>
    </row>
    <row r="83" spans="1:6" x14ac:dyDescent="0.35">
      <c r="A83" s="723" t="s">
        <v>1345</v>
      </c>
      <c r="B83" s="721"/>
      <c r="C83" s="721"/>
      <c r="D83" s="722">
        <v>-170000</v>
      </c>
    </row>
    <row r="84" spans="1:6" ht="15.5" x14ac:dyDescent="0.35">
      <c r="A84" s="1471" t="s">
        <v>11</v>
      </c>
      <c r="B84" s="1471"/>
      <c r="C84" s="1471"/>
      <c r="D84" s="603">
        <f>+D82+D83</f>
        <v>628293.5</v>
      </c>
    </row>
    <row r="85" spans="1:6" s="90" customFormat="1" x14ac:dyDescent="0.35">
      <c r="A85" s="1035"/>
      <c r="B85" s="1042"/>
      <c r="C85" s="553"/>
      <c r="D85" s="1051"/>
      <c r="E85" s="553"/>
    </row>
    <row r="87" spans="1:6" ht="23.5" x14ac:dyDescent="0.35">
      <c r="A87" s="1431" t="s">
        <v>1337</v>
      </c>
      <c r="B87" s="1431"/>
      <c r="C87" s="1431"/>
      <c r="D87" s="1431"/>
    </row>
    <row r="88" spans="1:6" x14ac:dyDescent="0.35">
      <c r="A88" s="2" t="s">
        <v>7</v>
      </c>
      <c r="B88" s="270" t="s">
        <v>388</v>
      </c>
      <c r="C88" s="217" t="s">
        <v>272</v>
      </c>
      <c r="D88" s="597" t="s">
        <v>9</v>
      </c>
    </row>
    <row r="89" spans="1:6" x14ac:dyDescent="0.35">
      <c r="A89" s="772" t="s">
        <v>3</v>
      </c>
      <c r="B89" s="258">
        <v>176</v>
      </c>
      <c r="C89" s="227">
        <v>3794</v>
      </c>
      <c r="D89" s="598">
        <f>+B89*C89</f>
        <v>667744</v>
      </c>
      <c r="E89" s="553" t="s">
        <v>1153</v>
      </c>
    </row>
    <row r="90" spans="1:6" x14ac:dyDescent="0.35">
      <c r="A90" s="772" t="s">
        <v>394</v>
      </c>
      <c r="B90" s="258">
        <v>8</v>
      </c>
      <c r="C90" s="227">
        <f>+C89</f>
        <v>3794</v>
      </c>
      <c r="D90" s="598">
        <f>+B90*C90</f>
        <v>30352</v>
      </c>
    </row>
    <row r="91" spans="1:6" x14ac:dyDescent="0.35">
      <c r="A91" s="772" t="s">
        <v>1244</v>
      </c>
      <c r="B91" s="258">
        <v>8</v>
      </c>
      <c r="C91" s="227">
        <f>+C89</f>
        <v>3794</v>
      </c>
      <c r="D91" s="598">
        <f>+B91*C91</f>
        <v>30352</v>
      </c>
    </row>
    <row r="92" spans="1:6" x14ac:dyDescent="0.35">
      <c r="A92" s="772" t="s">
        <v>6</v>
      </c>
      <c r="B92" s="258"/>
      <c r="C92" s="227">
        <v>80000</v>
      </c>
      <c r="D92" s="598">
        <f>+C92</f>
        <v>80000</v>
      </c>
    </row>
    <row r="93" spans="1:6" x14ac:dyDescent="0.35">
      <c r="A93" s="772" t="s">
        <v>200</v>
      </c>
      <c r="B93" s="258"/>
      <c r="C93" s="227">
        <v>50000</v>
      </c>
      <c r="D93" s="598">
        <f>+C93</f>
        <v>50000</v>
      </c>
    </row>
    <row r="94" spans="1:6" x14ac:dyDescent="0.35">
      <c r="A94" s="772" t="s">
        <v>1032</v>
      </c>
      <c r="B94" s="258">
        <v>1.5</v>
      </c>
      <c r="C94" s="227">
        <f>+C89*1.5</f>
        <v>5691</v>
      </c>
      <c r="D94" s="811">
        <f>+B94*C94</f>
        <v>8536.5</v>
      </c>
    </row>
    <row r="95" spans="1:6" x14ac:dyDescent="0.35">
      <c r="A95" s="772" t="s">
        <v>757</v>
      </c>
      <c r="B95" s="258"/>
      <c r="C95" s="227">
        <f>+C89*2</f>
        <v>7588</v>
      </c>
      <c r="D95" s="598">
        <f>+B95*C95</f>
        <v>0</v>
      </c>
    </row>
    <row r="96" spans="1:6" s="1192" customFormat="1" x14ac:dyDescent="0.35">
      <c r="A96" s="1149" t="s">
        <v>1033</v>
      </c>
      <c r="B96" s="1150"/>
      <c r="C96" s="1151"/>
      <c r="D96" s="1152">
        <v>300000</v>
      </c>
      <c r="E96" s="1199"/>
    </row>
    <row r="97" spans="1:6" s="1192" customFormat="1" x14ac:dyDescent="0.35">
      <c r="A97" s="1149"/>
      <c r="B97" s="1150"/>
      <c r="C97" s="1151"/>
      <c r="D97" s="1152"/>
      <c r="E97" s="1199"/>
    </row>
    <row r="98" spans="1:6" x14ac:dyDescent="0.35">
      <c r="A98" s="1036" t="s">
        <v>389</v>
      </c>
      <c r="B98" s="681"/>
      <c r="C98" s="1037"/>
      <c r="D98" s="1038">
        <f>+D89+D90+D91+D92+D93+D94+D95+D96+D97</f>
        <v>1166984.5</v>
      </c>
    </row>
    <row r="99" spans="1:6" x14ac:dyDescent="0.35">
      <c r="A99" s="772" t="s">
        <v>1338</v>
      </c>
      <c r="B99" s="258"/>
      <c r="C99" s="227"/>
      <c r="D99" s="731">
        <v>-300000</v>
      </c>
      <c r="F99" s="774"/>
    </row>
    <row r="100" spans="1:6" ht="15.5" x14ac:dyDescent="0.35">
      <c r="A100" s="1471" t="s">
        <v>11</v>
      </c>
      <c r="B100" s="1471"/>
      <c r="C100" s="1471"/>
      <c r="D100" s="603">
        <f>+D98+D99</f>
        <v>866984.5</v>
      </c>
    </row>
    <row r="101" spans="1:6" ht="15.5" x14ac:dyDescent="0.35">
      <c r="A101" s="723" t="s">
        <v>631</v>
      </c>
      <c r="B101" s="723"/>
      <c r="C101" s="723"/>
      <c r="D101" s="832">
        <v>-258100</v>
      </c>
    </row>
    <row r="102" spans="1:6" ht="15.5" x14ac:dyDescent="0.35">
      <c r="A102" s="1266" t="s">
        <v>1010</v>
      </c>
      <c r="B102" s="1266"/>
      <c r="C102" s="1266"/>
      <c r="D102" s="603">
        <f>+D100+D101</f>
        <v>608884.5</v>
      </c>
    </row>
    <row r="103" spans="1:6" s="90" customFormat="1" x14ac:dyDescent="0.35">
      <c r="B103" s="1042"/>
      <c r="C103" s="553"/>
      <c r="D103" s="1051" t="s">
        <v>63</v>
      </c>
      <c r="E103" s="553"/>
    </row>
    <row r="105" spans="1:6" ht="23.5" x14ac:dyDescent="0.35">
      <c r="A105" s="1431" t="s">
        <v>1339</v>
      </c>
      <c r="B105" s="1431"/>
      <c r="C105" s="1431"/>
      <c r="D105" s="1431"/>
    </row>
    <row r="106" spans="1:6" x14ac:dyDescent="0.35">
      <c r="A106" s="2" t="s">
        <v>7</v>
      </c>
      <c r="B106" s="270" t="s">
        <v>8</v>
      </c>
      <c r="C106" s="217" t="s">
        <v>4</v>
      </c>
      <c r="D106" s="597" t="s">
        <v>9</v>
      </c>
    </row>
    <row r="107" spans="1:6" x14ac:dyDescent="0.35">
      <c r="A107" s="772" t="s">
        <v>3</v>
      </c>
      <c r="B107" s="258">
        <v>88</v>
      </c>
      <c r="C107" s="227">
        <v>3818</v>
      </c>
      <c r="D107" s="598">
        <f>+B107*C107</f>
        <v>335984</v>
      </c>
      <c r="E107" s="553" t="s">
        <v>1153</v>
      </c>
    </row>
    <row r="108" spans="1:6" x14ac:dyDescent="0.35">
      <c r="A108" s="772" t="s">
        <v>1273</v>
      </c>
      <c r="B108" s="258"/>
      <c r="C108" s="227">
        <f>+C107</f>
        <v>3818</v>
      </c>
      <c r="D108" s="598">
        <f>+B108*C108</f>
        <v>0</v>
      </c>
    </row>
    <row r="109" spans="1:6" x14ac:dyDescent="0.35">
      <c r="A109" s="772" t="s">
        <v>200</v>
      </c>
      <c r="B109" s="258"/>
      <c r="C109" s="227">
        <v>50000</v>
      </c>
      <c r="D109" s="598">
        <v>50000</v>
      </c>
    </row>
    <row r="110" spans="1:6" x14ac:dyDescent="0.35">
      <c r="A110" s="772" t="s">
        <v>6</v>
      </c>
      <c r="B110" s="258"/>
      <c r="C110" s="194">
        <v>100000</v>
      </c>
      <c r="D110" s="598">
        <f>+C110</f>
        <v>100000</v>
      </c>
    </row>
    <row r="111" spans="1:6" x14ac:dyDescent="0.35">
      <c r="A111" s="772" t="s">
        <v>1032</v>
      </c>
      <c r="B111" s="258">
        <v>3</v>
      </c>
      <c r="C111" s="194">
        <f>+C107*1.5</f>
        <v>5727</v>
      </c>
      <c r="D111" s="598">
        <f>+B111*C111</f>
        <v>17181</v>
      </c>
    </row>
    <row r="112" spans="1:6" x14ac:dyDescent="0.35">
      <c r="A112" s="772" t="s">
        <v>281</v>
      </c>
      <c r="B112" s="258"/>
      <c r="C112" s="194">
        <f>+C107*2</f>
        <v>7636</v>
      </c>
      <c r="D112" s="598">
        <f>+B112*C112</f>
        <v>0</v>
      </c>
    </row>
    <row r="113" spans="1:5" s="90" customFormat="1" x14ac:dyDescent="0.35">
      <c r="A113" s="141" t="s">
        <v>1033</v>
      </c>
      <c r="B113" s="274"/>
      <c r="C113" s="195"/>
      <c r="D113" s="1017">
        <v>130000</v>
      </c>
      <c r="E113" s="553"/>
    </row>
    <row r="114" spans="1:5" s="90" customFormat="1" x14ac:dyDescent="0.35">
      <c r="A114" s="1145"/>
      <c r="B114" s="1146"/>
      <c r="C114" s="1147"/>
      <c r="D114" s="1017"/>
      <c r="E114" s="553"/>
    </row>
    <row r="115" spans="1:5" x14ac:dyDescent="0.35">
      <c r="A115" s="1463" t="s">
        <v>389</v>
      </c>
      <c r="B115" s="1464"/>
      <c r="C115" s="1465"/>
      <c r="D115" s="599">
        <f>+D107+D108+D109+D110+D111+D112+D113+D114</f>
        <v>633165</v>
      </c>
    </row>
    <row r="116" spans="1:5" x14ac:dyDescent="0.35">
      <c r="A116" s="724" t="s">
        <v>374</v>
      </c>
      <c r="B116" s="729"/>
      <c r="C116" s="730"/>
      <c r="D116" s="731"/>
    </row>
    <row r="117" spans="1:5" x14ac:dyDescent="0.35">
      <c r="A117" s="724"/>
      <c r="B117" s="729"/>
      <c r="C117" s="730"/>
      <c r="D117" s="731"/>
    </row>
    <row r="118" spans="1:5" s="997" customFormat="1" ht="15.5" x14ac:dyDescent="0.35">
      <c r="A118" s="992" t="s">
        <v>11</v>
      </c>
      <c r="B118" s="1181"/>
      <c r="C118" s="994"/>
      <c r="D118" s="995">
        <f>+D115+D116+D117</f>
        <v>633165</v>
      </c>
      <c r="E118" s="1026"/>
    </row>
    <row r="119" spans="1:5" s="90" customFormat="1" x14ac:dyDescent="0.35">
      <c r="B119" s="1042"/>
      <c r="C119" s="553"/>
      <c r="D119" s="1051"/>
      <c r="E119" s="553"/>
    </row>
    <row r="121" spans="1:5" ht="23.5" x14ac:dyDescent="0.35">
      <c r="A121" s="1431" t="s">
        <v>1350</v>
      </c>
      <c r="B121" s="1431"/>
      <c r="C121" s="1431"/>
      <c r="D121" s="1431"/>
    </row>
    <row r="122" spans="1:5" x14ac:dyDescent="0.35">
      <c r="A122" s="2" t="s">
        <v>7</v>
      </c>
      <c r="B122" s="270" t="s">
        <v>388</v>
      </c>
      <c r="C122" s="217" t="s">
        <v>629</v>
      </c>
      <c r="D122" s="597" t="s">
        <v>9</v>
      </c>
    </row>
    <row r="123" spans="1:5" x14ac:dyDescent="0.35">
      <c r="A123" s="772" t="s">
        <v>3</v>
      </c>
      <c r="B123" s="258">
        <v>176</v>
      </c>
      <c r="C123" s="194">
        <v>5865</v>
      </c>
      <c r="D123" s="598">
        <f>+B123*C123</f>
        <v>1032240</v>
      </c>
      <c r="E123" s="553" t="s">
        <v>1154</v>
      </c>
    </row>
    <row r="124" spans="1:5" x14ac:dyDescent="0.35">
      <c r="A124" s="772" t="s">
        <v>394</v>
      </c>
      <c r="B124" s="258">
        <v>8</v>
      </c>
      <c r="C124" s="194">
        <f>+C123</f>
        <v>5865</v>
      </c>
      <c r="D124" s="609">
        <f>+B124*C124</f>
        <v>46920</v>
      </c>
    </row>
    <row r="125" spans="1:5" x14ac:dyDescent="0.35">
      <c r="A125" s="772" t="s">
        <v>1244</v>
      </c>
      <c r="B125" s="258">
        <v>8</v>
      </c>
      <c r="C125" s="194">
        <f>+C123</f>
        <v>5865</v>
      </c>
      <c r="D125" s="609">
        <f>+B125*C125</f>
        <v>46920</v>
      </c>
    </row>
    <row r="126" spans="1:5" x14ac:dyDescent="0.35">
      <c r="A126" s="772" t="s">
        <v>556</v>
      </c>
      <c r="B126" s="258"/>
      <c r="C126" s="194">
        <v>50000</v>
      </c>
      <c r="D126" s="609">
        <f>+C126</f>
        <v>50000</v>
      </c>
    </row>
    <row r="127" spans="1:5" x14ac:dyDescent="0.35">
      <c r="A127" s="772" t="s">
        <v>6</v>
      </c>
      <c r="B127" s="258"/>
      <c r="C127" s="194">
        <v>100000</v>
      </c>
      <c r="D127" s="609">
        <f>+C127</f>
        <v>100000</v>
      </c>
    </row>
    <row r="128" spans="1:5" x14ac:dyDescent="0.35">
      <c r="A128" s="614" t="s">
        <v>628</v>
      </c>
      <c r="B128" s="617">
        <v>1</v>
      </c>
      <c r="C128" s="227">
        <f>+C123*1.5</f>
        <v>8797.5</v>
      </c>
      <c r="D128" s="609">
        <f>+B128*C128</f>
        <v>8797.5</v>
      </c>
    </row>
    <row r="129" spans="1:5" x14ac:dyDescent="0.35">
      <c r="A129" s="1149" t="s">
        <v>823</v>
      </c>
      <c r="B129" s="617"/>
      <c r="C129" s="227"/>
      <c r="D129" s="1210">
        <v>130000</v>
      </c>
    </row>
    <row r="130" spans="1:5" x14ac:dyDescent="0.35">
      <c r="A130" s="614"/>
      <c r="B130" s="617"/>
      <c r="C130" s="227"/>
      <c r="D130" s="609"/>
    </row>
    <row r="131" spans="1:5" s="90" customFormat="1" x14ac:dyDescent="0.35">
      <c r="A131" s="1071" t="s">
        <v>389</v>
      </c>
      <c r="B131" s="1074"/>
      <c r="C131" s="1172"/>
      <c r="D131" s="1173">
        <f>+D123+D124+D125+D126+D127+D128+D129+D130</f>
        <v>1414877.5</v>
      </c>
      <c r="E131" s="553"/>
    </row>
    <row r="132" spans="1:5" x14ac:dyDescent="0.35">
      <c r="A132" s="614" t="s">
        <v>1346</v>
      </c>
      <c r="B132" s="617"/>
      <c r="C132" s="227"/>
      <c r="D132" s="609">
        <v>61000</v>
      </c>
    </row>
    <row r="133" spans="1:5" x14ac:dyDescent="0.35">
      <c r="A133" s="614" t="s">
        <v>1347</v>
      </c>
      <c r="B133" s="617"/>
      <c r="C133" s="227"/>
      <c r="D133" s="609">
        <v>37100</v>
      </c>
    </row>
    <row r="134" spans="1:5" ht="15.5" x14ac:dyDescent="0.35">
      <c r="A134" s="1059" t="s">
        <v>11</v>
      </c>
      <c r="B134" s="1060"/>
      <c r="C134" s="1061"/>
      <c r="D134" s="1167">
        <f>+D131+D132+D133</f>
        <v>1512977.5</v>
      </c>
    </row>
    <row r="137" spans="1:5" ht="23.5" x14ac:dyDescent="0.35">
      <c r="A137" s="1431" t="s">
        <v>1340</v>
      </c>
      <c r="B137" s="1431"/>
      <c r="C137" s="1431"/>
      <c r="D137" s="1431"/>
    </row>
    <row r="138" spans="1:5" x14ac:dyDescent="0.35">
      <c r="A138" s="2" t="s">
        <v>7</v>
      </c>
      <c r="B138" s="270" t="s">
        <v>8</v>
      </c>
      <c r="C138" s="217" t="s">
        <v>4</v>
      </c>
      <c r="D138" s="597" t="s">
        <v>9</v>
      </c>
    </row>
    <row r="139" spans="1:5" x14ac:dyDescent="0.35">
      <c r="A139" s="772" t="s">
        <v>3</v>
      </c>
      <c r="B139" s="258">
        <v>147.5</v>
      </c>
      <c r="C139" s="194">
        <v>5865</v>
      </c>
      <c r="D139" s="598">
        <f>+B139*C139</f>
        <v>865087.5</v>
      </c>
      <c r="E139" s="553" t="s">
        <v>1154</v>
      </c>
    </row>
    <row r="140" spans="1:5" x14ac:dyDescent="0.35">
      <c r="A140" s="772" t="s">
        <v>394</v>
      </c>
      <c r="B140" s="258">
        <v>7.5</v>
      </c>
      <c r="C140" s="194">
        <f>+C139</f>
        <v>5865</v>
      </c>
      <c r="D140" s="609">
        <f>+B140*C140</f>
        <v>43987.5</v>
      </c>
    </row>
    <row r="141" spans="1:5" x14ac:dyDescent="0.35">
      <c r="A141" s="772" t="s">
        <v>1244</v>
      </c>
      <c r="B141" s="258">
        <v>7.5</v>
      </c>
      <c r="C141" s="194">
        <f>+C140</f>
        <v>5865</v>
      </c>
      <c r="D141" s="609">
        <f>+B141*C141</f>
        <v>43987.5</v>
      </c>
    </row>
    <row r="142" spans="1:5" x14ac:dyDescent="0.35">
      <c r="A142" s="772" t="s">
        <v>6</v>
      </c>
      <c r="B142" s="258"/>
      <c r="C142" s="194">
        <v>100000</v>
      </c>
      <c r="D142" s="609">
        <f>+C142</f>
        <v>100000</v>
      </c>
    </row>
    <row r="143" spans="1:5" x14ac:dyDescent="0.35">
      <c r="A143" s="614" t="s">
        <v>556</v>
      </c>
      <c r="B143" s="617"/>
      <c r="C143" s="227">
        <v>50000</v>
      </c>
      <c r="D143" s="609">
        <v>50000</v>
      </c>
    </row>
    <row r="144" spans="1:5" x14ac:dyDescent="0.35">
      <c r="A144" s="614" t="s">
        <v>1035</v>
      </c>
      <c r="B144" s="617">
        <v>3</v>
      </c>
      <c r="C144" s="227">
        <f>+C139*1.5</f>
        <v>8797.5</v>
      </c>
      <c r="D144" s="609">
        <f>+B144*C144</f>
        <v>26392.5</v>
      </c>
    </row>
    <row r="145" spans="1:19" s="1192" customFormat="1" x14ac:dyDescent="0.35">
      <c r="A145" s="1149" t="s">
        <v>823</v>
      </c>
      <c r="B145" s="1150"/>
      <c r="C145" s="1151"/>
      <c r="D145" s="1210">
        <v>130000</v>
      </c>
      <c r="E145" s="1199"/>
    </row>
    <row r="146" spans="1:19" x14ac:dyDescent="0.35">
      <c r="A146" s="1149"/>
      <c r="B146" s="617"/>
      <c r="C146" s="227"/>
      <c r="D146" s="609"/>
    </row>
    <row r="147" spans="1:19" x14ac:dyDescent="0.35">
      <c r="A147" s="882" t="s">
        <v>389</v>
      </c>
      <c r="B147" s="883"/>
      <c r="C147" s="884"/>
      <c r="D147" s="1058">
        <f>+D139+D140+D141+D142+D143+D144+D145+D146</f>
        <v>1259455</v>
      </c>
    </row>
    <row r="148" spans="1:19" x14ac:dyDescent="0.35">
      <c r="A148" s="724" t="s">
        <v>1348</v>
      </c>
      <c r="B148" s="729"/>
      <c r="C148" s="729"/>
      <c r="D148" s="731">
        <v>-189900</v>
      </c>
    </row>
    <row r="149" spans="1:19" x14ac:dyDescent="0.35">
      <c r="A149" s="1071" t="s">
        <v>11</v>
      </c>
      <c r="B149" s="1074"/>
      <c r="C149" s="1074"/>
      <c r="D149" s="1075">
        <f>+D147+D148</f>
        <v>1069555</v>
      </c>
    </row>
    <row r="153" spans="1:19" s="1042" customFormat="1" ht="23.5" x14ac:dyDescent="0.35">
      <c r="A153" s="1442" t="s">
        <v>1341</v>
      </c>
      <c r="B153" s="1443"/>
      <c r="C153" s="1443"/>
      <c r="D153" s="1444"/>
      <c r="E153" s="553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</row>
    <row r="154" spans="1:19" s="1042" customFormat="1" x14ac:dyDescent="0.35">
      <c r="A154" s="2" t="s">
        <v>7</v>
      </c>
      <c r="B154" s="270" t="s">
        <v>388</v>
      </c>
      <c r="C154" s="217" t="s">
        <v>1037</v>
      </c>
      <c r="D154" s="597" t="s">
        <v>9</v>
      </c>
      <c r="E154" s="553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</row>
    <row r="155" spans="1:19" s="1042" customFormat="1" x14ac:dyDescent="0.35">
      <c r="A155" s="772" t="s">
        <v>3</v>
      </c>
      <c r="B155" s="258">
        <v>176</v>
      </c>
      <c r="C155" s="194">
        <v>4124</v>
      </c>
      <c r="D155" s="598">
        <f>+B155*C155</f>
        <v>725824</v>
      </c>
      <c r="E155" s="553" t="s">
        <v>1153</v>
      </c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772" t="s">
        <v>403</v>
      </c>
      <c r="B156" s="258">
        <v>8</v>
      </c>
      <c r="C156" s="194">
        <f>+C155</f>
        <v>4124</v>
      </c>
      <c r="D156" s="598">
        <f>+B156*C156</f>
        <v>32992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772" t="s">
        <v>1244</v>
      </c>
      <c r="B157" s="258">
        <v>8</v>
      </c>
      <c r="C157" s="194">
        <f>+C155</f>
        <v>4124</v>
      </c>
      <c r="D157" s="598">
        <f>+B157*C157</f>
        <v>32992</v>
      </c>
      <c r="E157" s="553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042" customFormat="1" x14ac:dyDescent="0.35">
      <c r="A158" s="772" t="s">
        <v>200</v>
      </c>
      <c r="B158" s="258"/>
      <c r="C158" s="194">
        <v>50000</v>
      </c>
      <c r="D158" s="609">
        <f>+C158</f>
        <v>50000</v>
      </c>
      <c r="E158" s="553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59" spans="1:19" s="1042" customFormat="1" x14ac:dyDescent="0.35">
      <c r="A159" s="614" t="s">
        <v>6</v>
      </c>
      <c r="B159" s="617"/>
      <c r="C159" s="227">
        <v>100000</v>
      </c>
      <c r="D159" s="609">
        <f>+C159</f>
        <v>100000</v>
      </c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s="1042" customFormat="1" x14ac:dyDescent="0.35">
      <c r="A160" s="614" t="s">
        <v>1035</v>
      </c>
      <c r="B160" s="617">
        <v>1</v>
      </c>
      <c r="C160" s="227">
        <f>+C155*1.5</f>
        <v>6186</v>
      </c>
      <c r="D160" s="609">
        <f>+B160*C160</f>
        <v>6186</v>
      </c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614" t="s">
        <v>1036</v>
      </c>
      <c r="B161" s="617"/>
      <c r="C161" s="227">
        <f>+C155*2</f>
        <v>8248</v>
      </c>
      <c r="D161" s="609">
        <f>+C161*0</f>
        <v>0</v>
      </c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190" customFormat="1" x14ac:dyDescent="0.35">
      <c r="A162" s="1149" t="s">
        <v>823</v>
      </c>
      <c r="B162" s="1150"/>
      <c r="C162" s="1151"/>
      <c r="D162" s="1210">
        <v>130000</v>
      </c>
      <c r="E162" s="1199"/>
      <c r="F162" s="1192"/>
      <c r="G162" s="1192"/>
      <c r="H162" s="1192"/>
      <c r="I162" s="1192"/>
      <c r="J162" s="1192"/>
      <c r="K162" s="1192"/>
      <c r="L162" s="1192"/>
      <c r="M162" s="1192"/>
      <c r="N162" s="1192"/>
      <c r="O162" s="1192"/>
      <c r="P162" s="1192"/>
      <c r="Q162" s="1192"/>
      <c r="R162" s="1192"/>
      <c r="S162" s="1192"/>
    </row>
    <row r="163" spans="1:19" s="1190" customFormat="1" x14ac:dyDescent="0.35">
      <c r="A163" s="1223"/>
      <c r="B163" s="1150"/>
      <c r="C163" s="1151"/>
      <c r="D163" s="1210"/>
      <c r="E163" s="1199"/>
      <c r="F163" s="1192"/>
      <c r="G163" s="1192"/>
      <c r="H163" s="1192"/>
      <c r="I163" s="1192"/>
      <c r="J163" s="1192"/>
      <c r="K163" s="1192"/>
      <c r="L163" s="1192"/>
      <c r="M163" s="1192"/>
      <c r="N163" s="1192"/>
      <c r="O163" s="1192"/>
      <c r="P163" s="1192"/>
      <c r="Q163" s="1192"/>
      <c r="R163" s="1192"/>
      <c r="S163" s="1192"/>
    </row>
    <row r="164" spans="1:19" s="1042" customFormat="1" x14ac:dyDescent="0.35">
      <c r="A164" s="882" t="s">
        <v>389</v>
      </c>
      <c r="B164" s="883"/>
      <c r="C164" s="884"/>
      <c r="D164" s="1058">
        <f>+D155+D156+D157+D158+D159+D160+D161+D162+D163</f>
        <v>1077994</v>
      </c>
      <c r="E164" s="553"/>
      <c r="F164" s="771"/>
      <c r="G164" s="771"/>
      <c r="H164" s="771"/>
      <c r="I164" s="771"/>
      <c r="J164" s="771"/>
      <c r="K164" s="771"/>
      <c r="L164" s="771"/>
      <c r="M164" s="771"/>
      <c r="N164" s="771"/>
      <c r="O164" s="771"/>
      <c r="P164" s="771"/>
      <c r="Q164" s="771"/>
      <c r="R164" s="771"/>
      <c r="S164" s="771"/>
    </row>
    <row r="165" spans="1:19" s="1073" customFormat="1" x14ac:dyDescent="0.35">
      <c r="A165" s="739" t="s">
        <v>1348</v>
      </c>
      <c r="B165" s="1215"/>
      <c r="C165" s="1216"/>
      <c r="D165" s="736">
        <v>-100000</v>
      </c>
      <c r="E165" s="1234"/>
      <c r="F165" s="1070"/>
      <c r="G165" s="1070"/>
      <c r="H165" s="1070"/>
      <c r="I165" s="1070"/>
      <c r="J165" s="1070"/>
      <c r="K165" s="1070"/>
      <c r="L165" s="1070"/>
      <c r="M165" s="1070"/>
      <c r="N165" s="1070"/>
      <c r="O165" s="1070"/>
      <c r="P165" s="1070"/>
      <c r="Q165" s="1070"/>
      <c r="R165" s="1070"/>
      <c r="S165" s="1070"/>
    </row>
    <row r="166" spans="1:19" s="1042" customFormat="1" x14ac:dyDescent="0.35">
      <c r="A166" s="724"/>
      <c r="B166" s="729"/>
      <c r="C166" s="729"/>
      <c r="D166" s="731"/>
      <c r="E166" s="553"/>
      <c r="F166" s="771"/>
      <c r="G166" s="771"/>
      <c r="H166" s="771"/>
      <c r="I166" s="771"/>
      <c r="J166" s="771"/>
      <c r="K166" s="771"/>
      <c r="L166" s="771"/>
      <c r="M166" s="771"/>
      <c r="N166" s="771"/>
      <c r="O166" s="771"/>
      <c r="P166" s="771"/>
      <c r="Q166" s="771"/>
      <c r="R166" s="771"/>
      <c r="S166" s="771"/>
    </row>
    <row r="167" spans="1:19" s="1042" customFormat="1" x14ac:dyDescent="0.35">
      <c r="A167" s="1071" t="s">
        <v>11</v>
      </c>
      <c r="B167" s="1074"/>
      <c r="C167" s="1074"/>
      <c r="D167" s="1075">
        <f>+D164+D165+D166</f>
        <v>977994</v>
      </c>
      <c r="E167" s="553"/>
      <c r="F167" s="771"/>
      <c r="G167" s="771"/>
      <c r="H167" s="771"/>
      <c r="I167" s="771"/>
      <c r="J167" s="771"/>
      <c r="K167" s="771"/>
      <c r="L167" s="771"/>
      <c r="M167" s="771"/>
      <c r="N167" s="771"/>
      <c r="O167" s="771"/>
      <c r="P167" s="771"/>
      <c r="Q167" s="771"/>
      <c r="R167" s="771"/>
      <c r="S167" s="771"/>
    </row>
    <row r="171" spans="1:19" s="1042" customFormat="1" ht="23.5" x14ac:dyDescent="0.35">
      <c r="A171" s="1442" t="s">
        <v>1342</v>
      </c>
      <c r="B171" s="1443"/>
      <c r="C171" s="1443"/>
      <c r="D171" s="1444"/>
      <c r="E171" s="553"/>
      <c r="F171" s="771"/>
      <c r="G171" s="771"/>
      <c r="H171" s="771"/>
      <c r="I171" s="771"/>
      <c r="J171" s="771"/>
      <c r="K171" s="771"/>
      <c r="L171" s="771"/>
      <c r="M171" s="771"/>
      <c r="N171" s="771"/>
      <c r="O171" s="771"/>
      <c r="P171" s="771"/>
      <c r="Q171" s="771"/>
      <c r="R171" s="771"/>
      <c r="S171" s="771"/>
    </row>
    <row r="172" spans="1:19" s="1042" customFormat="1" x14ac:dyDescent="0.35">
      <c r="A172" s="2" t="s">
        <v>7</v>
      </c>
      <c r="B172" s="270" t="s">
        <v>388</v>
      </c>
      <c r="C172" s="217" t="s">
        <v>1037</v>
      </c>
      <c r="D172" s="597" t="s">
        <v>9</v>
      </c>
      <c r="E172" s="553"/>
      <c r="F172" s="771"/>
      <c r="G172" s="771"/>
      <c r="H172" s="771"/>
      <c r="I172" s="771"/>
      <c r="J172" s="771"/>
      <c r="K172" s="771"/>
      <c r="L172" s="771"/>
      <c r="M172" s="771"/>
      <c r="N172" s="771"/>
      <c r="O172" s="771"/>
      <c r="P172" s="771"/>
      <c r="Q172" s="771"/>
      <c r="R172" s="771"/>
      <c r="S172" s="771"/>
    </row>
    <row r="173" spans="1:19" s="1042" customFormat="1" x14ac:dyDescent="0.35">
      <c r="A173" s="772" t="s">
        <v>3</v>
      </c>
      <c r="B173" s="258"/>
      <c r="C173" s="194"/>
      <c r="D173" s="598">
        <v>1650000</v>
      </c>
      <c r="E173" s="553"/>
      <c r="F173" s="771"/>
      <c r="G173" s="771"/>
      <c r="H173" s="771"/>
      <c r="I173" s="771"/>
      <c r="J173" s="771"/>
      <c r="K173" s="771"/>
      <c r="L173" s="771"/>
      <c r="M173" s="771"/>
      <c r="N173" s="771"/>
      <c r="O173" s="771"/>
      <c r="P173" s="771"/>
      <c r="Q173" s="771"/>
      <c r="R173" s="771"/>
      <c r="S173" s="771"/>
    </row>
    <row r="174" spans="1:19" s="1042" customFormat="1" x14ac:dyDescent="0.35">
      <c r="A174" s="772" t="s">
        <v>394</v>
      </c>
      <c r="B174" s="258"/>
      <c r="C174" s="194"/>
      <c r="D174" s="609">
        <f>+B174*C174</f>
        <v>0</v>
      </c>
      <c r="E174" s="553"/>
      <c r="F174" s="771"/>
      <c r="G174" s="771"/>
      <c r="H174" s="771"/>
      <c r="I174" s="771"/>
      <c r="J174" s="771"/>
      <c r="K174" s="771"/>
      <c r="L174" s="771"/>
      <c r="M174" s="771"/>
      <c r="N174" s="771"/>
      <c r="O174" s="771"/>
      <c r="P174" s="771"/>
      <c r="Q174" s="771"/>
      <c r="R174" s="771"/>
      <c r="S174" s="771"/>
    </row>
    <row r="175" spans="1:19" s="1042" customFormat="1" x14ac:dyDescent="0.35">
      <c r="A175" s="772" t="s">
        <v>200</v>
      </c>
      <c r="B175" s="258"/>
      <c r="C175" s="194"/>
      <c r="D175" s="609">
        <f>+C175</f>
        <v>0</v>
      </c>
      <c r="E175" s="553"/>
      <c r="F175" s="771"/>
      <c r="G175" s="771"/>
      <c r="H175" s="771"/>
      <c r="I175" s="771"/>
      <c r="J175" s="771"/>
      <c r="K175" s="771"/>
      <c r="L175" s="771"/>
      <c r="M175" s="771"/>
      <c r="N175" s="771"/>
      <c r="O175" s="771"/>
      <c r="P175" s="771"/>
      <c r="Q175" s="771"/>
      <c r="R175" s="771"/>
      <c r="S175" s="771"/>
    </row>
    <row r="176" spans="1:19" s="1042" customFormat="1" x14ac:dyDescent="0.35">
      <c r="A176" s="614" t="s">
        <v>6</v>
      </c>
      <c r="B176" s="617"/>
      <c r="C176" s="227"/>
      <c r="D176" s="609">
        <f>+C176</f>
        <v>0</v>
      </c>
      <c r="E176" s="553"/>
      <c r="F176" s="771"/>
      <c r="G176" s="771"/>
      <c r="H176" s="771"/>
      <c r="I176" s="771"/>
      <c r="J176" s="771"/>
      <c r="K176" s="771"/>
      <c r="L176" s="771"/>
      <c r="M176" s="771"/>
      <c r="N176" s="771"/>
      <c r="O176" s="771"/>
      <c r="P176" s="771"/>
      <c r="Q176" s="771"/>
      <c r="R176" s="771"/>
      <c r="S176" s="771"/>
    </row>
    <row r="177" spans="1:19" s="1042" customFormat="1" x14ac:dyDescent="0.35">
      <c r="A177" s="614" t="s">
        <v>1035</v>
      </c>
      <c r="B177" s="617"/>
      <c r="C177" s="227"/>
      <c r="D177" s="609">
        <f>+B177*C177</f>
        <v>0</v>
      </c>
      <c r="E177" s="553"/>
      <c r="F177" s="771"/>
      <c r="G177" s="771"/>
      <c r="H177" s="771"/>
      <c r="I177" s="771"/>
      <c r="J177" s="771"/>
      <c r="K177" s="771"/>
      <c r="L177" s="771"/>
      <c r="M177" s="771"/>
      <c r="N177" s="771"/>
      <c r="O177" s="771"/>
      <c r="P177" s="771"/>
      <c r="Q177" s="771"/>
      <c r="R177" s="771"/>
      <c r="S177" s="771"/>
    </row>
    <row r="178" spans="1:19" s="1042" customFormat="1" x14ac:dyDescent="0.35">
      <c r="A178" s="614" t="s">
        <v>1036</v>
      </c>
      <c r="B178" s="617"/>
      <c r="C178" s="227"/>
      <c r="D178" s="609">
        <f>+C178*0</f>
        <v>0</v>
      </c>
      <c r="E178" s="553"/>
      <c r="F178" s="771"/>
      <c r="G178" s="771"/>
      <c r="H178" s="771"/>
      <c r="I178" s="771"/>
      <c r="J178" s="771"/>
      <c r="K178" s="771"/>
      <c r="L178" s="771"/>
      <c r="M178" s="771"/>
      <c r="N178" s="771"/>
      <c r="O178" s="771"/>
      <c r="P178" s="771"/>
      <c r="Q178" s="771"/>
      <c r="R178" s="771"/>
      <c r="S178" s="771"/>
    </row>
    <row r="179" spans="1:19" s="1190" customFormat="1" x14ac:dyDescent="0.35">
      <c r="A179" s="1149" t="s">
        <v>823</v>
      </c>
      <c r="B179" s="1150"/>
      <c r="C179" s="1151"/>
      <c r="D179" s="1210"/>
      <c r="E179" s="1199"/>
      <c r="F179" s="1192"/>
      <c r="G179" s="1192"/>
      <c r="H179" s="1192"/>
      <c r="I179" s="1192"/>
      <c r="J179" s="1192"/>
      <c r="K179" s="1192"/>
      <c r="L179" s="1192"/>
      <c r="M179" s="1192"/>
      <c r="N179" s="1192"/>
      <c r="O179" s="1192"/>
      <c r="P179" s="1192"/>
      <c r="Q179" s="1192"/>
      <c r="R179" s="1192"/>
      <c r="S179" s="1192"/>
    </row>
    <row r="180" spans="1:19" s="1190" customFormat="1" x14ac:dyDescent="0.35">
      <c r="A180" s="1223"/>
      <c r="B180" s="1150"/>
      <c r="C180" s="1151"/>
      <c r="D180" s="1210"/>
      <c r="E180" s="1199"/>
      <c r="F180" s="1192"/>
      <c r="G180" s="1192"/>
      <c r="H180" s="1192"/>
      <c r="I180" s="1192"/>
      <c r="J180" s="1192"/>
      <c r="K180" s="1192"/>
      <c r="L180" s="1192"/>
      <c r="M180" s="1192"/>
      <c r="N180" s="1192"/>
      <c r="O180" s="1192"/>
      <c r="P180" s="1192"/>
      <c r="Q180" s="1192"/>
      <c r="R180" s="1192"/>
      <c r="S180" s="1192"/>
    </row>
    <row r="181" spans="1:19" s="1042" customFormat="1" x14ac:dyDescent="0.35">
      <c r="A181" s="882" t="s">
        <v>389</v>
      </c>
      <c r="B181" s="883"/>
      <c r="C181" s="884"/>
      <c r="D181" s="1058">
        <f>+D173+D174+D175+D176+D177+D178+D179+D180</f>
        <v>1650000</v>
      </c>
      <c r="E181" s="553"/>
      <c r="F181" s="771"/>
      <c r="G181" s="771"/>
      <c r="H181" s="771"/>
      <c r="I181" s="771"/>
      <c r="J181" s="771"/>
      <c r="K181" s="771"/>
      <c r="L181" s="771"/>
      <c r="M181" s="771"/>
      <c r="N181" s="771"/>
      <c r="O181" s="771"/>
      <c r="P181" s="771"/>
      <c r="Q181" s="771"/>
      <c r="R181" s="771"/>
      <c r="S181" s="771"/>
    </row>
    <row r="182" spans="1:19" s="1042" customFormat="1" x14ac:dyDescent="0.35">
      <c r="A182" s="1211"/>
      <c r="B182" s="1212"/>
      <c r="C182" s="1213"/>
      <c r="D182" s="1214"/>
      <c r="E182" s="553"/>
      <c r="F182" s="771"/>
      <c r="G182" s="771"/>
      <c r="H182" s="771"/>
      <c r="I182" s="771"/>
      <c r="J182" s="771"/>
      <c r="K182" s="771"/>
      <c r="L182" s="771"/>
      <c r="M182" s="771"/>
      <c r="N182" s="771"/>
      <c r="O182" s="771"/>
      <c r="P182" s="771"/>
      <c r="Q182" s="771"/>
      <c r="R182" s="771"/>
      <c r="S182" s="771"/>
    </row>
    <row r="183" spans="1:19" s="1042" customFormat="1" x14ac:dyDescent="0.35">
      <c r="A183" s="724"/>
      <c r="B183" s="729"/>
      <c r="C183" s="729"/>
      <c r="D183" s="731"/>
      <c r="E183" s="553"/>
      <c r="F183" s="771"/>
      <c r="G183" s="771"/>
      <c r="H183" s="771"/>
      <c r="I183" s="771"/>
      <c r="J183" s="771"/>
      <c r="K183" s="771"/>
      <c r="L183" s="771"/>
      <c r="M183" s="771"/>
      <c r="N183" s="771"/>
      <c r="O183" s="771"/>
      <c r="P183" s="771"/>
      <c r="Q183" s="771"/>
      <c r="R183" s="771"/>
      <c r="S183" s="771"/>
    </row>
    <row r="184" spans="1:19" s="1042" customFormat="1" x14ac:dyDescent="0.35">
      <c r="A184" s="1071" t="s">
        <v>11</v>
      </c>
      <c r="B184" s="1074"/>
      <c r="C184" s="1074"/>
      <c r="D184" s="1075">
        <f>+D181+D182+D183</f>
        <v>1650000</v>
      </c>
      <c r="E184" s="553"/>
      <c r="F184" s="771"/>
      <c r="G184" s="771"/>
      <c r="H184" s="771"/>
      <c r="I184" s="771"/>
      <c r="J184" s="771"/>
      <c r="K184" s="771"/>
      <c r="L184" s="771"/>
      <c r="M184" s="771"/>
      <c r="N184" s="771"/>
      <c r="O184" s="771"/>
      <c r="P184" s="771"/>
      <c r="Q184" s="771"/>
      <c r="R184" s="771"/>
      <c r="S184" s="771"/>
    </row>
  </sheetData>
  <mergeCells count="20">
    <mergeCell ref="A153:D153"/>
    <mergeCell ref="A171:D171"/>
    <mergeCell ref="A87:D87"/>
    <mergeCell ref="A100:C100"/>
    <mergeCell ref="A105:D105"/>
    <mergeCell ref="A115:C115"/>
    <mergeCell ref="A121:D121"/>
    <mergeCell ref="A137:D137"/>
    <mergeCell ref="A84:C84"/>
    <mergeCell ref="A3:D3"/>
    <mergeCell ref="A14:C14"/>
    <mergeCell ref="A17:C17"/>
    <mergeCell ref="A20:D20"/>
    <mergeCell ref="A31:C31"/>
    <mergeCell ref="A37:D37"/>
    <mergeCell ref="A48:C48"/>
    <mergeCell ref="A56:D56"/>
    <mergeCell ref="A67:C67"/>
    <mergeCell ref="A72:D72"/>
    <mergeCell ref="A82:C82"/>
  </mergeCells>
  <pageMargins left="0.31496062992125984" right="0.11811023622047245" top="0" bottom="0" header="0.31496062992125984" footer="0.31496062992125984"/>
  <pageSetup paperSize="9" scale="27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5C8D-7743-45B1-80F9-A21F08B7A63F}">
  <sheetPr>
    <pageSetUpPr fitToPage="1"/>
  </sheetPr>
  <dimension ref="A1:F48"/>
  <sheetViews>
    <sheetView topLeftCell="A25" workbookViewId="0">
      <selection activeCell="C37" sqref="C37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2" style="774" customWidth="1"/>
    <col min="4" max="4" width="26.90625" style="774" customWidth="1"/>
    <col min="5" max="5" width="21.1796875" style="774" customWidth="1"/>
    <col min="6" max="6" width="25.26953125" style="771" customWidth="1"/>
    <col min="7" max="16384" width="10.90625" style="771"/>
  </cols>
  <sheetData>
    <row r="1" spans="1:6" s="658" customFormat="1" ht="28.5" x14ac:dyDescent="0.65">
      <c r="A1" s="946"/>
      <c r="B1" s="1122" t="s">
        <v>1351</v>
      </c>
      <c r="C1" s="1237"/>
      <c r="D1" s="983"/>
      <c r="E1" s="983"/>
    </row>
    <row r="2" spans="1:6" s="658" customFormat="1" ht="28.5" x14ac:dyDescent="0.65">
      <c r="A2" s="946"/>
      <c r="C2" s="1237" t="s">
        <v>973</v>
      </c>
      <c r="D2" s="983">
        <f>+D17+D23</f>
        <v>9344000</v>
      </c>
      <c r="E2" s="983"/>
    </row>
    <row r="4" spans="1:6" x14ac:dyDescent="0.35">
      <c r="A4" s="1014"/>
      <c r="B4" s="964" t="s">
        <v>7</v>
      </c>
      <c r="C4" s="1052" t="s">
        <v>3</v>
      </c>
      <c r="D4" s="1052" t="s">
        <v>1205</v>
      </c>
    </row>
    <row r="5" spans="1:6" x14ac:dyDescent="0.35">
      <c r="A5" s="771">
        <v>1</v>
      </c>
      <c r="B5" s="258" t="s">
        <v>10</v>
      </c>
      <c r="C5" s="194">
        <v>1378056</v>
      </c>
      <c r="D5" s="195">
        <v>114000</v>
      </c>
      <c r="E5" s="774" t="s">
        <v>1210</v>
      </c>
      <c r="F5" s="774"/>
    </row>
    <row r="6" spans="1:6" x14ac:dyDescent="0.35">
      <c r="A6" s="771">
        <v>2</v>
      </c>
      <c r="B6" s="258" t="s">
        <v>16</v>
      </c>
      <c r="C6" s="194">
        <v>1292925</v>
      </c>
      <c r="D6" s="195">
        <v>578000</v>
      </c>
      <c r="E6" s="774" t="s">
        <v>1210</v>
      </c>
    </row>
    <row r="7" spans="1:6" x14ac:dyDescent="0.35">
      <c r="A7" s="771">
        <v>3</v>
      </c>
      <c r="B7" s="258" t="s">
        <v>0</v>
      </c>
      <c r="C7" s="194"/>
      <c r="D7" s="195"/>
      <c r="E7" s="774" t="s">
        <v>1210</v>
      </c>
    </row>
    <row r="8" spans="1:6" x14ac:dyDescent="0.35">
      <c r="A8" s="176">
        <v>4</v>
      </c>
      <c r="B8" s="258" t="s">
        <v>245</v>
      </c>
      <c r="C8" s="194">
        <v>798293.5</v>
      </c>
      <c r="D8" s="195">
        <v>629000</v>
      </c>
      <c r="E8" s="774" t="s">
        <v>1210</v>
      </c>
    </row>
    <row r="9" spans="1:6" x14ac:dyDescent="0.35">
      <c r="A9" s="176">
        <v>5</v>
      </c>
      <c r="B9" s="258" t="s">
        <v>463</v>
      </c>
      <c r="C9" s="194">
        <v>1166984.5</v>
      </c>
      <c r="D9" s="195">
        <v>867000</v>
      </c>
      <c r="E9" s="774" t="s">
        <v>1210</v>
      </c>
    </row>
    <row r="10" spans="1:6" x14ac:dyDescent="0.35">
      <c r="A10" s="176">
        <v>6</v>
      </c>
      <c r="B10" s="258" t="s">
        <v>1116</v>
      </c>
      <c r="C10" s="194">
        <v>633165</v>
      </c>
      <c r="D10" s="195">
        <v>634000</v>
      </c>
      <c r="E10" s="774" t="s">
        <v>1210</v>
      </c>
    </row>
    <row r="11" spans="1:6" x14ac:dyDescent="0.35">
      <c r="A11" s="176">
        <v>7</v>
      </c>
      <c r="B11" s="258" t="s">
        <v>260</v>
      </c>
      <c r="C11" s="194">
        <v>1259455</v>
      </c>
      <c r="D11" s="195">
        <v>1070000</v>
      </c>
      <c r="E11" s="774" t="s">
        <v>1210</v>
      </c>
    </row>
    <row r="12" spans="1:6" x14ac:dyDescent="0.35">
      <c r="A12" s="176">
        <v>8</v>
      </c>
      <c r="B12" s="617" t="s">
        <v>613</v>
      </c>
      <c r="C12" s="227">
        <v>1414877.5</v>
      </c>
      <c r="D12" s="195">
        <v>1513000</v>
      </c>
      <c r="E12" s="774" t="s">
        <v>1210</v>
      </c>
    </row>
    <row r="13" spans="1:6" x14ac:dyDescent="0.35">
      <c r="A13" s="176">
        <v>9</v>
      </c>
      <c r="B13" s="315" t="s">
        <v>267</v>
      </c>
      <c r="C13" s="1238">
        <v>1310373</v>
      </c>
      <c r="D13" s="195">
        <v>1311000</v>
      </c>
      <c r="E13" s="774" t="s">
        <v>1210</v>
      </c>
      <c r="F13" s="774"/>
    </row>
    <row r="14" spans="1:6" x14ac:dyDescent="0.35">
      <c r="B14" s="315"/>
      <c r="C14" s="1238"/>
      <c r="D14" s="194"/>
    </row>
    <row r="15" spans="1:6" x14ac:dyDescent="0.35">
      <c r="B15" s="315"/>
      <c r="C15" s="1238"/>
      <c r="D15" s="194"/>
    </row>
    <row r="16" spans="1:6" x14ac:dyDescent="0.35">
      <c r="B16" s="315"/>
      <c r="C16" s="1238"/>
      <c r="D16" s="194"/>
    </row>
    <row r="17" spans="1:6" x14ac:dyDescent="0.35">
      <c r="B17" s="1016" t="s">
        <v>872</v>
      </c>
      <c r="C17" s="1239">
        <f>+C5+C6+C7+C8+C9+C10+C11+C12+C13</f>
        <v>9254129.5</v>
      </c>
      <c r="D17" s="195">
        <f>SUM(D5:D15)</f>
        <v>6716000</v>
      </c>
    </row>
    <row r="18" spans="1:6" x14ac:dyDescent="0.35">
      <c r="B18" s="261"/>
    </row>
    <row r="19" spans="1:6" x14ac:dyDescent="0.35">
      <c r="B19" s="261"/>
    </row>
    <row r="20" spans="1:6" x14ac:dyDescent="0.35">
      <c r="B20" s="261"/>
      <c r="F20" s="774"/>
    </row>
    <row r="21" spans="1:6" x14ac:dyDescent="0.35">
      <c r="A21" s="771">
        <v>10</v>
      </c>
      <c r="B21" s="258" t="s">
        <v>86</v>
      </c>
      <c r="C21" s="194">
        <v>1650000</v>
      </c>
      <c r="D21" s="195">
        <v>1650000</v>
      </c>
      <c r="E21" s="774" t="s">
        <v>1210</v>
      </c>
    </row>
    <row r="22" spans="1:6" x14ac:dyDescent="0.35">
      <c r="A22" s="771">
        <v>11</v>
      </c>
      <c r="B22" s="258" t="s">
        <v>1038</v>
      </c>
      <c r="C22" s="194">
        <v>1077994</v>
      </c>
      <c r="D22" s="195">
        <v>978000</v>
      </c>
      <c r="E22" s="774" t="s">
        <v>1210</v>
      </c>
    </row>
    <row r="23" spans="1:6" s="90" customFormat="1" x14ac:dyDescent="0.35">
      <c r="B23" s="274" t="s">
        <v>972</v>
      </c>
      <c r="C23" s="195">
        <f>+C21+C22</f>
        <v>2727994</v>
      </c>
      <c r="D23" s="195">
        <f>+D21+D22</f>
        <v>2628000</v>
      </c>
      <c r="E23" s="553"/>
    </row>
    <row r="26" spans="1:6" x14ac:dyDescent="0.35">
      <c r="B26" s="274" t="s">
        <v>7</v>
      </c>
      <c r="C26" s="1052" t="s">
        <v>272</v>
      </c>
      <c r="D26" s="1052" t="s">
        <v>6</v>
      </c>
      <c r="E26" s="1109" t="s">
        <v>200</v>
      </c>
    </row>
    <row r="27" spans="1:6" x14ac:dyDescent="0.35">
      <c r="A27" s="771">
        <v>1</v>
      </c>
      <c r="B27" s="258" t="s">
        <v>10</v>
      </c>
      <c r="C27" s="194">
        <v>4991</v>
      </c>
      <c r="D27" s="194">
        <v>100000</v>
      </c>
      <c r="E27" s="598">
        <v>50000</v>
      </c>
    </row>
    <row r="28" spans="1:6" x14ac:dyDescent="0.35">
      <c r="A28" s="771">
        <v>2</v>
      </c>
      <c r="B28" s="258" t="s">
        <v>16</v>
      </c>
      <c r="C28" s="194">
        <v>4775</v>
      </c>
      <c r="D28" s="194">
        <v>100000</v>
      </c>
      <c r="E28" s="598">
        <v>50000</v>
      </c>
    </row>
    <row r="29" spans="1:6" x14ac:dyDescent="0.35">
      <c r="A29" s="771">
        <v>3</v>
      </c>
      <c r="B29" s="258" t="s">
        <v>0</v>
      </c>
      <c r="C29" s="194"/>
      <c r="D29" s="194">
        <v>100000</v>
      </c>
      <c r="E29" s="598">
        <v>50000</v>
      </c>
    </row>
    <row r="30" spans="1:6" x14ac:dyDescent="0.35">
      <c r="A30" s="176">
        <v>4</v>
      </c>
      <c r="B30" s="258" t="s">
        <v>267</v>
      </c>
      <c r="C30" s="194">
        <v>4124</v>
      </c>
      <c r="D30" s="194">
        <v>100000</v>
      </c>
      <c r="E30" s="598">
        <v>50000</v>
      </c>
    </row>
    <row r="31" spans="1:6" x14ac:dyDescent="0.35">
      <c r="A31" s="176">
        <v>5</v>
      </c>
      <c r="B31" s="258" t="s">
        <v>245</v>
      </c>
      <c r="C31" s="194">
        <v>3818</v>
      </c>
      <c r="D31" s="194">
        <v>100000</v>
      </c>
      <c r="E31" s="598">
        <v>50000</v>
      </c>
    </row>
    <row r="32" spans="1:6" x14ac:dyDescent="0.35">
      <c r="A32" s="176">
        <v>6</v>
      </c>
      <c r="B32" s="258" t="s">
        <v>463</v>
      </c>
      <c r="C32" s="194">
        <v>3794</v>
      </c>
      <c r="D32" s="194">
        <v>80000</v>
      </c>
      <c r="E32" s="598">
        <v>50000</v>
      </c>
    </row>
    <row r="33" spans="1:5" x14ac:dyDescent="0.35">
      <c r="A33" s="176">
        <v>7</v>
      </c>
      <c r="B33" s="258" t="s">
        <v>553</v>
      </c>
      <c r="C33" s="194">
        <v>3818</v>
      </c>
      <c r="D33" s="194">
        <v>100000</v>
      </c>
      <c r="E33" s="598">
        <v>50000</v>
      </c>
    </row>
    <row r="34" spans="1:5" x14ac:dyDescent="0.35">
      <c r="A34" s="176">
        <v>8</v>
      </c>
      <c r="B34" s="258" t="s">
        <v>260</v>
      </c>
      <c r="C34" s="194">
        <v>5865</v>
      </c>
      <c r="D34" s="194">
        <v>100000</v>
      </c>
      <c r="E34" s="598">
        <v>50000</v>
      </c>
    </row>
    <row r="35" spans="1:5" x14ac:dyDescent="0.35">
      <c r="A35" s="176">
        <v>9</v>
      </c>
      <c r="B35" s="258" t="s">
        <v>613</v>
      </c>
      <c r="C35" s="194">
        <v>5865</v>
      </c>
      <c r="D35" s="194">
        <v>100000</v>
      </c>
      <c r="E35" s="598">
        <v>50000</v>
      </c>
    </row>
    <row r="36" spans="1:5" x14ac:dyDescent="0.35">
      <c r="A36" s="176">
        <v>10</v>
      </c>
      <c r="B36" s="258" t="s">
        <v>1038</v>
      </c>
      <c r="C36" s="194">
        <v>4124</v>
      </c>
      <c r="D36" s="194">
        <v>100000</v>
      </c>
      <c r="E36" s="598">
        <v>50000</v>
      </c>
    </row>
    <row r="37" spans="1:5" x14ac:dyDescent="0.35">
      <c r="A37" s="176">
        <v>11</v>
      </c>
      <c r="B37" s="315" t="s">
        <v>86</v>
      </c>
      <c r="C37" s="194"/>
      <c r="D37" s="194">
        <v>40000</v>
      </c>
      <c r="E37" s="598">
        <v>50000</v>
      </c>
    </row>
    <row r="38" spans="1:5" x14ac:dyDescent="0.35">
      <c r="A38" s="176">
        <v>12</v>
      </c>
      <c r="B38" s="315"/>
      <c r="C38" s="194"/>
      <c r="D38" s="194"/>
      <c r="E38" s="598"/>
    </row>
    <row r="39" spans="1:5" x14ac:dyDescent="0.35">
      <c r="A39" s="176">
        <v>13</v>
      </c>
      <c r="B39" s="315"/>
      <c r="C39" s="194"/>
      <c r="D39" s="194"/>
      <c r="E39" s="598"/>
    </row>
    <row r="40" spans="1:5" x14ac:dyDescent="0.35">
      <c r="B40" s="315"/>
      <c r="C40" s="194"/>
      <c r="D40" s="194"/>
      <c r="E40" s="598"/>
    </row>
    <row r="41" spans="1:5" x14ac:dyDescent="0.35">
      <c r="B41" s="1121"/>
      <c r="C41" s="1240"/>
      <c r="D41" s="204"/>
      <c r="E41" s="205"/>
    </row>
    <row r="43" spans="1:5" x14ac:dyDescent="0.35">
      <c r="A43" s="701" t="s">
        <v>106</v>
      </c>
      <c r="B43" s="702" t="s">
        <v>873</v>
      </c>
      <c r="C43" s="1241"/>
      <c r="D43" s="1013" t="s">
        <v>803</v>
      </c>
      <c r="E43" s="1092" t="s">
        <v>7</v>
      </c>
    </row>
    <row r="44" spans="1:5" x14ac:dyDescent="0.35">
      <c r="A44" s="703">
        <v>16</v>
      </c>
      <c r="B44" s="703">
        <v>9</v>
      </c>
      <c r="C44" s="1242"/>
      <c r="D44" s="964">
        <f>+A44*B44</f>
        <v>144</v>
      </c>
      <c r="E44" s="593" t="s">
        <v>874</v>
      </c>
    </row>
    <row r="45" spans="1:5" x14ac:dyDescent="0.35">
      <c r="A45" s="703">
        <v>4</v>
      </c>
      <c r="B45" s="703">
        <v>8</v>
      </c>
      <c r="C45" s="1242"/>
      <c r="D45" s="964">
        <f>+A45*B45</f>
        <v>32</v>
      </c>
      <c r="E45" s="593" t="s">
        <v>117</v>
      </c>
    </row>
    <row r="46" spans="1:5" x14ac:dyDescent="0.35">
      <c r="A46" s="703">
        <v>1</v>
      </c>
      <c r="B46" s="703">
        <v>8</v>
      </c>
      <c r="C46" s="1242"/>
      <c r="D46" s="964">
        <f>+A46*B46</f>
        <v>8</v>
      </c>
      <c r="E46" s="593" t="s">
        <v>2</v>
      </c>
    </row>
    <row r="47" spans="1:5" x14ac:dyDescent="0.35">
      <c r="A47" s="703">
        <v>1</v>
      </c>
      <c r="B47" s="703">
        <v>8</v>
      </c>
      <c r="C47" s="1242"/>
      <c r="D47" s="964">
        <f>+A47*B47</f>
        <v>8</v>
      </c>
      <c r="E47" s="593" t="s">
        <v>111</v>
      </c>
    </row>
    <row r="48" spans="1:5" x14ac:dyDescent="0.35">
      <c r="A48" s="568"/>
      <c r="B48" s="773"/>
      <c r="C48" s="194"/>
      <c r="D48" s="964">
        <f>+D44+D45+D46+D47</f>
        <v>192</v>
      </c>
      <c r="E48" s="593" t="s">
        <v>1255</v>
      </c>
    </row>
  </sheetData>
  <pageMargins left="0.7" right="0.7" top="0.75" bottom="0.75" header="0.3" footer="0.3"/>
  <pageSetup paperSize="9" scale="76" fitToHeight="0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59A9-B469-4A64-862B-6A50359D44E5}">
  <sheetPr>
    <pageSetUpPr fitToPage="1"/>
  </sheetPr>
  <dimension ref="A1:S186"/>
  <sheetViews>
    <sheetView topLeftCell="A125" zoomScaleNormal="100" workbookViewId="0">
      <selection activeCell="D166" sqref="D166"/>
    </sheetView>
  </sheetViews>
  <sheetFormatPr baseColWidth="10" defaultRowHeight="14.5" x14ac:dyDescent="0.35"/>
  <cols>
    <col min="1" max="1" width="27.6328125" style="771" customWidth="1"/>
    <col min="2" max="2" width="18.90625" style="261" customWidth="1"/>
    <col min="3" max="3" width="19.90625" style="774" customWidth="1"/>
    <col min="4" max="4" width="18.54296875" style="203" customWidth="1"/>
    <col min="5" max="5" width="20.6328125" style="553" customWidth="1"/>
    <col min="6" max="6" width="12.90625" style="771" bestFit="1" customWidth="1"/>
    <col min="7" max="7" width="18.81640625" style="771" customWidth="1"/>
    <col min="8" max="8" width="13.54296875" style="771" bestFit="1" customWidth="1"/>
    <col min="9" max="9" width="13.54296875" style="771" customWidth="1"/>
    <col min="10" max="10" width="14.6328125" style="771" customWidth="1"/>
    <col min="11" max="11" width="14.54296875" style="771" bestFit="1" customWidth="1"/>
    <col min="12" max="12" width="14.54296875" style="771" customWidth="1"/>
    <col min="13" max="13" width="13" style="771" customWidth="1"/>
    <col min="14" max="15" width="14.453125" style="771" bestFit="1" customWidth="1"/>
    <col min="16" max="16" width="14.08984375" style="771" customWidth="1"/>
    <col min="17" max="16384" width="10.90625" style="771"/>
  </cols>
  <sheetData>
    <row r="1" spans="1:18" ht="36" x14ac:dyDescent="0.8">
      <c r="B1" s="937">
        <v>46054</v>
      </c>
    </row>
    <row r="3" spans="1:18" ht="25.5" customHeight="1" x14ac:dyDescent="0.35">
      <c r="A3" s="1466" t="s">
        <v>1352</v>
      </c>
      <c r="B3" s="1431"/>
      <c r="C3" s="1431"/>
      <c r="D3" s="1431"/>
    </row>
    <row r="4" spans="1:18" s="1270" customFormat="1" ht="18" customHeight="1" x14ac:dyDescent="0.35">
      <c r="A4" s="2" t="s">
        <v>7</v>
      </c>
      <c r="B4" s="270" t="s">
        <v>8</v>
      </c>
      <c r="C4" s="217" t="s">
        <v>4</v>
      </c>
      <c r="D4" s="597" t="s">
        <v>9</v>
      </c>
      <c r="E4" s="553"/>
      <c r="Q4" s="771"/>
      <c r="R4" s="771"/>
    </row>
    <row r="5" spans="1:18" ht="18" customHeight="1" x14ac:dyDescent="0.35">
      <c r="A5" s="772" t="s">
        <v>3</v>
      </c>
      <c r="B5" s="258"/>
      <c r="C5" s="227">
        <v>4991</v>
      </c>
      <c r="D5" s="598">
        <f>+B5*C5</f>
        <v>0</v>
      </c>
      <c r="Q5" s="1270"/>
    </row>
    <row r="6" spans="1:18" ht="18" customHeight="1" x14ac:dyDescent="0.35">
      <c r="A6" s="772" t="s">
        <v>403</v>
      </c>
      <c r="B6" s="258"/>
      <c r="C6" s="227">
        <f>+C5</f>
        <v>4991</v>
      </c>
      <c r="D6" s="598">
        <f>+B6*C6</f>
        <v>0</v>
      </c>
      <c r="F6" s="176"/>
      <c r="Q6" s="774"/>
    </row>
    <row r="7" spans="1:18" ht="18" customHeight="1" x14ac:dyDescent="0.35">
      <c r="A7" s="772" t="s">
        <v>1343</v>
      </c>
      <c r="B7" s="258"/>
      <c r="C7" s="227">
        <f>+C5</f>
        <v>4991</v>
      </c>
      <c r="D7" s="598">
        <f>+B7*C7</f>
        <v>0</v>
      </c>
      <c r="F7" s="176"/>
      <c r="Q7" s="774"/>
    </row>
    <row r="8" spans="1:18" ht="18" customHeight="1" x14ac:dyDescent="0.35">
      <c r="A8" s="772" t="s">
        <v>196</v>
      </c>
      <c r="B8" s="258"/>
      <c r="C8" s="227">
        <v>50000</v>
      </c>
      <c r="D8" s="598">
        <v>50000</v>
      </c>
      <c r="F8" s="176"/>
    </row>
    <row r="9" spans="1:18" ht="18" customHeight="1" x14ac:dyDescent="0.35">
      <c r="A9" s="772" t="s">
        <v>6</v>
      </c>
      <c r="B9" s="258"/>
      <c r="C9" s="227">
        <v>100000</v>
      </c>
      <c r="D9" s="598">
        <v>100000</v>
      </c>
      <c r="F9" s="176"/>
    </row>
    <row r="10" spans="1:18" ht="18" customHeight="1" x14ac:dyDescent="0.35">
      <c r="A10" s="772" t="s">
        <v>467</v>
      </c>
      <c r="B10" s="258"/>
      <c r="C10" s="194">
        <f>+C5*1.5</f>
        <v>7486.5</v>
      </c>
      <c r="D10" s="598">
        <f>+B10*C10</f>
        <v>0</v>
      </c>
      <c r="F10" s="176"/>
    </row>
    <row r="11" spans="1:18" ht="18" customHeight="1" x14ac:dyDescent="0.35">
      <c r="A11" s="772" t="s">
        <v>281</v>
      </c>
      <c r="B11" s="258"/>
      <c r="C11" s="194">
        <f>+C5*2</f>
        <v>9982</v>
      </c>
      <c r="D11" s="598">
        <f>+B11*C11</f>
        <v>0</v>
      </c>
      <c r="F11" s="176"/>
    </row>
    <row r="12" spans="1:18" s="1192" customFormat="1" ht="18" customHeight="1" x14ac:dyDescent="0.35">
      <c r="A12" s="1149" t="s">
        <v>823</v>
      </c>
      <c r="B12" s="1150"/>
      <c r="C12" s="1151"/>
      <c r="D12" s="1152">
        <v>150000</v>
      </c>
      <c r="E12" s="1199"/>
      <c r="F12" s="1191"/>
      <c r="R12" s="1193"/>
    </row>
    <row r="13" spans="1:18" s="1192" customFormat="1" ht="18" customHeight="1" x14ac:dyDescent="0.35">
      <c r="A13" s="1149"/>
      <c r="B13" s="1150"/>
      <c r="C13" s="1151"/>
      <c r="D13" s="1152"/>
      <c r="E13" s="1199"/>
      <c r="F13" s="1191"/>
      <c r="R13" s="1193"/>
    </row>
    <row r="14" spans="1:18" ht="18" customHeight="1" x14ac:dyDescent="0.35">
      <c r="A14" s="1470" t="s">
        <v>389</v>
      </c>
      <c r="B14" s="1470"/>
      <c r="C14" s="1470"/>
      <c r="D14" s="599">
        <f>+D5+D6+D7+D8+D9+D10+D11+D12+D13</f>
        <v>300000</v>
      </c>
      <c r="F14" s="248"/>
      <c r="G14" s="248"/>
      <c r="H14" s="248"/>
      <c r="I14" s="248"/>
      <c r="J14" s="248"/>
      <c r="K14" s="248"/>
      <c r="L14" s="248"/>
      <c r="M14" s="248"/>
      <c r="O14" s="1270"/>
    </row>
    <row r="15" spans="1:18" ht="18" customHeight="1" x14ac:dyDescent="0.35">
      <c r="A15" s="800" t="s">
        <v>1331</v>
      </c>
      <c r="B15" s="720"/>
      <c r="C15" s="720"/>
      <c r="D15" s="722">
        <v>-637250.88</v>
      </c>
      <c r="F15" s="248"/>
      <c r="G15" s="248"/>
      <c r="H15" s="248"/>
      <c r="I15" s="248"/>
      <c r="J15" s="248"/>
      <c r="K15" s="248"/>
      <c r="L15" s="248"/>
      <c r="M15" s="248"/>
      <c r="O15" s="1270"/>
    </row>
    <row r="16" spans="1:18" ht="18" customHeight="1" x14ac:dyDescent="0.35">
      <c r="A16" s="1141" t="s">
        <v>1332</v>
      </c>
      <c r="B16" s="721"/>
      <c r="C16" s="905"/>
      <c r="D16" s="722">
        <v>-627230.06000000006</v>
      </c>
      <c r="F16" s="248"/>
      <c r="G16" s="248"/>
      <c r="H16" s="248"/>
      <c r="I16" s="248"/>
      <c r="J16" s="248"/>
      <c r="K16" s="248"/>
      <c r="L16" s="248"/>
      <c r="M16" s="248"/>
      <c r="O16" s="1270"/>
    </row>
    <row r="17" spans="1:19" ht="18" customHeight="1" x14ac:dyDescent="0.35">
      <c r="A17" s="1433" t="s">
        <v>11</v>
      </c>
      <c r="B17" s="1433"/>
      <c r="C17" s="1433"/>
      <c r="D17" s="603">
        <f>+D14+D15+D16</f>
        <v>-964480.94000000006</v>
      </c>
      <c r="F17" s="321"/>
      <c r="G17" s="321"/>
      <c r="H17" s="473"/>
      <c r="I17" s="321"/>
      <c r="J17" s="321"/>
      <c r="Q17" s="1270"/>
    </row>
    <row r="18" spans="1:19" ht="18" customHeight="1" x14ac:dyDescent="0.35">
      <c r="A18" s="1053"/>
      <c r="B18" s="1054"/>
      <c r="C18" s="1054"/>
      <c r="D18" s="1055"/>
      <c r="F18" s="321"/>
      <c r="G18" s="321"/>
      <c r="H18" s="473"/>
      <c r="I18" s="321"/>
      <c r="J18" s="321"/>
      <c r="Q18" s="1270"/>
    </row>
    <row r="19" spans="1:19" s="908" customFormat="1" ht="18" customHeight="1" x14ac:dyDescent="0.35">
      <c r="A19" s="689"/>
      <c r="B19" s="689"/>
      <c r="C19" s="689"/>
      <c r="D19" s="688"/>
      <c r="E19" s="768"/>
      <c r="I19" s="910"/>
      <c r="J19" s="911"/>
      <c r="K19" s="912"/>
      <c r="L19" s="912"/>
      <c r="M19" s="910"/>
      <c r="N19" s="910"/>
      <c r="O19" s="910"/>
      <c r="P19" s="764"/>
      <c r="S19" s="764"/>
    </row>
    <row r="20" spans="1:19" ht="18" customHeight="1" x14ac:dyDescent="0.45">
      <c r="A20" s="1450" t="s">
        <v>1353</v>
      </c>
      <c r="B20" s="1451"/>
      <c r="C20" s="1451"/>
      <c r="D20" s="1452"/>
      <c r="E20" s="796"/>
      <c r="J20" s="185"/>
      <c r="K20" s="181"/>
      <c r="L20" s="181"/>
      <c r="M20" s="181"/>
      <c r="N20" s="181"/>
    </row>
    <row r="21" spans="1:19" ht="18" customHeight="1" x14ac:dyDescent="0.35">
      <c r="A21" s="604" t="s">
        <v>7</v>
      </c>
      <c r="B21" s="605" t="s">
        <v>8</v>
      </c>
      <c r="C21" s="606" t="s">
        <v>4</v>
      </c>
      <c r="D21" s="606" t="s">
        <v>9</v>
      </c>
      <c r="J21" s="185"/>
      <c r="K21" s="181"/>
      <c r="L21" s="181"/>
      <c r="M21" s="184"/>
    </row>
    <row r="22" spans="1:19" ht="18" customHeight="1" x14ac:dyDescent="0.35">
      <c r="A22" s="607" t="s">
        <v>3</v>
      </c>
      <c r="B22" s="267"/>
      <c r="C22" s="211">
        <v>4775</v>
      </c>
      <c r="D22" s="211">
        <f>+B22*C22</f>
        <v>0</v>
      </c>
      <c r="J22" s="182"/>
    </row>
    <row r="23" spans="1:19" ht="18" customHeight="1" x14ac:dyDescent="0.35">
      <c r="A23" s="607" t="s">
        <v>394</v>
      </c>
      <c r="B23" s="267"/>
      <c r="C23" s="211">
        <f>+C22</f>
        <v>4775</v>
      </c>
      <c r="D23" s="211">
        <f>+B23*C23</f>
        <v>0</v>
      </c>
      <c r="J23" s="182"/>
    </row>
    <row r="24" spans="1:19" ht="18" customHeight="1" x14ac:dyDescent="0.35">
      <c r="A24" s="607" t="s">
        <v>1236</v>
      </c>
      <c r="B24" s="267"/>
      <c r="C24" s="211">
        <f>+C22</f>
        <v>4775</v>
      </c>
      <c r="D24" s="211">
        <f>+B24*C24</f>
        <v>0</v>
      </c>
      <c r="J24" s="182"/>
    </row>
    <row r="25" spans="1:19" ht="18" customHeight="1" x14ac:dyDescent="0.35">
      <c r="A25" s="772" t="s">
        <v>196</v>
      </c>
      <c r="B25" s="267"/>
      <c r="C25" s="211">
        <v>50000</v>
      </c>
      <c r="D25" s="211">
        <f>+C25</f>
        <v>50000</v>
      </c>
      <c r="I25" s="1270"/>
    </row>
    <row r="26" spans="1:19" ht="18" customHeight="1" x14ac:dyDescent="0.35">
      <c r="A26" s="772" t="s">
        <v>6</v>
      </c>
      <c r="B26" s="267"/>
      <c r="C26" s="211">
        <v>100000</v>
      </c>
      <c r="D26" s="211">
        <f>+C26</f>
        <v>100000</v>
      </c>
      <c r="I26" s="1270"/>
    </row>
    <row r="27" spans="1:19" ht="18" customHeight="1" x14ac:dyDescent="0.35">
      <c r="A27" s="772" t="s">
        <v>1028</v>
      </c>
      <c r="B27" s="267"/>
      <c r="C27" s="211">
        <f>+C22*1.5</f>
        <v>7162.5</v>
      </c>
      <c r="D27" s="211">
        <f>B27*C27</f>
        <v>0</v>
      </c>
      <c r="E27" s="1025"/>
      <c r="F27" s="181"/>
      <c r="G27" s="187"/>
      <c r="H27" s="188"/>
      <c r="I27" s="1270"/>
      <c r="L27" s="1270"/>
    </row>
    <row r="28" spans="1:19" ht="18" customHeight="1" x14ac:dyDescent="0.35">
      <c r="A28" s="772" t="s">
        <v>281</v>
      </c>
      <c r="B28" s="267"/>
      <c r="C28" s="211">
        <f>+C22*2</f>
        <v>9550</v>
      </c>
      <c r="D28" s="211">
        <f>+B28*C28</f>
        <v>0</v>
      </c>
      <c r="E28" s="1025"/>
      <c r="F28" s="181"/>
      <c r="G28" s="187"/>
      <c r="H28" s="188"/>
      <c r="I28" s="1270"/>
      <c r="L28" s="1270"/>
    </row>
    <row r="29" spans="1:19" s="1192" customFormat="1" ht="18" customHeight="1" x14ac:dyDescent="0.35">
      <c r="A29" s="1149" t="s">
        <v>1040</v>
      </c>
      <c r="B29" s="1196"/>
      <c r="C29" s="1197"/>
      <c r="D29" s="1197">
        <v>250000</v>
      </c>
      <c r="E29" s="1233"/>
      <c r="F29" s="1198"/>
      <c r="G29" s="1195"/>
      <c r="H29" s="1195"/>
      <c r="I29" s="1193"/>
      <c r="L29" s="1193"/>
    </row>
    <row r="30" spans="1:19" s="1192" customFormat="1" ht="18" customHeight="1" x14ac:dyDescent="0.35">
      <c r="A30" s="1149"/>
      <c r="B30" s="1196"/>
      <c r="C30" s="1197"/>
      <c r="D30" s="1197"/>
      <c r="E30" s="1233"/>
      <c r="F30" s="1198"/>
      <c r="G30" s="1195"/>
      <c r="H30" s="1195"/>
      <c r="I30" s="1193"/>
      <c r="L30" s="1193"/>
    </row>
    <row r="31" spans="1:19" s="1270" customFormat="1" ht="18" customHeight="1" x14ac:dyDescent="0.35">
      <c r="A31" s="1459" t="s">
        <v>389</v>
      </c>
      <c r="B31" s="1459"/>
      <c r="C31" s="1459"/>
      <c r="D31" s="599">
        <f>+D22+D23+D24+D25+D26+D27+D28+D29+D30</f>
        <v>400000</v>
      </c>
      <c r="E31" s="553"/>
      <c r="F31" s="181"/>
      <c r="G31" s="181"/>
      <c r="H31" s="184"/>
      <c r="I31" s="771"/>
      <c r="K31" s="771"/>
      <c r="L31" s="771"/>
    </row>
    <row r="32" spans="1:19" s="47" customFormat="1" ht="18" customHeight="1" x14ac:dyDescent="0.35">
      <c r="A32" s="723" t="s">
        <v>1315</v>
      </c>
      <c r="B32" s="723"/>
      <c r="C32" s="1267"/>
      <c r="D32" s="722"/>
      <c r="E32" s="1234"/>
      <c r="F32" s="1268"/>
      <c r="G32" s="1268"/>
      <c r="H32" s="1269"/>
      <c r="I32" s="114"/>
      <c r="K32" s="114"/>
      <c r="L32" s="114"/>
    </row>
    <row r="33" spans="1:17" s="1270" customFormat="1" ht="18" customHeight="1" x14ac:dyDescent="0.35">
      <c r="A33" s="825" t="s">
        <v>1338</v>
      </c>
      <c r="B33" s="824"/>
      <c r="C33" s="823"/>
      <c r="D33" s="930"/>
      <c r="E33" s="553"/>
      <c r="F33" s="181"/>
      <c r="G33" s="181"/>
      <c r="H33" s="184"/>
      <c r="I33" s="771"/>
      <c r="K33" s="771"/>
      <c r="L33" s="771"/>
    </row>
    <row r="34" spans="1:17" ht="18" customHeight="1" x14ac:dyDescent="0.35">
      <c r="A34" s="786" t="s">
        <v>11</v>
      </c>
      <c r="B34" s="783"/>
      <c r="C34" s="783"/>
      <c r="D34" s="784">
        <f>+D31+D32+D33</f>
        <v>400000</v>
      </c>
      <c r="F34" s="181"/>
      <c r="G34" s="181"/>
      <c r="H34" s="184"/>
    </row>
    <row r="35" spans="1:17" ht="18" customHeight="1" x14ac:dyDescent="0.35">
      <c r="A35" s="1047"/>
      <c r="B35" s="594"/>
      <c r="C35" s="594"/>
      <c r="D35" s="595"/>
      <c r="F35" s="181"/>
      <c r="G35" s="181"/>
      <c r="H35" s="184"/>
    </row>
    <row r="36" spans="1:17" ht="18" customHeight="1" x14ac:dyDescent="0.35">
      <c r="A36" s="594"/>
      <c r="B36" s="594"/>
      <c r="C36" s="594"/>
      <c r="D36" s="595"/>
      <c r="F36" s="181"/>
      <c r="G36" s="181"/>
      <c r="H36" s="184"/>
    </row>
    <row r="37" spans="1:17" ht="18" customHeight="1" x14ac:dyDescent="0.35">
      <c r="A37" s="1431" t="s">
        <v>1361</v>
      </c>
      <c r="B37" s="1431"/>
      <c r="C37" s="1431"/>
      <c r="D37" s="1431"/>
      <c r="F37" s="181"/>
      <c r="G37" s="181"/>
      <c r="H37" s="184"/>
    </row>
    <row r="38" spans="1:17" ht="18" customHeight="1" x14ac:dyDescent="0.35">
      <c r="A38" s="2"/>
      <c r="B38" s="270" t="s">
        <v>8</v>
      </c>
      <c r="C38" s="217" t="s">
        <v>4</v>
      </c>
      <c r="D38" s="597" t="s">
        <v>9</v>
      </c>
      <c r="F38" s="181"/>
      <c r="G38" s="181"/>
      <c r="H38" s="184"/>
    </row>
    <row r="39" spans="1:17" ht="18" customHeight="1" x14ac:dyDescent="0.35">
      <c r="A39" s="772" t="s">
        <v>253</v>
      </c>
      <c r="B39" s="258"/>
      <c r="C39" s="194">
        <v>5967</v>
      </c>
      <c r="D39" s="598">
        <f>+B39*C39</f>
        <v>0</v>
      </c>
      <c r="F39" s="181"/>
      <c r="G39" s="181"/>
      <c r="H39" s="184"/>
    </row>
    <row r="40" spans="1:17" ht="18" customHeight="1" x14ac:dyDescent="0.35">
      <c r="A40" s="772" t="s">
        <v>1277</v>
      </c>
      <c r="B40" s="258"/>
      <c r="C40" s="194">
        <f>+C39</f>
        <v>5967</v>
      </c>
      <c r="D40" s="598">
        <f>+B40*C40</f>
        <v>0</v>
      </c>
      <c r="F40" s="181"/>
      <c r="G40" s="181"/>
      <c r="H40" s="184"/>
    </row>
    <row r="41" spans="1:17" ht="18" customHeight="1" x14ac:dyDescent="0.35">
      <c r="A41" s="772" t="s">
        <v>1362</v>
      </c>
      <c r="B41" s="258">
        <f>26*8</f>
        <v>208</v>
      </c>
      <c r="C41" s="194">
        <f>+C39</f>
        <v>5967</v>
      </c>
      <c r="D41" s="598">
        <f>+B41*C41</f>
        <v>1241136</v>
      </c>
      <c r="F41" s="181"/>
      <c r="G41" s="181"/>
      <c r="H41" s="184"/>
    </row>
    <row r="42" spans="1:17" ht="15" customHeight="1" x14ac:dyDescent="0.35">
      <c r="A42" s="772" t="s">
        <v>196</v>
      </c>
      <c r="B42" s="258"/>
      <c r="C42" s="194">
        <v>50000</v>
      </c>
      <c r="D42" s="598"/>
      <c r="F42" s="181"/>
      <c r="G42" s="181"/>
      <c r="H42" s="184"/>
      <c r="I42" s="1270"/>
    </row>
    <row r="43" spans="1:17" ht="15" customHeight="1" x14ac:dyDescent="0.35">
      <c r="A43" s="772" t="s">
        <v>6</v>
      </c>
      <c r="B43" s="258"/>
      <c r="C43" s="194">
        <v>100000</v>
      </c>
      <c r="D43" s="598"/>
      <c r="F43" s="181"/>
      <c r="G43" s="181"/>
      <c r="H43" s="184"/>
      <c r="I43" s="1270"/>
    </row>
    <row r="44" spans="1:17" ht="15" customHeight="1" x14ac:dyDescent="0.35">
      <c r="A44" s="772" t="s">
        <v>1029</v>
      </c>
      <c r="B44" s="315"/>
      <c r="C44" s="194">
        <f>+C39*1.5</f>
        <v>8950.5</v>
      </c>
      <c r="D44" s="598">
        <f>+B44*C44</f>
        <v>0</v>
      </c>
      <c r="F44" s="181"/>
      <c r="G44" s="181"/>
      <c r="H44" s="184"/>
      <c r="I44" s="1270"/>
    </row>
    <row r="45" spans="1:17" ht="15" customHeight="1" x14ac:dyDescent="0.35">
      <c r="A45" s="772" t="s">
        <v>449</v>
      </c>
      <c r="B45" s="315"/>
      <c r="C45" s="194">
        <f>+C39*2</f>
        <v>11934</v>
      </c>
      <c r="D45" s="598">
        <f>+B45*C45</f>
        <v>0</v>
      </c>
      <c r="F45" s="181"/>
      <c r="G45" s="416"/>
      <c r="H45" s="184"/>
      <c r="I45" s="1270"/>
    </row>
    <row r="46" spans="1:17" s="1192" customFormat="1" ht="15" customHeight="1" x14ac:dyDescent="0.35">
      <c r="A46" s="1149" t="s">
        <v>1040</v>
      </c>
      <c r="B46" s="1232"/>
      <c r="C46" s="1151"/>
      <c r="D46" s="1152"/>
      <c r="E46" s="1199"/>
      <c r="F46" s="1198"/>
      <c r="G46" s="1203"/>
      <c r="H46" s="1198"/>
      <c r="I46" s="1193"/>
    </row>
    <row r="47" spans="1:17" s="1192" customFormat="1" ht="15" customHeight="1" x14ac:dyDescent="0.35">
      <c r="A47" s="1149"/>
      <c r="B47" s="1232"/>
      <c r="C47" s="1151"/>
      <c r="D47" s="1152"/>
      <c r="E47" s="1199"/>
      <c r="F47" s="1198"/>
      <c r="G47" s="1203"/>
      <c r="H47" s="1198"/>
      <c r="I47" s="1193"/>
    </row>
    <row r="48" spans="1:17" ht="15" customHeight="1" x14ac:dyDescent="0.35">
      <c r="A48" s="1459" t="s">
        <v>389</v>
      </c>
      <c r="B48" s="1459"/>
      <c r="C48" s="1459"/>
      <c r="D48" s="599">
        <f>+D39+D40+D41+D42+D43+D44+D45+D46+D47</f>
        <v>1241136</v>
      </c>
      <c r="J48" s="176"/>
      <c r="K48" s="176"/>
      <c r="L48" s="176"/>
      <c r="M48" s="181"/>
      <c r="N48" s="181"/>
      <c r="O48" s="184"/>
      <c r="Q48" s="1270"/>
    </row>
    <row r="49" spans="1:19" s="1270" customFormat="1" ht="15" customHeight="1" x14ac:dyDescent="0.35">
      <c r="A49" s="921" t="s">
        <v>1366</v>
      </c>
      <c r="B49" s="727" t="s">
        <v>63</v>
      </c>
      <c r="C49" s="727" t="s">
        <v>63</v>
      </c>
      <c r="D49" s="722">
        <v>-741136</v>
      </c>
      <c r="E49" s="1025"/>
      <c r="F49" s="774"/>
      <c r="G49" s="771"/>
      <c r="H49" s="771"/>
      <c r="I49" s="771"/>
      <c r="J49" s="176"/>
      <c r="K49" s="176"/>
      <c r="L49" s="176"/>
      <c r="M49" s="176"/>
      <c r="N49" s="176"/>
      <c r="O49" s="176"/>
      <c r="P49" s="771"/>
      <c r="Q49" s="771"/>
      <c r="R49" s="771"/>
      <c r="S49" s="771"/>
    </row>
    <row r="50" spans="1:19" s="1270" customFormat="1" ht="15" customHeight="1" x14ac:dyDescent="0.35">
      <c r="A50" s="921"/>
      <c r="B50" s="727"/>
      <c r="C50" s="727"/>
      <c r="D50" s="722"/>
      <c r="E50" s="1025"/>
      <c r="F50" s="774"/>
      <c r="G50" s="771"/>
      <c r="H50" s="771"/>
      <c r="I50" s="771"/>
      <c r="J50" s="176"/>
      <c r="K50" s="176"/>
      <c r="L50" s="176"/>
      <c r="M50" s="176"/>
      <c r="N50" s="176"/>
      <c r="O50" s="176"/>
      <c r="P50" s="771"/>
      <c r="Q50" s="771"/>
      <c r="R50" s="771"/>
      <c r="S50" s="771"/>
    </row>
    <row r="51" spans="1:19" s="1270" customFormat="1" ht="15" customHeight="1" x14ac:dyDescent="0.35">
      <c r="A51" s="1103" t="s">
        <v>11</v>
      </c>
      <c r="B51" s="1104"/>
      <c r="C51" s="1231"/>
      <c r="D51" s="675">
        <f>+D48+D49+D50</f>
        <v>500000</v>
      </c>
      <c r="E51" s="1025"/>
      <c r="F51" s="771"/>
      <c r="G51" s="771"/>
      <c r="H51" s="771"/>
      <c r="I51" s="771"/>
      <c r="J51" s="176"/>
      <c r="K51" s="176"/>
      <c r="L51" s="176"/>
      <c r="M51" s="176"/>
      <c r="N51" s="176"/>
      <c r="O51" s="176"/>
      <c r="P51" s="771"/>
      <c r="Q51" s="771"/>
      <c r="R51" s="771"/>
      <c r="S51" s="771"/>
    </row>
    <row r="52" spans="1:19" s="1270" customFormat="1" ht="15" customHeight="1" x14ac:dyDescent="0.35">
      <c r="A52" s="1224" t="s">
        <v>1149</v>
      </c>
      <c r="B52" s="1225"/>
      <c r="C52" s="1226"/>
      <c r="D52" s="844"/>
      <c r="E52" s="1025"/>
      <c r="F52" s="771"/>
      <c r="G52" s="771"/>
      <c r="H52" s="771"/>
      <c r="I52" s="771"/>
      <c r="J52" s="176"/>
      <c r="K52" s="176"/>
      <c r="L52" s="176"/>
      <c r="M52" s="176"/>
      <c r="N52" s="176"/>
      <c r="O52" s="176"/>
      <c r="P52" s="771"/>
      <c r="Q52" s="771"/>
      <c r="R52" s="771"/>
      <c r="S52" s="771"/>
    </row>
    <row r="53" spans="1:19" ht="15" customHeight="1" x14ac:dyDescent="0.35">
      <c r="A53" s="1229" t="s">
        <v>1349</v>
      </c>
      <c r="B53" s="1229"/>
      <c r="C53" s="1229"/>
      <c r="D53" s="1230">
        <f>+D51+D52</f>
        <v>500000</v>
      </c>
      <c r="K53" s="183"/>
      <c r="L53" s="183"/>
      <c r="M53" s="176"/>
      <c r="N53" s="176"/>
      <c r="O53" s="176"/>
      <c r="Q53" s="1270"/>
    </row>
    <row r="54" spans="1:19" ht="15" customHeight="1" x14ac:dyDescent="0.35">
      <c r="A54" s="1247"/>
      <c r="B54" s="1248"/>
      <c r="C54" s="1248"/>
      <c r="D54" s="1249"/>
      <c r="K54" s="183"/>
      <c r="L54" s="183"/>
      <c r="M54" s="176"/>
      <c r="N54" s="176"/>
      <c r="O54" s="176"/>
      <c r="Q54" s="1270"/>
    </row>
    <row r="55" spans="1:19" s="4" customFormat="1" ht="15" customHeight="1" x14ac:dyDescent="0.35">
      <c r="A55" s="95"/>
      <c r="E55" s="1250"/>
      <c r="F55" s="4" t="s">
        <v>1363</v>
      </c>
      <c r="K55" s="183"/>
      <c r="L55" s="183"/>
      <c r="M55" s="176"/>
      <c r="N55" s="176"/>
      <c r="O55" s="176"/>
      <c r="Q55" s="1251"/>
    </row>
    <row r="56" spans="1:19" ht="15" customHeight="1" x14ac:dyDescent="0.35">
      <c r="A56" s="1431" t="s">
        <v>1354</v>
      </c>
      <c r="B56" s="1431"/>
      <c r="C56" s="1431"/>
      <c r="D56" s="1431"/>
      <c r="S56" s="1270"/>
    </row>
    <row r="57" spans="1:19" x14ac:dyDescent="0.35">
      <c r="A57" s="2" t="s">
        <v>7</v>
      </c>
      <c r="B57" s="270" t="s">
        <v>8</v>
      </c>
      <c r="C57" s="217" t="s">
        <v>4</v>
      </c>
      <c r="D57" s="597" t="s">
        <v>9</v>
      </c>
    </row>
    <row r="58" spans="1:19" x14ac:dyDescent="0.35">
      <c r="A58" s="772" t="s">
        <v>253</v>
      </c>
      <c r="B58" s="258"/>
      <c r="C58" s="227">
        <v>4124</v>
      </c>
      <c r="D58" s="598">
        <f>+B58*C58</f>
        <v>0</v>
      </c>
    </row>
    <row r="59" spans="1:19" x14ac:dyDescent="0.35">
      <c r="A59" s="772" t="s">
        <v>394</v>
      </c>
      <c r="B59" s="258"/>
      <c r="C59" s="227">
        <f>+C58</f>
        <v>4124</v>
      </c>
      <c r="D59" s="598">
        <f>+B59*C59</f>
        <v>0</v>
      </c>
    </row>
    <row r="60" spans="1:19" x14ac:dyDescent="0.35">
      <c r="A60" s="772" t="s">
        <v>1344</v>
      </c>
      <c r="B60" s="258"/>
      <c r="C60" s="227">
        <f>+C58</f>
        <v>4124</v>
      </c>
      <c r="D60" s="598">
        <f>+B60*C60</f>
        <v>0</v>
      </c>
    </row>
    <row r="61" spans="1:19" x14ac:dyDescent="0.35">
      <c r="A61" s="772" t="s">
        <v>266</v>
      </c>
      <c r="B61" s="258"/>
      <c r="C61" s="227">
        <v>50000</v>
      </c>
      <c r="D61" s="598">
        <f>+C61</f>
        <v>50000</v>
      </c>
    </row>
    <row r="62" spans="1:19" x14ac:dyDescent="0.35">
      <c r="A62" s="772" t="s">
        <v>6</v>
      </c>
      <c r="B62" s="258"/>
      <c r="C62" s="227">
        <v>100000</v>
      </c>
      <c r="D62" s="598">
        <f>+C62</f>
        <v>100000</v>
      </c>
    </row>
    <row r="63" spans="1:19" x14ac:dyDescent="0.35">
      <c r="A63" s="772" t="s">
        <v>1030</v>
      </c>
      <c r="B63" s="258"/>
      <c r="C63" s="194">
        <f>+C58*1.5</f>
        <v>6186</v>
      </c>
      <c r="D63" s="598">
        <f>+B63*C63</f>
        <v>0</v>
      </c>
    </row>
    <row r="64" spans="1:19" x14ac:dyDescent="0.35">
      <c r="A64" s="772" t="s">
        <v>449</v>
      </c>
      <c r="B64" s="258"/>
      <c r="C64" s="194">
        <f>+C58*2</f>
        <v>8248</v>
      </c>
      <c r="D64" s="598">
        <f>+B64*C64</f>
        <v>0</v>
      </c>
    </row>
    <row r="65" spans="1:6" s="1192" customFormat="1" x14ac:dyDescent="0.35">
      <c r="A65" s="1149" t="s">
        <v>823</v>
      </c>
      <c r="B65" s="1150"/>
      <c r="C65" s="1151"/>
      <c r="D65" s="1152">
        <v>250000</v>
      </c>
      <c r="E65" s="1199"/>
    </row>
    <row r="66" spans="1:6" s="1192" customFormat="1" x14ac:dyDescent="0.35">
      <c r="A66" s="1149"/>
      <c r="B66" s="1150"/>
      <c r="C66" s="1151"/>
      <c r="D66" s="1152"/>
      <c r="E66" s="1199"/>
    </row>
    <row r="67" spans="1:6" x14ac:dyDescent="0.35">
      <c r="A67" s="1459" t="s">
        <v>389</v>
      </c>
      <c r="B67" s="1459"/>
      <c r="C67" s="1459"/>
      <c r="D67" s="599">
        <f>+D58+D59+D60+D61+D62+D63+D64+D65+D66</f>
        <v>400000</v>
      </c>
      <c r="F67" s="774"/>
    </row>
    <row r="68" spans="1:6" x14ac:dyDescent="0.35">
      <c r="A68" s="904" t="s">
        <v>19</v>
      </c>
      <c r="B68" s="922"/>
      <c r="C68" s="720"/>
      <c r="D68" s="722"/>
    </row>
    <row r="69" spans="1:6" x14ac:dyDescent="0.35">
      <c r="A69" s="129" t="s">
        <v>11</v>
      </c>
      <c r="B69" s="1103"/>
      <c r="C69" s="197"/>
      <c r="D69" s="675">
        <f>+D67+D68</f>
        <v>400000</v>
      </c>
    </row>
    <row r="70" spans="1:6" x14ac:dyDescent="0.35">
      <c r="B70" s="771"/>
      <c r="C70" s="771"/>
      <c r="D70" s="771"/>
    </row>
    <row r="72" spans="1:6" ht="14.5" customHeight="1" x14ac:dyDescent="0.35">
      <c r="A72" s="1431" t="s">
        <v>1355</v>
      </c>
      <c r="B72" s="1431"/>
      <c r="C72" s="1431"/>
      <c r="D72" s="1431"/>
    </row>
    <row r="73" spans="1:6" ht="14.5" customHeight="1" x14ac:dyDescent="0.35">
      <c r="A73" s="2" t="s">
        <v>7</v>
      </c>
      <c r="B73" s="270" t="s">
        <v>8</v>
      </c>
      <c r="C73" s="217" t="s">
        <v>4</v>
      </c>
      <c r="D73" s="597" t="s">
        <v>63</v>
      </c>
    </row>
    <row r="74" spans="1:6" ht="14.5" customHeight="1" x14ac:dyDescent="0.35">
      <c r="A74" s="772" t="s">
        <v>3</v>
      </c>
      <c r="B74" s="258"/>
      <c r="C74" s="227">
        <v>3818</v>
      </c>
      <c r="D74" s="598">
        <f>+B74*C74</f>
        <v>0</v>
      </c>
      <c r="E74" s="1254"/>
    </row>
    <row r="75" spans="1:6" ht="14.5" customHeight="1" x14ac:dyDescent="0.35">
      <c r="A75" s="772" t="s">
        <v>1277</v>
      </c>
      <c r="B75" s="258"/>
      <c r="C75" s="227">
        <f>+C74</f>
        <v>3818</v>
      </c>
      <c r="D75" s="598">
        <f>+B75*C75</f>
        <v>0</v>
      </c>
      <c r="E75" s="1254"/>
    </row>
    <row r="76" spans="1:6" x14ac:dyDescent="0.35">
      <c r="A76" s="772" t="s">
        <v>266</v>
      </c>
      <c r="B76" s="258"/>
      <c r="C76" s="227">
        <v>50000</v>
      </c>
      <c r="D76" s="598">
        <f>+C76</f>
        <v>50000</v>
      </c>
    </row>
    <row r="77" spans="1:6" x14ac:dyDescent="0.35">
      <c r="A77" s="772" t="s">
        <v>6</v>
      </c>
      <c r="B77" s="258"/>
      <c r="C77" s="227">
        <v>100000</v>
      </c>
      <c r="D77" s="598">
        <v>100000</v>
      </c>
    </row>
    <row r="78" spans="1:6" s="1069" customFormat="1" x14ac:dyDescent="0.35">
      <c r="A78" s="614" t="s">
        <v>270</v>
      </c>
      <c r="B78" s="617"/>
      <c r="C78" s="227">
        <f>+C74*1.5</f>
        <v>5727</v>
      </c>
      <c r="D78" s="598">
        <f>+B78*C78</f>
        <v>0</v>
      </c>
      <c r="E78" s="553"/>
    </row>
    <row r="79" spans="1:6" x14ac:dyDescent="0.35">
      <c r="A79" s="772" t="s">
        <v>281</v>
      </c>
      <c r="B79" s="258"/>
      <c r="C79" s="227">
        <f>+C74*2</f>
        <v>7636</v>
      </c>
      <c r="D79" s="598">
        <f>+B79*C79</f>
        <v>0</v>
      </c>
    </row>
    <row r="80" spans="1:6" s="1192" customFormat="1" x14ac:dyDescent="0.35">
      <c r="A80" s="1149" t="s">
        <v>1040</v>
      </c>
      <c r="B80" s="1150"/>
      <c r="C80" s="1151"/>
      <c r="D80" s="1152">
        <v>130000</v>
      </c>
      <c r="E80" s="1199"/>
    </row>
    <row r="81" spans="1:6" s="1192" customFormat="1" x14ac:dyDescent="0.35">
      <c r="A81" s="1149"/>
      <c r="B81" s="1150"/>
      <c r="C81" s="1151"/>
      <c r="D81" s="1152"/>
      <c r="E81" s="1199"/>
    </row>
    <row r="82" spans="1:6" x14ac:dyDescent="0.35">
      <c r="A82" s="1459" t="s">
        <v>389</v>
      </c>
      <c r="B82" s="1459"/>
      <c r="C82" s="1459"/>
      <c r="D82" s="599">
        <f>+D74+D75+D76+D77+D78+D79+D80+D81</f>
        <v>280000</v>
      </c>
      <c r="F82" s="774"/>
    </row>
    <row r="83" spans="1:6" x14ac:dyDescent="0.35">
      <c r="A83" s="723" t="s">
        <v>1345</v>
      </c>
      <c r="B83" s="721"/>
      <c r="C83" s="721"/>
      <c r="D83" s="722"/>
    </row>
    <row r="84" spans="1:6" ht="15.5" x14ac:dyDescent="0.35">
      <c r="A84" s="1471" t="s">
        <v>11</v>
      </c>
      <c r="B84" s="1471"/>
      <c r="C84" s="1471"/>
      <c r="D84" s="603">
        <f>+D82+D83</f>
        <v>280000</v>
      </c>
    </row>
    <row r="85" spans="1:6" s="90" customFormat="1" x14ac:dyDescent="0.35">
      <c r="A85" s="1035"/>
      <c r="B85" s="1042"/>
      <c r="C85" s="553"/>
      <c r="D85" s="1051"/>
      <c r="E85" s="553"/>
    </row>
    <row r="87" spans="1:6" ht="23.5" x14ac:dyDescent="0.35">
      <c r="A87" s="1431" t="s">
        <v>1356</v>
      </c>
      <c r="B87" s="1431"/>
      <c r="C87" s="1431"/>
      <c r="D87" s="1431"/>
    </row>
    <row r="88" spans="1:6" x14ac:dyDescent="0.35">
      <c r="A88" s="2" t="s">
        <v>7</v>
      </c>
      <c r="B88" s="270" t="s">
        <v>388</v>
      </c>
      <c r="C88" s="217" t="s">
        <v>272</v>
      </c>
      <c r="D88" s="597" t="s">
        <v>9</v>
      </c>
    </row>
    <row r="89" spans="1:6" x14ac:dyDescent="0.35">
      <c r="A89" s="772" t="s">
        <v>3</v>
      </c>
      <c r="B89" s="258"/>
      <c r="C89" s="227">
        <v>3794</v>
      </c>
      <c r="D89" s="598">
        <f>+B89*C89</f>
        <v>0</v>
      </c>
    </row>
    <row r="90" spans="1:6" x14ac:dyDescent="0.35">
      <c r="A90" s="772" t="s">
        <v>394</v>
      </c>
      <c r="B90" s="258"/>
      <c r="C90" s="227">
        <f>+C89</f>
        <v>3794</v>
      </c>
      <c r="D90" s="598">
        <f>+B90*C90</f>
        <v>0</v>
      </c>
    </row>
    <row r="91" spans="1:6" x14ac:dyDescent="0.35">
      <c r="A91" s="772" t="s">
        <v>1244</v>
      </c>
      <c r="B91" s="258"/>
      <c r="C91" s="227">
        <f>+C89</f>
        <v>3794</v>
      </c>
      <c r="D91" s="598">
        <f>+B91*C91</f>
        <v>0</v>
      </c>
    </row>
    <row r="92" spans="1:6" x14ac:dyDescent="0.35">
      <c r="A92" s="772" t="s">
        <v>6</v>
      </c>
      <c r="B92" s="258"/>
      <c r="C92" s="227">
        <v>80000</v>
      </c>
      <c r="D92" s="598">
        <f>+C92</f>
        <v>80000</v>
      </c>
    </row>
    <row r="93" spans="1:6" x14ac:dyDescent="0.35">
      <c r="A93" s="772" t="s">
        <v>200</v>
      </c>
      <c r="B93" s="258"/>
      <c r="C93" s="227">
        <v>50000</v>
      </c>
      <c r="D93" s="598">
        <f>+C93</f>
        <v>50000</v>
      </c>
    </row>
    <row r="94" spans="1:6" x14ac:dyDescent="0.35">
      <c r="A94" s="772" t="s">
        <v>1032</v>
      </c>
      <c r="B94" s="258"/>
      <c r="C94" s="227">
        <f>+C89*1.5</f>
        <v>5691</v>
      </c>
      <c r="D94" s="811">
        <f>+B94*C94</f>
        <v>0</v>
      </c>
    </row>
    <row r="95" spans="1:6" x14ac:dyDescent="0.35">
      <c r="A95" s="772" t="s">
        <v>757</v>
      </c>
      <c r="B95" s="258"/>
      <c r="C95" s="227">
        <f>+C89*2</f>
        <v>7588</v>
      </c>
      <c r="D95" s="598">
        <f>+B95*C95</f>
        <v>0</v>
      </c>
    </row>
    <row r="96" spans="1:6" s="1192" customFormat="1" x14ac:dyDescent="0.35">
      <c r="A96" s="1149" t="s">
        <v>1033</v>
      </c>
      <c r="B96" s="1150"/>
      <c r="C96" s="1151"/>
      <c r="D96" s="1152">
        <v>300000</v>
      </c>
      <c r="E96" s="1199"/>
    </row>
    <row r="97" spans="1:6" s="1192" customFormat="1" x14ac:dyDescent="0.35">
      <c r="A97" s="1149"/>
      <c r="B97" s="1150"/>
      <c r="C97" s="1151"/>
      <c r="D97" s="1152"/>
      <c r="E97" s="1199"/>
    </row>
    <row r="98" spans="1:6" x14ac:dyDescent="0.35">
      <c r="A98" s="1036" t="s">
        <v>389</v>
      </c>
      <c r="B98" s="681"/>
      <c r="C98" s="1037"/>
      <c r="D98" s="1038">
        <f>+D89+D90+D91+D92+D93+D94+D95+D96+D97</f>
        <v>430000</v>
      </c>
    </row>
    <row r="99" spans="1:6" x14ac:dyDescent="0.35">
      <c r="A99" s="772" t="s">
        <v>1338</v>
      </c>
      <c r="B99" s="258"/>
      <c r="C99" s="227"/>
      <c r="D99" s="731"/>
      <c r="F99" s="774"/>
    </row>
    <row r="100" spans="1:6" ht="15.5" x14ac:dyDescent="0.35">
      <c r="A100" s="1471" t="s">
        <v>11</v>
      </c>
      <c r="B100" s="1471"/>
      <c r="C100" s="1471"/>
      <c r="D100" s="603">
        <f>+D98+D99</f>
        <v>430000</v>
      </c>
    </row>
    <row r="101" spans="1:6" ht="15.5" x14ac:dyDescent="0.35">
      <c r="A101" s="723" t="s">
        <v>631</v>
      </c>
      <c r="B101" s="723"/>
      <c r="C101" s="723"/>
      <c r="D101" s="832">
        <v>-258100</v>
      </c>
    </row>
    <row r="102" spans="1:6" ht="15.5" x14ac:dyDescent="0.35">
      <c r="A102" s="1271" t="s">
        <v>1010</v>
      </c>
      <c r="B102" s="1271"/>
      <c r="C102" s="1271"/>
      <c r="D102" s="603">
        <f>+D100+D101</f>
        <v>171900</v>
      </c>
    </row>
    <row r="103" spans="1:6" s="90" customFormat="1" x14ac:dyDescent="0.35">
      <c r="B103" s="1042"/>
      <c r="C103" s="553"/>
      <c r="D103" s="1051" t="s">
        <v>63</v>
      </c>
      <c r="E103" s="553"/>
    </row>
    <row r="105" spans="1:6" ht="23.5" x14ac:dyDescent="0.35">
      <c r="A105" s="1431" t="s">
        <v>1357</v>
      </c>
      <c r="B105" s="1431"/>
      <c r="C105" s="1431"/>
      <c r="D105" s="1431"/>
    </row>
    <row r="106" spans="1:6" x14ac:dyDescent="0.35">
      <c r="A106" s="2" t="s">
        <v>7</v>
      </c>
      <c r="B106" s="270" t="s">
        <v>8</v>
      </c>
      <c r="C106" s="217" t="s">
        <v>4</v>
      </c>
      <c r="D106" s="597" t="s">
        <v>9</v>
      </c>
    </row>
    <row r="107" spans="1:6" x14ac:dyDescent="0.35">
      <c r="A107" s="772" t="s">
        <v>3</v>
      </c>
      <c r="B107" s="258"/>
      <c r="C107" s="227">
        <v>3818</v>
      </c>
      <c r="D107" s="598">
        <f>+B107*C107</f>
        <v>0</v>
      </c>
    </row>
    <row r="108" spans="1:6" x14ac:dyDescent="0.35">
      <c r="A108" s="772" t="s">
        <v>1273</v>
      </c>
      <c r="B108" s="258"/>
      <c r="C108" s="227">
        <f>+C107</f>
        <v>3818</v>
      </c>
      <c r="D108" s="598">
        <f>+B108*C108</f>
        <v>0</v>
      </c>
    </row>
    <row r="109" spans="1:6" x14ac:dyDescent="0.35">
      <c r="A109" s="772" t="s">
        <v>200</v>
      </c>
      <c r="B109" s="258"/>
      <c r="C109" s="227">
        <v>50000</v>
      </c>
      <c r="D109" s="598">
        <v>50000</v>
      </c>
    </row>
    <row r="110" spans="1:6" x14ac:dyDescent="0.35">
      <c r="A110" s="772" t="s">
        <v>6</v>
      </c>
      <c r="B110" s="258"/>
      <c r="C110" s="194">
        <v>100000</v>
      </c>
      <c r="D110" s="598">
        <f>+C110</f>
        <v>100000</v>
      </c>
    </row>
    <row r="111" spans="1:6" x14ac:dyDescent="0.35">
      <c r="A111" s="772" t="s">
        <v>1032</v>
      </c>
      <c r="B111" s="258"/>
      <c r="C111" s="194">
        <f>+C107*1.5</f>
        <v>5727</v>
      </c>
      <c r="D111" s="598">
        <f>+B111*C111</f>
        <v>0</v>
      </c>
    </row>
    <row r="112" spans="1:6" x14ac:dyDescent="0.35">
      <c r="A112" s="772" t="s">
        <v>281</v>
      </c>
      <c r="B112" s="258"/>
      <c r="C112" s="194">
        <f>+C107*2</f>
        <v>7636</v>
      </c>
      <c r="D112" s="598">
        <f>+B112*C112</f>
        <v>0</v>
      </c>
    </row>
    <row r="113" spans="1:5" s="90" customFormat="1" x14ac:dyDescent="0.35">
      <c r="A113" s="141" t="s">
        <v>1033</v>
      </c>
      <c r="B113" s="274"/>
      <c r="C113" s="195"/>
      <c r="D113" s="1017">
        <v>130000</v>
      </c>
      <c r="E113" s="553"/>
    </row>
    <row r="114" spans="1:5" s="90" customFormat="1" x14ac:dyDescent="0.35">
      <c r="A114" s="1145"/>
      <c r="B114" s="1146"/>
      <c r="C114" s="1147"/>
      <c r="D114" s="1017"/>
      <c r="E114" s="553"/>
    </row>
    <row r="115" spans="1:5" x14ac:dyDescent="0.35">
      <c r="A115" s="1463" t="s">
        <v>389</v>
      </c>
      <c r="B115" s="1464"/>
      <c r="C115" s="1465"/>
      <c r="D115" s="599">
        <f>+D107+D108+D109+D110+D111+D112+D113+D114</f>
        <v>280000</v>
      </c>
    </row>
    <row r="116" spans="1:5" x14ac:dyDescent="0.35">
      <c r="A116" s="724" t="s">
        <v>374</v>
      </c>
      <c r="B116" s="729"/>
      <c r="C116" s="730"/>
      <c r="D116" s="731"/>
    </row>
    <row r="117" spans="1:5" x14ac:dyDescent="0.35">
      <c r="A117" s="724"/>
      <c r="B117" s="729"/>
      <c r="C117" s="730"/>
      <c r="D117" s="731"/>
    </row>
    <row r="118" spans="1:5" s="997" customFormat="1" ht="15.5" x14ac:dyDescent="0.35">
      <c r="A118" s="992" t="s">
        <v>11</v>
      </c>
      <c r="B118" s="1181"/>
      <c r="C118" s="994"/>
      <c r="D118" s="995">
        <f>+D115+D116+D117</f>
        <v>280000</v>
      </c>
      <c r="E118" s="1026"/>
    </row>
    <row r="119" spans="1:5" s="90" customFormat="1" x14ac:dyDescent="0.35">
      <c r="B119" s="1042"/>
      <c r="C119" s="553"/>
      <c r="D119" s="1051"/>
      <c r="E119" s="553"/>
    </row>
    <row r="121" spans="1:5" ht="23.5" x14ac:dyDescent="0.35">
      <c r="A121" s="1431" t="s">
        <v>1358</v>
      </c>
      <c r="B121" s="1431"/>
      <c r="C121" s="1431"/>
      <c r="D121" s="1431"/>
    </row>
    <row r="122" spans="1:5" x14ac:dyDescent="0.35">
      <c r="A122" s="2" t="s">
        <v>7</v>
      </c>
      <c r="B122" s="270" t="s">
        <v>388</v>
      </c>
      <c r="C122" s="217" t="s">
        <v>629</v>
      </c>
      <c r="D122" s="597" t="s">
        <v>9</v>
      </c>
    </row>
    <row r="123" spans="1:5" x14ac:dyDescent="0.35">
      <c r="A123" s="772" t="s">
        <v>3</v>
      </c>
      <c r="B123" s="258">
        <v>88</v>
      </c>
      <c r="C123" s="194">
        <v>5865</v>
      </c>
      <c r="D123" s="598">
        <f>+B123*C123</f>
        <v>516120</v>
      </c>
    </row>
    <row r="124" spans="1:5" x14ac:dyDescent="0.35">
      <c r="A124" s="772" t="s">
        <v>369</v>
      </c>
      <c r="B124" s="258">
        <v>16</v>
      </c>
      <c r="C124" s="194">
        <f>+C123</f>
        <v>5865</v>
      </c>
      <c r="D124" s="609">
        <f>+B124*C124</f>
        <v>93840</v>
      </c>
    </row>
    <row r="125" spans="1:5" x14ac:dyDescent="0.35">
      <c r="A125" s="772" t="s">
        <v>1344</v>
      </c>
      <c r="B125" s="258">
        <v>80</v>
      </c>
      <c r="C125" s="194">
        <f>+C123</f>
        <v>5865</v>
      </c>
      <c r="D125" s="609">
        <f>+B125*C125</f>
        <v>469200</v>
      </c>
    </row>
    <row r="126" spans="1:5" x14ac:dyDescent="0.35">
      <c r="A126" s="772" t="s">
        <v>556</v>
      </c>
      <c r="B126" s="258"/>
      <c r="C126" s="194">
        <v>50000</v>
      </c>
      <c r="D126" s="609">
        <f>+C126</f>
        <v>50000</v>
      </c>
    </row>
    <row r="127" spans="1:5" x14ac:dyDescent="0.35">
      <c r="A127" s="772" t="s">
        <v>6</v>
      </c>
      <c r="B127" s="258"/>
      <c r="C127" s="194">
        <v>100000</v>
      </c>
      <c r="D127" s="609">
        <f>+C127</f>
        <v>100000</v>
      </c>
    </row>
    <row r="128" spans="1:5" x14ac:dyDescent="0.35">
      <c r="A128" s="614" t="s">
        <v>628</v>
      </c>
      <c r="B128" s="617"/>
      <c r="C128" s="227">
        <f>+C123*1.5</f>
        <v>8797.5</v>
      </c>
      <c r="D128" s="609">
        <f>+B128*C128</f>
        <v>0</v>
      </c>
    </row>
    <row r="129" spans="1:5" x14ac:dyDescent="0.35">
      <c r="A129" s="1149" t="s">
        <v>823</v>
      </c>
      <c r="B129" s="617"/>
      <c r="C129" s="227"/>
      <c r="D129" s="1210">
        <v>130000</v>
      </c>
    </row>
    <row r="130" spans="1:5" x14ac:dyDescent="0.35">
      <c r="A130" s="614"/>
      <c r="B130" s="617"/>
      <c r="C130" s="227"/>
      <c r="D130" s="609"/>
    </row>
    <row r="131" spans="1:5" s="90" customFormat="1" x14ac:dyDescent="0.35">
      <c r="A131" s="1071" t="s">
        <v>389</v>
      </c>
      <c r="B131" s="1074"/>
      <c r="C131" s="1172"/>
      <c r="D131" s="1173">
        <f>+D123+D124+D125+D126+D127+D128+D129+D130</f>
        <v>1359160</v>
      </c>
      <c r="E131" s="553"/>
    </row>
    <row r="132" spans="1:5" x14ac:dyDescent="0.35">
      <c r="A132" s="614" t="s">
        <v>1346</v>
      </c>
      <c r="B132" s="617"/>
      <c r="C132" s="227"/>
      <c r="D132" s="609">
        <v>63000</v>
      </c>
    </row>
    <row r="133" spans="1:5" x14ac:dyDescent="0.35">
      <c r="A133" s="614" t="s">
        <v>1347</v>
      </c>
      <c r="B133" s="617"/>
      <c r="C133" s="227"/>
      <c r="D133" s="609">
        <v>37100</v>
      </c>
    </row>
    <row r="134" spans="1:5" ht="15.5" x14ac:dyDescent="0.35">
      <c r="A134" s="1059" t="s">
        <v>11</v>
      </c>
      <c r="B134" s="1060"/>
      <c r="C134" s="1061"/>
      <c r="D134" s="1167">
        <f>+D131+D132+D133</f>
        <v>1459260</v>
      </c>
    </row>
    <row r="135" spans="1:5" s="764" customFormat="1" ht="15.5" x14ac:dyDescent="0.35">
      <c r="A135" s="831" t="s">
        <v>1365</v>
      </c>
      <c r="B135" s="263"/>
      <c r="C135" s="1272"/>
      <c r="D135" s="832">
        <v>-1000000</v>
      </c>
      <c r="E135" s="768"/>
    </row>
    <row r="136" spans="1:5" s="764" customFormat="1" ht="15.5" x14ac:dyDescent="0.35">
      <c r="A136" s="831" t="s">
        <v>23</v>
      </c>
      <c r="B136" s="263"/>
      <c r="C136" s="1272"/>
      <c r="D136" s="832">
        <f>+D134+D135</f>
        <v>459260</v>
      </c>
      <c r="E136" s="768"/>
    </row>
    <row r="139" spans="1:5" ht="23.5" x14ac:dyDescent="0.35">
      <c r="A139" s="1431" t="s">
        <v>1359</v>
      </c>
      <c r="B139" s="1431"/>
      <c r="C139" s="1431"/>
      <c r="D139" s="1431"/>
    </row>
    <row r="140" spans="1:5" x14ac:dyDescent="0.35">
      <c r="A140" s="2" t="s">
        <v>7</v>
      </c>
      <c r="B140" s="270" t="s">
        <v>8</v>
      </c>
      <c r="C140" s="217" t="s">
        <v>4</v>
      </c>
      <c r="D140" s="597" t="s">
        <v>9</v>
      </c>
    </row>
    <row r="141" spans="1:5" x14ac:dyDescent="0.35">
      <c r="A141" s="772" t="s">
        <v>3</v>
      </c>
      <c r="B141" s="258"/>
      <c r="C141" s="194">
        <v>5865</v>
      </c>
      <c r="D141" s="598">
        <f>+B141*C141</f>
        <v>0</v>
      </c>
    </row>
    <row r="142" spans="1:5" x14ac:dyDescent="0.35">
      <c r="A142" s="772" t="s">
        <v>394</v>
      </c>
      <c r="B142" s="258"/>
      <c r="C142" s="194">
        <f>+C141</f>
        <v>5865</v>
      </c>
      <c r="D142" s="609">
        <f>+B142*C142</f>
        <v>0</v>
      </c>
    </row>
    <row r="143" spans="1:5" x14ac:dyDescent="0.35">
      <c r="A143" s="772" t="s">
        <v>1244</v>
      </c>
      <c r="B143" s="258"/>
      <c r="C143" s="194">
        <f>+C142</f>
        <v>5865</v>
      </c>
      <c r="D143" s="609">
        <f>+B143*C143</f>
        <v>0</v>
      </c>
    </row>
    <row r="144" spans="1:5" x14ac:dyDescent="0.35">
      <c r="A144" s="772" t="s">
        <v>6</v>
      </c>
      <c r="B144" s="258"/>
      <c r="C144" s="194">
        <v>100000</v>
      </c>
      <c r="D144" s="609">
        <f>+C144</f>
        <v>100000</v>
      </c>
    </row>
    <row r="145" spans="1:19" x14ac:dyDescent="0.35">
      <c r="A145" s="614" t="s">
        <v>556</v>
      </c>
      <c r="B145" s="617"/>
      <c r="C145" s="227">
        <v>50000</v>
      </c>
      <c r="D145" s="609">
        <v>50000</v>
      </c>
    </row>
    <row r="146" spans="1:19" x14ac:dyDescent="0.35">
      <c r="A146" s="614" t="s">
        <v>1035</v>
      </c>
      <c r="B146" s="617"/>
      <c r="C146" s="227">
        <f>+C141*1.5</f>
        <v>8797.5</v>
      </c>
      <c r="D146" s="609">
        <f>+B146*C146</f>
        <v>0</v>
      </c>
    </row>
    <row r="147" spans="1:19" s="1192" customFormat="1" x14ac:dyDescent="0.35">
      <c r="A147" s="1149" t="s">
        <v>823</v>
      </c>
      <c r="B147" s="1150"/>
      <c r="C147" s="1151"/>
      <c r="D147" s="1210">
        <v>130000</v>
      </c>
      <c r="E147" s="1199"/>
    </row>
    <row r="148" spans="1:19" x14ac:dyDescent="0.35">
      <c r="A148" s="1149"/>
      <c r="B148" s="617"/>
      <c r="C148" s="227"/>
      <c r="D148" s="609"/>
    </row>
    <row r="149" spans="1:19" x14ac:dyDescent="0.35">
      <c r="A149" s="882" t="s">
        <v>389</v>
      </c>
      <c r="B149" s="883"/>
      <c r="C149" s="884"/>
      <c r="D149" s="1058">
        <f>+D141+D142+D143+D144+D145+D146+D147+D148</f>
        <v>280000</v>
      </c>
    </row>
    <row r="150" spans="1:19" x14ac:dyDescent="0.35">
      <c r="A150" s="724" t="s">
        <v>1348</v>
      </c>
      <c r="B150" s="729"/>
      <c r="C150" s="729"/>
      <c r="D150" s="731"/>
    </row>
    <row r="151" spans="1:19" x14ac:dyDescent="0.35">
      <c r="A151" s="1071" t="s">
        <v>11</v>
      </c>
      <c r="B151" s="1074"/>
      <c r="C151" s="1074"/>
      <c r="D151" s="1075">
        <f>+D149+D150</f>
        <v>280000</v>
      </c>
    </row>
    <row r="155" spans="1:19" s="1042" customFormat="1" ht="23.5" x14ac:dyDescent="0.35">
      <c r="A155" s="1442" t="s">
        <v>1364</v>
      </c>
      <c r="B155" s="1443"/>
      <c r="C155" s="1443"/>
      <c r="D155" s="1444"/>
      <c r="E155" s="553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</row>
    <row r="156" spans="1:19" s="1042" customFormat="1" x14ac:dyDescent="0.35">
      <c r="A156" s="2" t="s">
        <v>7</v>
      </c>
      <c r="B156" s="270" t="s">
        <v>388</v>
      </c>
      <c r="C156" s="217" t="s">
        <v>1037</v>
      </c>
      <c r="D156" s="597" t="s">
        <v>9</v>
      </c>
      <c r="E156" s="553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</row>
    <row r="157" spans="1:19" s="1042" customFormat="1" x14ac:dyDescent="0.35">
      <c r="A157" s="772" t="s">
        <v>3</v>
      </c>
      <c r="B157" s="258"/>
      <c r="C157" s="194">
        <v>4124</v>
      </c>
      <c r="D157" s="598">
        <f>+B157*C157</f>
        <v>0</v>
      </c>
      <c r="E157" s="553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</row>
    <row r="158" spans="1:19" s="1042" customFormat="1" x14ac:dyDescent="0.35">
      <c r="A158" s="772" t="s">
        <v>403</v>
      </c>
      <c r="B158" s="258"/>
      <c r="C158" s="194">
        <f>+C157</f>
        <v>4124</v>
      </c>
      <c r="D158" s="598">
        <f>+B158*C158</f>
        <v>0</v>
      </c>
      <c r="E158" s="553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</row>
    <row r="159" spans="1:19" s="1042" customFormat="1" x14ac:dyDescent="0.35">
      <c r="A159" s="772" t="s">
        <v>1344</v>
      </c>
      <c r="B159" s="258">
        <v>80</v>
      </c>
      <c r="C159" s="194">
        <f>+C157</f>
        <v>4124</v>
      </c>
      <c r="D159" s="598">
        <f>+B159*C159</f>
        <v>329920</v>
      </c>
      <c r="E159" s="553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</row>
    <row r="160" spans="1:19" s="1042" customFormat="1" x14ac:dyDescent="0.35">
      <c r="A160" s="772" t="s">
        <v>200</v>
      </c>
      <c r="B160" s="258"/>
      <c r="C160" s="194">
        <v>50000</v>
      </c>
      <c r="D160" s="609">
        <v>0</v>
      </c>
      <c r="E160" s="553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</row>
    <row r="161" spans="1:19" s="1042" customFormat="1" x14ac:dyDescent="0.35">
      <c r="A161" s="614" t="s">
        <v>6</v>
      </c>
      <c r="B161" s="617"/>
      <c r="C161" s="227">
        <v>100000</v>
      </c>
      <c r="D161" s="609">
        <v>0</v>
      </c>
      <c r="E161" s="553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</row>
    <row r="162" spans="1:19" s="1042" customFormat="1" x14ac:dyDescent="0.35">
      <c r="A162" s="614" t="s">
        <v>1035</v>
      </c>
      <c r="B162" s="617"/>
      <c r="C162" s="227">
        <f>+C157*1.5</f>
        <v>6186</v>
      </c>
      <c r="D162" s="609">
        <f>+B162*C162</f>
        <v>0</v>
      </c>
      <c r="E162" s="553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</row>
    <row r="163" spans="1:19" s="1042" customFormat="1" x14ac:dyDescent="0.35">
      <c r="A163" s="614" t="s">
        <v>1036</v>
      </c>
      <c r="B163" s="617"/>
      <c r="C163" s="227">
        <f>+C157*2</f>
        <v>8248</v>
      </c>
      <c r="D163" s="609">
        <f>+C163*0</f>
        <v>0</v>
      </c>
      <c r="E163" s="553"/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</row>
    <row r="164" spans="1:19" s="1190" customFormat="1" x14ac:dyDescent="0.35">
      <c r="A164" s="1149" t="s">
        <v>823</v>
      </c>
      <c r="B164" s="1150"/>
      <c r="C164" s="1151">
        <v>130000</v>
      </c>
      <c r="D164" s="1210">
        <v>0</v>
      </c>
      <c r="E164" s="1199"/>
      <c r="F164" s="1192"/>
      <c r="G164" s="1192"/>
      <c r="H164" s="1192"/>
      <c r="I164" s="1192"/>
      <c r="J164" s="1192"/>
      <c r="K164" s="1192"/>
      <c r="L164" s="1192"/>
      <c r="M164" s="1192"/>
      <c r="N164" s="1192"/>
      <c r="O164" s="1192"/>
      <c r="P164" s="1192"/>
      <c r="Q164" s="1192"/>
      <c r="R164" s="1192"/>
      <c r="S164" s="1192"/>
    </row>
    <row r="165" spans="1:19" s="1190" customFormat="1" x14ac:dyDescent="0.35">
      <c r="A165" s="1223"/>
      <c r="B165" s="1150"/>
      <c r="C165" s="1151"/>
      <c r="D165" s="1210"/>
      <c r="E165" s="1199"/>
      <c r="F165" s="1192"/>
      <c r="G165" s="1192"/>
      <c r="H165" s="1192"/>
      <c r="I165" s="1192"/>
      <c r="J165" s="1192"/>
      <c r="K165" s="1192"/>
      <c r="L165" s="1192"/>
      <c r="M165" s="1192"/>
      <c r="N165" s="1192"/>
      <c r="O165" s="1192"/>
      <c r="P165" s="1192"/>
      <c r="Q165" s="1192"/>
      <c r="R165" s="1192"/>
      <c r="S165" s="1192"/>
    </row>
    <row r="166" spans="1:19" s="1042" customFormat="1" x14ac:dyDescent="0.35">
      <c r="A166" s="882" t="s">
        <v>389</v>
      </c>
      <c r="B166" s="883"/>
      <c r="C166" s="884"/>
      <c r="D166" s="1173">
        <f>+D157+D158+D159+D160+D161+D162+D163+D164+D165</f>
        <v>329920</v>
      </c>
      <c r="E166" s="553"/>
      <c r="F166" s="771"/>
      <c r="G166" s="771"/>
      <c r="H166" s="771"/>
      <c r="I166" s="771"/>
      <c r="J166" s="771"/>
      <c r="K166" s="771"/>
      <c r="L166" s="771"/>
      <c r="M166" s="771"/>
      <c r="N166" s="771"/>
      <c r="O166" s="771"/>
      <c r="P166" s="771"/>
      <c r="Q166" s="771"/>
      <c r="R166" s="771"/>
      <c r="S166" s="771"/>
    </row>
    <row r="167" spans="1:19" s="1073" customFormat="1" x14ac:dyDescent="0.35">
      <c r="A167" s="739" t="s">
        <v>1348</v>
      </c>
      <c r="B167" s="1215"/>
      <c r="C167" s="1216"/>
      <c r="D167" s="736"/>
      <c r="E167" s="1234"/>
      <c r="F167" s="1070"/>
      <c r="G167" s="1070"/>
      <c r="H167" s="1070"/>
      <c r="I167" s="1070"/>
      <c r="J167" s="1070"/>
      <c r="K167" s="1070"/>
      <c r="L167" s="1070"/>
      <c r="M167" s="1070"/>
      <c r="N167" s="1070"/>
      <c r="O167" s="1070"/>
      <c r="P167" s="1070"/>
      <c r="Q167" s="1070"/>
      <c r="R167" s="1070"/>
      <c r="S167" s="1070"/>
    </row>
    <row r="168" spans="1:19" s="1042" customFormat="1" x14ac:dyDescent="0.35">
      <c r="A168" s="724"/>
      <c r="B168" s="729"/>
      <c r="C168" s="729"/>
      <c r="D168" s="731"/>
      <c r="E168" s="553"/>
      <c r="F168" s="771"/>
      <c r="G168" s="771"/>
      <c r="H168" s="771"/>
      <c r="I168" s="771"/>
      <c r="J168" s="771"/>
      <c r="K168" s="771"/>
      <c r="L168" s="771"/>
      <c r="M168" s="771"/>
      <c r="N168" s="771"/>
      <c r="O168" s="771"/>
      <c r="P168" s="771"/>
      <c r="Q168" s="771"/>
      <c r="R168" s="771"/>
      <c r="S168" s="771"/>
    </row>
    <row r="169" spans="1:19" s="1042" customFormat="1" x14ac:dyDescent="0.35">
      <c r="A169" s="1071" t="s">
        <v>11</v>
      </c>
      <c r="B169" s="1074"/>
      <c r="C169" s="1074"/>
      <c r="D169" s="1075">
        <f>+D166+D167+D168</f>
        <v>329920</v>
      </c>
      <c r="E169" s="553"/>
      <c r="F169" s="771"/>
      <c r="G169" s="771"/>
      <c r="H169" s="771"/>
      <c r="I169" s="771"/>
      <c r="J169" s="771"/>
      <c r="K169" s="771"/>
      <c r="L169" s="771"/>
      <c r="M169" s="771"/>
      <c r="N169" s="771"/>
      <c r="O169" s="771"/>
      <c r="P169" s="771"/>
      <c r="Q169" s="771"/>
      <c r="R169" s="771"/>
      <c r="S169" s="771"/>
    </row>
    <row r="173" spans="1:19" s="1042" customFormat="1" ht="23.5" x14ac:dyDescent="0.35">
      <c r="A173" s="1442" t="s">
        <v>1360</v>
      </c>
      <c r="B173" s="1443"/>
      <c r="C173" s="1443"/>
      <c r="D173" s="1444"/>
      <c r="E173" s="553"/>
      <c r="F173" s="771"/>
      <c r="G173" s="771"/>
      <c r="H173" s="771"/>
      <c r="I173" s="771"/>
      <c r="J173" s="771"/>
      <c r="K173" s="771"/>
      <c r="L173" s="771"/>
      <c r="M173" s="771"/>
      <c r="N173" s="771"/>
      <c r="O173" s="771"/>
      <c r="P173" s="771"/>
      <c r="Q173" s="771"/>
      <c r="R173" s="771"/>
      <c r="S173" s="771"/>
    </row>
    <row r="174" spans="1:19" s="1042" customFormat="1" x14ac:dyDescent="0.35">
      <c r="A174" s="2" t="s">
        <v>7</v>
      </c>
      <c r="B174" s="270" t="s">
        <v>388</v>
      </c>
      <c r="C174" s="217" t="s">
        <v>1037</v>
      </c>
      <c r="D174" s="597" t="s">
        <v>9</v>
      </c>
      <c r="E174" s="553"/>
      <c r="F174" s="771"/>
      <c r="G174" s="771"/>
      <c r="H174" s="771"/>
      <c r="I174" s="771"/>
      <c r="J174" s="771"/>
      <c r="K174" s="771"/>
      <c r="L174" s="771"/>
      <c r="M174" s="771"/>
      <c r="N174" s="771"/>
      <c r="O174" s="771"/>
      <c r="P174" s="771"/>
      <c r="Q174" s="771"/>
      <c r="R174" s="771"/>
      <c r="S174" s="771"/>
    </row>
    <row r="175" spans="1:19" s="1042" customFormat="1" x14ac:dyDescent="0.35">
      <c r="A175" s="772" t="s">
        <v>3</v>
      </c>
      <c r="B175" s="258"/>
      <c r="C175" s="194"/>
      <c r="D175" s="598">
        <v>1650000</v>
      </c>
      <c r="E175" s="553"/>
      <c r="F175" s="771"/>
      <c r="G175" s="771"/>
      <c r="H175" s="771"/>
      <c r="I175" s="771"/>
      <c r="J175" s="771"/>
      <c r="K175" s="771"/>
      <c r="L175" s="771"/>
      <c r="M175" s="771"/>
      <c r="N175" s="771"/>
      <c r="O175" s="771"/>
      <c r="P175" s="771"/>
      <c r="Q175" s="771"/>
      <c r="R175" s="771"/>
      <c r="S175" s="771"/>
    </row>
    <row r="176" spans="1:19" s="1042" customFormat="1" x14ac:dyDescent="0.35">
      <c r="A176" s="772" t="s">
        <v>394</v>
      </c>
      <c r="B176" s="258"/>
      <c r="C176" s="194"/>
      <c r="D176" s="609">
        <f>+B176*C176</f>
        <v>0</v>
      </c>
      <c r="E176" s="553"/>
      <c r="F176" s="771"/>
      <c r="G176" s="771"/>
      <c r="H176" s="771"/>
      <c r="I176" s="771"/>
      <c r="J176" s="771"/>
      <c r="K176" s="771"/>
      <c r="L176" s="771"/>
      <c r="M176" s="771"/>
      <c r="N176" s="771"/>
      <c r="O176" s="771"/>
      <c r="P176" s="771"/>
      <c r="Q176" s="771"/>
      <c r="R176" s="771"/>
      <c r="S176" s="771"/>
    </row>
    <row r="177" spans="1:19" s="1042" customFormat="1" x14ac:dyDescent="0.35">
      <c r="A177" s="772" t="s">
        <v>200</v>
      </c>
      <c r="B177" s="258"/>
      <c r="C177" s="194"/>
      <c r="D177" s="609">
        <f>+C177</f>
        <v>0</v>
      </c>
      <c r="E177" s="553"/>
      <c r="F177" s="771"/>
      <c r="G177" s="771"/>
      <c r="H177" s="771"/>
      <c r="I177" s="771"/>
      <c r="J177" s="771"/>
      <c r="K177" s="771"/>
      <c r="L177" s="771"/>
      <c r="M177" s="771"/>
      <c r="N177" s="771"/>
      <c r="O177" s="771"/>
      <c r="P177" s="771"/>
      <c r="Q177" s="771"/>
      <c r="R177" s="771"/>
      <c r="S177" s="771"/>
    </row>
    <row r="178" spans="1:19" s="1042" customFormat="1" x14ac:dyDescent="0.35">
      <c r="A178" s="614" t="s">
        <v>6</v>
      </c>
      <c r="B178" s="617"/>
      <c r="C178" s="227"/>
      <c r="D178" s="609">
        <f>+C178</f>
        <v>0</v>
      </c>
      <c r="E178" s="553"/>
      <c r="F178" s="771"/>
      <c r="G178" s="771"/>
      <c r="H178" s="771"/>
      <c r="I178" s="771"/>
      <c r="J178" s="771"/>
      <c r="K178" s="771"/>
      <c r="L178" s="771"/>
      <c r="M178" s="771"/>
      <c r="N178" s="771"/>
      <c r="O178" s="771"/>
      <c r="P178" s="771"/>
      <c r="Q178" s="771"/>
      <c r="R178" s="771"/>
      <c r="S178" s="771"/>
    </row>
    <row r="179" spans="1:19" s="1042" customFormat="1" x14ac:dyDescent="0.35">
      <c r="A179" s="614" t="s">
        <v>1035</v>
      </c>
      <c r="B179" s="617"/>
      <c r="C179" s="227"/>
      <c r="D179" s="609">
        <f>+B179*C179</f>
        <v>0</v>
      </c>
      <c r="E179" s="553"/>
      <c r="F179" s="771"/>
      <c r="G179" s="771"/>
      <c r="H179" s="771"/>
      <c r="I179" s="771"/>
      <c r="J179" s="771"/>
      <c r="K179" s="771"/>
      <c r="L179" s="771"/>
      <c r="M179" s="771"/>
      <c r="N179" s="771"/>
      <c r="O179" s="771"/>
      <c r="P179" s="771"/>
      <c r="Q179" s="771"/>
      <c r="R179" s="771"/>
      <c r="S179" s="771"/>
    </row>
    <row r="180" spans="1:19" s="1042" customFormat="1" x14ac:dyDescent="0.35">
      <c r="A180" s="614" t="s">
        <v>1036</v>
      </c>
      <c r="B180" s="617"/>
      <c r="C180" s="227"/>
      <c r="D180" s="609">
        <f>+C180*0</f>
        <v>0</v>
      </c>
      <c r="E180" s="553"/>
      <c r="F180" s="771"/>
      <c r="G180" s="771"/>
      <c r="H180" s="771"/>
      <c r="I180" s="771"/>
      <c r="J180" s="771"/>
      <c r="K180" s="771"/>
      <c r="L180" s="771"/>
      <c r="M180" s="771"/>
      <c r="N180" s="771"/>
      <c r="O180" s="771"/>
      <c r="P180" s="771"/>
      <c r="Q180" s="771"/>
      <c r="R180" s="771"/>
      <c r="S180" s="771"/>
    </row>
    <row r="181" spans="1:19" s="1190" customFormat="1" x14ac:dyDescent="0.35">
      <c r="A181" s="1149" t="s">
        <v>823</v>
      </c>
      <c r="B181" s="1150"/>
      <c r="C181" s="1151"/>
      <c r="D181" s="1210"/>
      <c r="E181" s="1199"/>
      <c r="F181" s="1192"/>
      <c r="G181" s="1192"/>
      <c r="H181" s="1192"/>
      <c r="I181" s="1192"/>
      <c r="J181" s="1192"/>
      <c r="K181" s="1192"/>
      <c r="L181" s="1192"/>
      <c r="M181" s="1192"/>
      <c r="N181" s="1192"/>
      <c r="O181" s="1192"/>
      <c r="P181" s="1192"/>
      <c r="Q181" s="1192"/>
      <c r="R181" s="1192"/>
      <c r="S181" s="1192"/>
    </row>
    <row r="182" spans="1:19" s="1190" customFormat="1" x14ac:dyDescent="0.35">
      <c r="A182" s="1223"/>
      <c r="B182" s="1150"/>
      <c r="C182" s="1151"/>
      <c r="D182" s="1210"/>
      <c r="E182" s="1199"/>
      <c r="F182" s="1192"/>
      <c r="G182" s="1192"/>
      <c r="H182" s="1192"/>
      <c r="I182" s="1192"/>
      <c r="J182" s="1192"/>
      <c r="K182" s="1192"/>
      <c r="L182" s="1192"/>
      <c r="M182" s="1192"/>
      <c r="N182" s="1192"/>
      <c r="O182" s="1192"/>
      <c r="P182" s="1192"/>
      <c r="Q182" s="1192"/>
      <c r="R182" s="1192"/>
      <c r="S182" s="1192"/>
    </row>
    <row r="183" spans="1:19" s="1042" customFormat="1" x14ac:dyDescent="0.35">
      <c r="A183" s="882" t="s">
        <v>389</v>
      </c>
      <c r="B183" s="883"/>
      <c r="C183" s="884"/>
      <c r="D183" s="1058">
        <f>+D175+D176+D177+D178+D179+D180+D181+D182</f>
        <v>1650000</v>
      </c>
      <c r="E183" s="553"/>
      <c r="F183" s="771"/>
      <c r="G183" s="771"/>
      <c r="H183" s="771"/>
      <c r="I183" s="771"/>
      <c r="J183" s="771"/>
      <c r="K183" s="771"/>
      <c r="L183" s="771"/>
      <c r="M183" s="771"/>
      <c r="N183" s="771"/>
      <c r="O183" s="771"/>
      <c r="P183" s="771"/>
      <c r="Q183" s="771"/>
      <c r="R183" s="771"/>
      <c r="S183" s="771"/>
    </row>
    <row r="184" spans="1:19" s="1042" customFormat="1" x14ac:dyDescent="0.35">
      <c r="A184" s="1211"/>
      <c r="B184" s="1212"/>
      <c r="C184" s="1213"/>
      <c r="D184" s="1214"/>
      <c r="E184" s="553"/>
      <c r="F184" s="771"/>
      <c r="G184" s="771"/>
      <c r="H184" s="771"/>
      <c r="I184" s="771"/>
      <c r="J184" s="771"/>
      <c r="K184" s="771"/>
      <c r="L184" s="771"/>
      <c r="M184" s="771"/>
      <c r="N184" s="771"/>
      <c r="O184" s="771"/>
      <c r="P184" s="771"/>
      <c r="Q184" s="771"/>
      <c r="R184" s="771"/>
      <c r="S184" s="771"/>
    </row>
    <row r="185" spans="1:19" s="1042" customFormat="1" x14ac:dyDescent="0.35">
      <c r="A185" s="724"/>
      <c r="B185" s="729"/>
      <c r="C185" s="729"/>
      <c r="D185" s="731"/>
      <c r="E185" s="553"/>
      <c r="F185" s="771"/>
      <c r="G185" s="771"/>
      <c r="H185" s="771"/>
      <c r="I185" s="771"/>
      <c r="J185" s="771"/>
      <c r="K185" s="771"/>
      <c r="L185" s="771"/>
      <c r="M185" s="771"/>
      <c r="N185" s="771"/>
      <c r="O185" s="771"/>
      <c r="P185" s="771"/>
      <c r="Q185" s="771"/>
      <c r="R185" s="771"/>
      <c r="S185" s="771"/>
    </row>
    <row r="186" spans="1:19" s="1042" customFormat="1" x14ac:dyDescent="0.35">
      <c r="A186" s="1071" t="s">
        <v>11</v>
      </c>
      <c r="B186" s="1074"/>
      <c r="C186" s="1074"/>
      <c r="D186" s="1075">
        <f>+D183+D184+D185</f>
        <v>1650000</v>
      </c>
      <c r="E186" s="553"/>
      <c r="F186" s="771"/>
      <c r="G186" s="771"/>
      <c r="H186" s="771"/>
      <c r="I186" s="771"/>
      <c r="J186" s="771"/>
      <c r="K186" s="771"/>
      <c r="L186" s="771"/>
      <c r="M186" s="771"/>
      <c r="N186" s="771"/>
      <c r="O186" s="771"/>
      <c r="P186" s="771"/>
      <c r="Q186" s="771"/>
      <c r="R186" s="771"/>
      <c r="S186" s="771"/>
    </row>
  </sheetData>
  <mergeCells count="20">
    <mergeCell ref="A84:C84"/>
    <mergeCell ref="A3:D3"/>
    <mergeCell ref="A14:C14"/>
    <mergeCell ref="A17:C17"/>
    <mergeCell ref="A20:D20"/>
    <mergeCell ref="A31:C31"/>
    <mergeCell ref="A37:D37"/>
    <mergeCell ref="A48:C48"/>
    <mergeCell ref="A56:D56"/>
    <mergeCell ref="A67:C67"/>
    <mergeCell ref="A72:D72"/>
    <mergeCell ref="A82:C82"/>
    <mergeCell ref="A155:D155"/>
    <mergeCell ref="A173:D173"/>
    <mergeCell ref="A87:D87"/>
    <mergeCell ref="A100:C100"/>
    <mergeCell ref="A105:D105"/>
    <mergeCell ref="A115:C115"/>
    <mergeCell ref="A121:D121"/>
    <mergeCell ref="A139:D139"/>
  </mergeCells>
  <pageMargins left="0.31496062992125984" right="0.11811023622047245" top="0" bottom="0" header="0.31496062992125984" footer="0.31496062992125984"/>
  <pageSetup paperSize="9" scale="27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181F-30B9-45B0-9559-BD6945DAE452}">
  <sheetPr>
    <pageSetUpPr fitToPage="1"/>
  </sheetPr>
  <dimension ref="A1:F48"/>
  <sheetViews>
    <sheetView tabSelected="1" workbookViewId="0">
      <selection activeCell="E10" sqref="E10"/>
    </sheetView>
  </sheetViews>
  <sheetFormatPr baseColWidth="10" defaultRowHeight="14.5" x14ac:dyDescent="0.35"/>
  <cols>
    <col min="1" max="1" width="22.36328125" style="771" customWidth="1"/>
    <col min="2" max="2" width="22" style="771" customWidth="1"/>
    <col min="3" max="3" width="22" style="774" customWidth="1"/>
    <col min="4" max="4" width="26.90625" style="774" customWidth="1"/>
    <col min="5" max="5" width="21.1796875" style="774" customWidth="1"/>
    <col min="6" max="6" width="25.26953125" style="771" customWidth="1"/>
    <col min="7" max="16384" width="10.90625" style="771"/>
  </cols>
  <sheetData>
    <row r="1" spans="1:6" s="658" customFormat="1" ht="28.5" x14ac:dyDescent="0.65">
      <c r="A1" s="946"/>
      <c r="B1" s="1122" t="s">
        <v>1367</v>
      </c>
      <c r="C1" s="1237"/>
      <c r="D1" s="983"/>
      <c r="E1" s="983"/>
    </row>
    <row r="2" spans="1:6" s="658" customFormat="1" ht="28.5" x14ac:dyDescent="0.65">
      <c r="A2" s="946"/>
      <c r="C2" s="1237" t="s">
        <v>973</v>
      </c>
      <c r="D2" s="983">
        <f>+D17+D23</f>
        <v>1290000</v>
      </c>
      <c r="E2" s="983"/>
    </row>
    <row r="4" spans="1:6" x14ac:dyDescent="0.35">
      <c r="A4" s="1014"/>
      <c r="B4" s="964" t="s">
        <v>7</v>
      </c>
      <c r="C4" s="1052" t="s">
        <v>3</v>
      </c>
      <c r="D4" s="1052" t="s">
        <v>1205</v>
      </c>
    </row>
    <row r="5" spans="1:6" x14ac:dyDescent="0.35">
      <c r="A5" s="771">
        <v>1</v>
      </c>
      <c r="B5" s="258" t="s">
        <v>10</v>
      </c>
      <c r="C5" s="194"/>
      <c r="D5" s="195"/>
      <c r="E5" s="774" t="s">
        <v>1210</v>
      </c>
      <c r="F5" s="774"/>
    </row>
    <row r="6" spans="1:6" x14ac:dyDescent="0.35">
      <c r="A6" s="771">
        <v>2</v>
      </c>
      <c r="B6" s="258" t="s">
        <v>16</v>
      </c>
      <c r="C6" s="194"/>
      <c r="D6" s="195"/>
      <c r="E6" s="774" t="s">
        <v>1210</v>
      </c>
    </row>
    <row r="7" spans="1:6" x14ac:dyDescent="0.35">
      <c r="A7" s="771">
        <v>3</v>
      </c>
      <c r="B7" s="258" t="s">
        <v>0</v>
      </c>
      <c r="C7" s="194">
        <v>1241136</v>
      </c>
      <c r="D7" s="195">
        <v>500000</v>
      </c>
      <c r="E7" s="774" t="s">
        <v>1210</v>
      </c>
    </row>
    <row r="8" spans="1:6" x14ac:dyDescent="0.35">
      <c r="A8" s="176">
        <v>4</v>
      </c>
      <c r="B8" s="258" t="s">
        <v>245</v>
      </c>
      <c r="C8" s="194"/>
      <c r="D8" s="195"/>
      <c r="E8" s="774" t="s">
        <v>1210</v>
      </c>
    </row>
    <row r="9" spans="1:6" x14ac:dyDescent="0.35">
      <c r="A9" s="176">
        <v>5</v>
      </c>
      <c r="B9" s="258" t="s">
        <v>463</v>
      </c>
      <c r="C9" s="194"/>
      <c r="D9" s="195"/>
      <c r="E9" s="774" t="s">
        <v>1210</v>
      </c>
    </row>
    <row r="10" spans="1:6" x14ac:dyDescent="0.35">
      <c r="A10" s="176">
        <v>6</v>
      </c>
      <c r="B10" s="258" t="s">
        <v>1116</v>
      </c>
      <c r="C10" s="194"/>
      <c r="D10" s="195"/>
      <c r="E10" s="774" t="s">
        <v>1210</v>
      </c>
    </row>
    <row r="11" spans="1:6" x14ac:dyDescent="0.35">
      <c r="A11" s="176">
        <v>7</v>
      </c>
      <c r="B11" s="258" t="s">
        <v>260</v>
      </c>
      <c r="C11" s="194"/>
      <c r="D11" s="195"/>
      <c r="E11" s="774" t="s">
        <v>1210</v>
      </c>
    </row>
    <row r="12" spans="1:6" x14ac:dyDescent="0.35">
      <c r="A12" s="176">
        <v>8</v>
      </c>
      <c r="B12" s="617" t="s">
        <v>613</v>
      </c>
      <c r="C12" s="227">
        <v>1459260</v>
      </c>
      <c r="D12" s="195">
        <v>460000</v>
      </c>
      <c r="E12" s="774" t="s">
        <v>1210</v>
      </c>
    </row>
    <row r="13" spans="1:6" x14ac:dyDescent="0.35">
      <c r="A13" s="176">
        <v>9</v>
      </c>
      <c r="B13" s="315" t="s">
        <v>267</v>
      </c>
      <c r="C13" s="1238"/>
      <c r="D13" s="195"/>
      <c r="E13" s="774" t="s">
        <v>1210</v>
      </c>
      <c r="F13" s="774"/>
    </row>
    <row r="14" spans="1:6" x14ac:dyDescent="0.35">
      <c r="B14" s="315"/>
      <c r="C14" s="1238"/>
      <c r="D14" s="194"/>
    </row>
    <row r="15" spans="1:6" x14ac:dyDescent="0.35">
      <c r="B15" s="315"/>
      <c r="C15" s="1238"/>
      <c r="D15" s="194"/>
    </row>
    <row r="16" spans="1:6" x14ac:dyDescent="0.35">
      <c r="B16" s="315"/>
      <c r="C16" s="1238"/>
      <c r="D16" s="194"/>
    </row>
    <row r="17" spans="1:6" x14ac:dyDescent="0.35">
      <c r="B17" s="1016" t="s">
        <v>872</v>
      </c>
      <c r="C17" s="1239">
        <f>+C5+C6+C7+C8+C9+C10+C11+C12+C13</f>
        <v>2700396</v>
      </c>
      <c r="D17" s="195">
        <f>SUM(D5:D15)</f>
        <v>960000</v>
      </c>
    </row>
    <row r="18" spans="1:6" x14ac:dyDescent="0.35">
      <c r="B18" s="261"/>
    </row>
    <row r="19" spans="1:6" x14ac:dyDescent="0.35">
      <c r="B19" s="261"/>
    </row>
    <row r="20" spans="1:6" x14ac:dyDescent="0.35">
      <c r="B20" s="261"/>
      <c r="F20" s="774"/>
    </row>
    <row r="21" spans="1:6" x14ac:dyDescent="0.35">
      <c r="A21" s="771">
        <v>10</v>
      </c>
      <c r="B21" s="258" t="s">
        <v>86</v>
      </c>
      <c r="C21" s="194"/>
      <c r="D21" s="195"/>
      <c r="E21" s="774" t="s">
        <v>1210</v>
      </c>
    </row>
    <row r="22" spans="1:6" x14ac:dyDescent="0.35">
      <c r="A22" s="771">
        <v>11</v>
      </c>
      <c r="B22" s="258" t="s">
        <v>1038</v>
      </c>
      <c r="C22" s="194">
        <v>329920</v>
      </c>
      <c r="D22" s="195">
        <v>330000</v>
      </c>
      <c r="E22" s="774" t="s">
        <v>1210</v>
      </c>
    </row>
    <row r="23" spans="1:6" s="90" customFormat="1" x14ac:dyDescent="0.35">
      <c r="B23" s="274" t="s">
        <v>972</v>
      </c>
      <c r="C23" s="195">
        <f>+C21+C22</f>
        <v>329920</v>
      </c>
      <c r="D23" s="195">
        <f>+D21+D22</f>
        <v>330000</v>
      </c>
      <c r="E23" s="553"/>
    </row>
    <row r="26" spans="1:6" x14ac:dyDescent="0.35">
      <c r="B26" s="274" t="s">
        <v>7</v>
      </c>
      <c r="C26" s="1052" t="s">
        <v>272</v>
      </c>
      <c r="D26" s="1052" t="s">
        <v>6</v>
      </c>
      <c r="E26" s="1109" t="s">
        <v>200</v>
      </c>
    </row>
    <row r="27" spans="1:6" x14ac:dyDescent="0.35">
      <c r="A27" s="771">
        <v>1</v>
      </c>
      <c r="B27" s="258" t="s">
        <v>10</v>
      </c>
      <c r="C27" s="194">
        <v>4991</v>
      </c>
      <c r="D27" s="194">
        <v>100000</v>
      </c>
      <c r="E27" s="598">
        <v>50000</v>
      </c>
    </row>
    <row r="28" spans="1:6" x14ac:dyDescent="0.35">
      <c r="A28" s="771">
        <v>2</v>
      </c>
      <c r="B28" s="258" t="s">
        <v>16</v>
      </c>
      <c r="C28" s="194">
        <v>4775</v>
      </c>
      <c r="D28" s="194">
        <v>100000</v>
      </c>
      <c r="E28" s="598">
        <v>50000</v>
      </c>
    </row>
    <row r="29" spans="1:6" x14ac:dyDescent="0.35">
      <c r="A29" s="771">
        <v>3</v>
      </c>
      <c r="B29" s="258" t="s">
        <v>0</v>
      </c>
      <c r="C29" s="194"/>
      <c r="D29" s="194">
        <v>100000</v>
      </c>
      <c r="E29" s="598">
        <v>50000</v>
      </c>
    </row>
    <row r="30" spans="1:6" x14ac:dyDescent="0.35">
      <c r="A30" s="176">
        <v>4</v>
      </c>
      <c r="B30" s="258" t="s">
        <v>267</v>
      </c>
      <c r="C30" s="194">
        <v>4124</v>
      </c>
      <c r="D30" s="194">
        <v>100000</v>
      </c>
      <c r="E30" s="598">
        <v>50000</v>
      </c>
    </row>
    <row r="31" spans="1:6" x14ac:dyDescent="0.35">
      <c r="A31" s="176">
        <v>5</v>
      </c>
      <c r="B31" s="258" t="s">
        <v>245</v>
      </c>
      <c r="C31" s="194">
        <v>3818</v>
      </c>
      <c r="D31" s="194">
        <v>100000</v>
      </c>
      <c r="E31" s="598">
        <v>50000</v>
      </c>
    </row>
    <row r="32" spans="1:6" x14ac:dyDescent="0.35">
      <c r="A32" s="176">
        <v>6</v>
      </c>
      <c r="B32" s="258" t="s">
        <v>463</v>
      </c>
      <c r="C32" s="194">
        <v>3794</v>
      </c>
      <c r="D32" s="194">
        <v>80000</v>
      </c>
      <c r="E32" s="598">
        <v>50000</v>
      </c>
    </row>
    <row r="33" spans="1:5" x14ac:dyDescent="0.35">
      <c r="A33" s="176">
        <v>7</v>
      </c>
      <c r="B33" s="258" t="s">
        <v>553</v>
      </c>
      <c r="C33" s="194">
        <v>3818</v>
      </c>
      <c r="D33" s="194">
        <v>100000</v>
      </c>
      <c r="E33" s="598">
        <v>50000</v>
      </c>
    </row>
    <row r="34" spans="1:5" x14ac:dyDescent="0.35">
      <c r="A34" s="176">
        <v>8</v>
      </c>
      <c r="B34" s="258" t="s">
        <v>260</v>
      </c>
      <c r="C34" s="194">
        <v>5865</v>
      </c>
      <c r="D34" s="194">
        <v>100000</v>
      </c>
      <c r="E34" s="598">
        <v>50000</v>
      </c>
    </row>
    <row r="35" spans="1:5" x14ac:dyDescent="0.35">
      <c r="A35" s="176">
        <v>9</v>
      </c>
      <c r="B35" s="258" t="s">
        <v>613</v>
      </c>
      <c r="C35" s="194">
        <v>5865</v>
      </c>
      <c r="D35" s="194">
        <v>100000</v>
      </c>
      <c r="E35" s="598">
        <v>50000</v>
      </c>
    </row>
    <row r="36" spans="1:5" x14ac:dyDescent="0.35">
      <c r="A36" s="176">
        <v>10</v>
      </c>
      <c r="B36" s="258" t="s">
        <v>1038</v>
      </c>
      <c r="C36" s="194">
        <v>4124</v>
      </c>
      <c r="D36" s="194">
        <v>100000</v>
      </c>
      <c r="E36" s="598">
        <v>50000</v>
      </c>
    </row>
    <row r="37" spans="1:5" x14ac:dyDescent="0.35">
      <c r="A37" s="176">
        <v>11</v>
      </c>
      <c r="B37" s="315" t="s">
        <v>86</v>
      </c>
      <c r="C37" s="194"/>
      <c r="D37" s="194">
        <v>40000</v>
      </c>
      <c r="E37" s="598">
        <v>50000</v>
      </c>
    </row>
    <row r="38" spans="1:5" x14ac:dyDescent="0.35">
      <c r="A38" s="176">
        <v>12</v>
      </c>
      <c r="B38" s="315"/>
      <c r="C38" s="194"/>
      <c r="D38" s="194"/>
      <c r="E38" s="598"/>
    </row>
    <row r="39" spans="1:5" x14ac:dyDescent="0.35">
      <c r="A39" s="176">
        <v>13</v>
      </c>
      <c r="B39" s="315"/>
      <c r="C39" s="194"/>
      <c r="D39" s="194"/>
      <c r="E39" s="598"/>
    </row>
    <row r="40" spans="1:5" x14ac:dyDescent="0.35">
      <c r="B40" s="315"/>
      <c r="C40" s="194"/>
      <c r="D40" s="194"/>
      <c r="E40" s="598"/>
    </row>
    <row r="41" spans="1:5" x14ac:dyDescent="0.35">
      <c r="B41" s="1121"/>
      <c r="C41" s="1240"/>
      <c r="D41" s="204"/>
      <c r="E41" s="205"/>
    </row>
    <row r="43" spans="1:5" x14ac:dyDescent="0.35">
      <c r="A43" s="701" t="s">
        <v>106</v>
      </c>
      <c r="B43" s="702" t="s">
        <v>873</v>
      </c>
      <c r="C43" s="1241"/>
      <c r="D43" s="1013" t="s">
        <v>803</v>
      </c>
      <c r="E43" s="1092" t="s">
        <v>7</v>
      </c>
    </row>
    <row r="44" spans="1:5" x14ac:dyDescent="0.35">
      <c r="A44" s="703">
        <v>16</v>
      </c>
      <c r="B44" s="703">
        <v>9</v>
      </c>
      <c r="C44" s="1242"/>
      <c r="D44" s="964">
        <f>+A44*B44</f>
        <v>144</v>
      </c>
      <c r="E44" s="593" t="s">
        <v>874</v>
      </c>
    </row>
    <row r="45" spans="1:5" x14ac:dyDescent="0.35">
      <c r="A45" s="703">
        <v>4</v>
      </c>
      <c r="B45" s="703">
        <v>8</v>
      </c>
      <c r="C45" s="1242"/>
      <c r="D45" s="964">
        <f>+A45*B45</f>
        <v>32</v>
      </c>
      <c r="E45" s="593" t="s">
        <v>117</v>
      </c>
    </row>
    <row r="46" spans="1:5" x14ac:dyDescent="0.35">
      <c r="A46" s="703">
        <v>1</v>
      </c>
      <c r="B46" s="703">
        <v>8</v>
      </c>
      <c r="C46" s="1242"/>
      <c r="D46" s="964">
        <f>+A46*B46</f>
        <v>8</v>
      </c>
      <c r="E46" s="593" t="s">
        <v>2</v>
      </c>
    </row>
    <row r="47" spans="1:5" x14ac:dyDescent="0.35">
      <c r="A47" s="703">
        <v>1</v>
      </c>
      <c r="B47" s="703">
        <v>8</v>
      </c>
      <c r="C47" s="1242"/>
      <c r="D47" s="964">
        <f>+A47*B47</f>
        <v>8</v>
      </c>
      <c r="E47" s="593" t="s">
        <v>111</v>
      </c>
    </row>
    <row r="48" spans="1:5" x14ac:dyDescent="0.35">
      <c r="A48" s="568"/>
      <c r="B48" s="773"/>
      <c r="C48" s="194"/>
      <c r="D48" s="964">
        <f>+D44+D45+D46+D47</f>
        <v>192</v>
      </c>
      <c r="E48" s="593" t="s">
        <v>1255</v>
      </c>
    </row>
  </sheetData>
  <pageMargins left="0.7" right="0.7" top="0.75" bottom="0.75" header="0.3" footer="0.3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105</vt:i4>
      </vt:variant>
      <vt:variant>
        <vt:lpstr>Rangos con nombre</vt:lpstr>
      </vt:variant>
      <vt:variant>
        <vt:i4>14</vt:i4>
      </vt:variant>
    </vt:vector>
  </HeadingPairs>
  <TitlesOfParts>
    <vt:vector size="119" baseType="lpstr">
      <vt:lpstr>DICIEMBRE</vt:lpstr>
      <vt:lpstr>ENERO</vt:lpstr>
      <vt:lpstr>FEB</vt:lpstr>
      <vt:lpstr>MARZO</vt:lpstr>
      <vt:lpstr>ABRIL</vt:lpstr>
      <vt:lpstr>MAYO</vt:lpstr>
      <vt:lpstr>JUNIO</vt:lpstr>
      <vt:lpstr>JULIO</vt:lpstr>
      <vt:lpstr>AGOSTO</vt:lpstr>
      <vt:lpstr>SEPT</vt:lpstr>
      <vt:lpstr>OCTUBRE</vt:lpstr>
      <vt:lpstr>NOVIEMBRE</vt:lpstr>
      <vt:lpstr>DICIEMBRE21</vt:lpstr>
      <vt:lpstr>ENE22</vt:lpstr>
      <vt:lpstr>MARZO2022</vt:lpstr>
      <vt:lpstr>RES422</vt:lpstr>
      <vt:lpstr>ABRIL2022</vt:lpstr>
      <vt:lpstr>JUNIO2022</vt:lpstr>
      <vt:lpstr>JULIO2022</vt:lpstr>
      <vt:lpstr>RESUMEN0722</vt:lpstr>
      <vt:lpstr>RESUMEN0822 </vt:lpstr>
      <vt:lpstr>AGOSTO2022</vt:lpstr>
      <vt:lpstr>SETIEMBRE2022</vt:lpstr>
      <vt:lpstr>RESUMENSET2022</vt:lpstr>
      <vt:lpstr>OCTUBRE2022</vt:lpstr>
      <vt:lpstr>RES102022</vt:lpstr>
      <vt:lpstr>NOVIEMBRE2022</vt:lpstr>
      <vt:lpstr>RES112022</vt:lpstr>
      <vt:lpstr>DICYSA22022</vt:lpstr>
      <vt:lpstr>RES122022</vt:lpstr>
      <vt:lpstr>ENERO2023</vt:lpstr>
      <vt:lpstr>RESUMEN012023</vt:lpstr>
      <vt:lpstr>FEBRERO2023</vt:lpstr>
      <vt:lpstr>RESUMEN022023</vt:lpstr>
      <vt:lpstr>MARZO2023</vt:lpstr>
      <vt:lpstr>RESUMEN032023</vt:lpstr>
      <vt:lpstr>RESUMEN042023</vt:lpstr>
      <vt:lpstr>ABRIL2023</vt:lpstr>
      <vt:lpstr>RESUMEN0523</vt:lpstr>
      <vt:lpstr>MAYO2023</vt:lpstr>
      <vt:lpstr>Hoja1</vt:lpstr>
      <vt:lpstr>JUNIOYSAC1</vt:lpstr>
      <vt:lpstr>RESUMENJULIO2023</vt:lpstr>
      <vt:lpstr>JULIO2023</vt:lpstr>
      <vt:lpstr>AGOSTO2023</vt:lpstr>
      <vt:lpstr>BAJAS AGOSTO2023</vt:lpstr>
      <vt:lpstr>RESUMEN0823</vt:lpstr>
      <vt:lpstr>SETIEMBRE2023</vt:lpstr>
      <vt:lpstr>RESUMEN0923</vt:lpstr>
      <vt:lpstr>OCTUBRE2023</vt:lpstr>
      <vt:lpstr>RESUMEN1023</vt:lpstr>
      <vt:lpstr>NOVIEMBRE2023</vt:lpstr>
      <vt:lpstr>RESUMEN122023</vt:lpstr>
      <vt:lpstr>DICIEMBRE2023</vt:lpstr>
      <vt:lpstr>SACCTA22023</vt:lpstr>
      <vt:lpstr>ENERO2024</vt:lpstr>
      <vt:lpstr>RESUMEN012024</vt:lpstr>
      <vt:lpstr>FEBRERO2024</vt:lpstr>
      <vt:lpstr>RESUMEN022024</vt:lpstr>
      <vt:lpstr>MARZO2024</vt:lpstr>
      <vt:lpstr>RESUMEN032024</vt:lpstr>
      <vt:lpstr>ABRIL2024</vt:lpstr>
      <vt:lpstr>RESUMEN042024</vt:lpstr>
      <vt:lpstr>MAYO2024</vt:lpstr>
      <vt:lpstr>RESUMEN052024</vt:lpstr>
      <vt:lpstr>JUNIO2024+SAC</vt:lpstr>
      <vt:lpstr>JULIO2024</vt:lpstr>
      <vt:lpstr>AGO24</vt:lpstr>
      <vt:lpstr>SET24</vt:lpstr>
      <vt:lpstr>OCT24</vt:lpstr>
      <vt:lpstr>RESUMENOCT2024 </vt:lpstr>
      <vt:lpstr>NOV24</vt:lpstr>
      <vt:lpstr>RESUMEN112024</vt:lpstr>
      <vt:lpstr>RESUMEN122024</vt:lpstr>
      <vt:lpstr>DICYvac2024</vt:lpstr>
      <vt:lpstr>ENE2025</vt:lpstr>
      <vt:lpstr>RESUMEN 012025</vt:lpstr>
      <vt:lpstr>FEBRERO2025</vt:lpstr>
      <vt:lpstr>RESUMEN 022025</vt:lpstr>
      <vt:lpstr>MARZO2025</vt:lpstr>
      <vt:lpstr>RESUMEN032025</vt:lpstr>
      <vt:lpstr>ABRIL2025</vt:lpstr>
      <vt:lpstr>RESUMEN 042025</vt:lpstr>
      <vt:lpstr>MAYO2025</vt:lpstr>
      <vt:lpstr>JUNIO2025</vt:lpstr>
      <vt:lpstr>RESUMEN 052025</vt:lpstr>
      <vt:lpstr>RESUMEN062025+SAC</vt:lpstr>
      <vt:lpstr>JULIO2025</vt:lpstr>
      <vt:lpstr>RESUMEN072025</vt:lpstr>
      <vt:lpstr>AGOSTO2025</vt:lpstr>
      <vt:lpstr>RESUMEN082025</vt:lpstr>
      <vt:lpstr>SETIEMBRE2025</vt:lpstr>
      <vt:lpstr>RESUMEN0925</vt:lpstr>
      <vt:lpstr>OCTUBRE2025</vt:lpstr>
      <vt:lpstr>RESUMEN102025</vt:lpstr>
      <vt:lpstr>NOV2025</vt:lpstr>
      <vt:lpstr>RESUMEN122025</vt:lpstr>
      <vt:lpstr>DIC2025</vt:lpstr>
      <vt:lpstr>SACCTA2</vt:lpstr>
      <vt:lpstr>VACACIONES2025</vt:lpstr>
      <vt:lpstr>VACACIONES2026 (2)</vt:lpstr>
      <vt:lpstr>ENE2026</vt:lpstr>
      <vt:lpstr>RESUMEN012026</vt:lpstr>
      <vt:lpstr>FEBRERO 2026</vt:lpstr>
      <vt:lpstr>RESUMEN022026</vt:lpstr>
      <vt:lpstr>ABRIL!Área_de_impresión</vt:lpstr>
      <vt:lpstr>AGOSTO!Área_de_impresión</vt:lpstr>
      <vt:lpstr>DICIEMBRE!Área_de_impresión</vt:lpstr>
      <vt:lpstr>DICIEMBRE21!Área_de_impresión</vt:lpstr>
      <vt:lpstr>'ENE22'!Área_de_impresión</vt:lpstr>
      <vt:lpstr>ENERO!Área_de_impresión</vt:lpstr>
      <vt:lpstr>FEB!Área_de_impresión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</dc:creator>
  <cp:lastModifiedBy>TESLA</cp:lastModifiedBy>
  <cp:lastPrinted>2026-02-13T11:39:06Z</cp:lastPrinted>
  <dcterms:created xsi:type="dcterms:W3CDTF">2020-12-30T13:56:21Z</dcterms:created>
  <dcterms:modified xsi:type="dcterms:W3CDTF">2026-02-13T12:28:49Z</dcterms:modified>
</cp:coreProperties>
</file>
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er7slvo\compartido\"/>
    </mc:Choice>
  </mc:AlternateContent>
  <xr:revisionPtr revIDLastSave="0" documentId="13_ncr:1_{A50FE951-B9EF-411E-8173-AB2B7BEC1490}" xr6:coauthVersionLast="47" xr6:coauthVersionMax="47" xr10:uidLastSave="{00000000-0000-0000-0000-000000000000}"/>
  <bookViews>
    <workbookView xWindow="-120" yWindow="-120" windowWidth="24240" windowHeight="13020" xr2:uid="{CCF22D59-128D-4C82-A747-31C0777D2D1F}"/>
  </bookViews>
  <sheets>
    <sheet name="RESUMEN ENERO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1" l="1"/>
  <c r="L68" i="1"/>
  <c r="L67" i="1"/>
  <c r="E56" i="1"/>
  <c r="E54" i="1"/>
  <c r="E53" i="1"/>
  <c r="M44" i="1"/>
  <c r="M43" i="1"/>
  <c r="M42" i="1"/>
  <c r="M41" i="1"/>
  <c r="M40" i="1"/>
  <c r="M39" i="1"/>
  <c r="M38" i="1"/>
  <c r="M37" i="1"/>
  <c r="M36" i="1"/>
  <c r="M35" i="1"/>
  <c r="M34" i="1"/>
  <c r="L34" i="1"/>
  <c r="M25" i="1"/>
  <c r="M24" i="1"/>
  <c r="M23" i="1"/>
  <c r="M22" i="1"/>
  <c r="M20" i="1"/>
  <c r="M19" i="1"/>
  <c r="M18" i="1"/>
  <c r="M17" i="1"/>
  <c r="M16" i="1"/>
  <c r="M15" i="1"/>
  <c r="M13" i="1"/>
  <c r="M12" i="1"/>
  <c r="M11" i="1"/>
  <c r="M10" i="1"/>
  <c r="M9" i="1"/>
  <c r="M8" i="1"/>
  <c r="M7" i="1"/>
  <c r="M6" i="1"/>
  <c r="M5" i="1"/>
  <c r="M4" i="1"/>
  <c r="M3" i="1"/>
  <c r="M2" i="1"/>
  <c r="E34" i="1"/>
  <c r="D34" i="1"/>
  <c r="K34" i="1"/>
  <c r="J34" i="1"/>
  <c r="G14" i="1"/>
  <c r="F14" i="1"/>
  <c r="C14" i="1"/>
  <c r="M14" i="1" l="1"/>
</calcChain>
</file>

<file path=xl/sharedStrings.xml><?xml version="1.0" encoding="utf-8"?>
<sst xmlns="http://schemas.openxmlformats.org/spreadsheetml/2006/main" count="104" uniqueCount="64">
  <si>
    <t>ESPER OFICINA</t>
  </si>
  <si>
    <t>EL BOSQ. FREYRE</t>
  </si>
  <si>
    <t>ED TERRAZAS</t>
  </si>
  <si>
    <t>HUMBERTO IV</t>
  </si>
  <si>
    <t>NANZER</t>
  </si>
  <si>
    <t>MODENA</t>
  </si>
  <si>
    <t>PRAMPARO LOCALES</t>
  </si>
  <si>
    <t>MURIEL</t>
  </si>
  <si>
    <t>PINGÜINO 6</t>
  </si>
  <si>
    <t>GAVIGLIO COMERCIAL</t>
  </si>
  <si>
    <t>PINGÜINO 10</t>
  </si>
  <si>
    <t>ANTARTIDA ARG.</t>
  </si>
  <si>
    <t>GRUPO PRISMA</t>
  </si>
  <si>
    <t>RONCONI</t>
  </si>
  <si>
    <t>CORDOBA MOTOS</t>
  </si>
  <si>
    <t>H25</t>
  </si>
  <si>
    <t>LCDT PARQUE</t>
  </si>
  <si>
    <t>LCDT 9 DE JULIO</t>
  </si>
  <si>
    <t>CAVOUR</t>
  </si>
  <si>
    <t>BOTTA</t>
  </si>
  <si>
    <t>RACCA EDIF</t>
  </si>
  <si>
    <t>FORNERIS</t>
  </si>
  <si>
    <t>MACHADO</t>
  </si>
  <si>
    <t>NOVELLO</t>
  </si>
  <si>
    <t>FARMACIA SANCOR</t>
  </si>
  <si>
    <t>MAICO ROBLES</t>
  </si>
  <si>
    <t>INMOB. JUNCOS</t>
  </si>
  <si>
    <t>ALTOS DE SALTA</t>
  </si>
  <si>
    <t>21 VIVIENDAS</t>
  </si>
  <si>
    <t>CLERI</t>
  </si>
  <si>
    <t>ANSELMI EDIFICIO</t>
  </si>
  <si>
    <t>KUARZO</t>
  </si>
  <si>
    <t>ESCUELA DEVOTO</t>
  </si>
  <si>
    <t>CADAF</t>
  </si>
  <si>
    <t>AGUSTIN BIANCHI</t>
  </si>
  <si>
    <t>VENTURELLI</t>
  </si>
  <si>
    <t>PILU</t>
  </si>
  <si>
    <t>JUAN</t>
  </si>
  <si>
    <t>GERMAN</t>
  </si>
  <si>
    <t>CHACO</t>
  </si>
  <si>
    <t>MATI</t>
  </si>
  <si>
    <t>RUBEN</t>
  </si>
  <si>
    <t>CORCHO</t>
  </si>
  <si>
    <t>FACU</t>
  </si>
  <si>
    <t>FABIAN</t>
  </si>
  <si>
    <t>GUIDO</t>
  </si>
  <si>
    <t xml:space="preserve">OBRAS TESLA </t>
  </si>
  <si>
    <t>OBRAS TESLITA</t>
  </si>
  <si>
    <t>ENERO 2026</t>
  </si>
  <si>
    <t>TESLITA PRESTÓ : 6,45 HS</t>
  </si>
  <si>
    <t>SILVIA DEL BARCO</t>
  </si>
  <si>
    <t>TOTAL HORAS</t>
  </si>
  <si>
    <t xml:space="preserve">OBRAS CON PRESUPUESTO </t>
  </si>
  <si>
    <t>OBRAS JUAN</t>
  </si>
  <si>
    <t>HORAS A DEVOLVER A TESLA : 21 HORAS</t>
  </si>
  <si>
    <t>TOTAL HS</t>
  </si>
  <si>
    <t>TOTAL HS OBRA</t>
  </si>
  <si>
    <t>HS PRESTADAS TESLA</t>
  </si>
  <si>
    <t>HS PRESTADAS TESLITA</t>
  </si>
  <si>
    <t>ENERO 2026 OBRAS JUAN</t>
  </si>
  <si>
    <t>TESLA PRESTÓ: 40HS</t>
  </si>
  <si>
    <t>JUAN PRESTÓ: 65 HS</t>
  </si>
  <si>
    <t>HORAS A DEVOLVER A TESLITA: -</t>
  </si>
  <si>
    <t>HORAS A DESCONTAR POR ARREGLO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</si>
</sst>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1604-267D-4B43-B161-5ABB1E261C82}">
  <sheetPr>
    <pageSetUpPr fitToPage="1"/>
  </sheetPr>
  <dimension ref="A1:N71"/>
  <sheetViews>
    <sheetView tabSelected="1" topLeftCell="A47" workbookViewId="0">
      <selection activeCell="G65" sqref="G65"/>
    </sheetView>
  </sheetViews>
  <sheetFormatPr baseColWidth="10" defaultRowHeight="15" x14ac:dyDescent="0.25"/>
  <cols>
    <col min="2" max="2" width="20.42578125" bestFit="1" customWidth="1"/>
    <col min="13" max="13" width="14.28515625" customWidth="1"/>
  </cols>
  <sheetData>
    <row r="1" spans="1:13" x14ac:dyDescent="0.25">
      <c r="A1" s="15" t="s">
        <v>48</v>
      </c>
      <c r="B1" s="2" t="s">
        <v>46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6" t="s">
        <v>51</v>
      </c>
    </row>
    <row r="2" spans="1:13" x14ac:dyDescent="0.25">
      <c r="A2" s="15"/>
      <c r="B2" s="1" t="s">
        <v>0</v>
      </c>
      <c r="C2" s="3">
        <v>28</v>
      </c>
      <c r="D2" s="3">
        <v>2</v>
      </c>
      <c r="E2" s="3">
        <v>2</v>
      </c>
      <c r="F2" s="3">
        <v>20</v>
      </c>
      <c r="G2" s="3">
        <v>2.5</v>
      </c>
      <c r="H2" s="3"/>
      <c r="I2" s="3"/>
      <c r="J2" s="3"/>
      <c r="K2" s="3"/>
      <c r="L2" s="3"/>
      <c r="M2" s="2">
        <f>SUM(C2:L2)</f>
        <v>54.5</v>
      </c>
    </row>
    <row r="3" spans="1:13" x14ac:dyDescent="0.25">
      <c r="A3" s="15"/>
      <c r="B3" s="1" t="s">
        <v>1</v>
      </c>
      <c r="C3" s="3">
        <v>5</v>
      </c>
      <c r="D3" s="3"/>
      <c r="E3" s="3"/>
      <c r="F3" s="3">
        <v>5</v>
      </c>
      <c r="G3" s="3">
        <v>0.4</v>
      </c>
      <c r="H3" s="3"/>
      <c r="I3" s="3"/>
      <c r="J3" s="3"/>
      <c r="K3" s="3"/>
      <c r="L3" s="3"/>
      <c r="M3" s="2">
        <f>SUM(C3:L3)</f>
        <v>10.4</v>
      </c>
    </row>
    <row r="4" spans="1:13" x14ac:dyDescent="0.25">
      <c r="A4" s="15"/>
      <c r="B4" s="1" t="s">
        <v>2</v>
      </c>
      <c r="C4" s="3">
        <v>3</v>
      </c>
      <c r="D4" s="3"/>
      <c r="E4" s="3"/>
      <c r="F4" s="3">
        <v>40.15</v>
      </c>
      <c r="G4" s="3">
        <v>36.5</v>
      </c>
      <c r="H4" s="3"/>
      <c r="I4" s="3"/>
      <c r="J4" s="3"/>
      <c r="K4" s="3"/>
      <c r="L4" s="3"/>
      <c r="M4" s="2">
        <f>3+40+36+0.45</f>
        <v>79.45</v>
      </c>
    </row>
    <row r="5" spans="1:13" x14ac:dyDescent="0.25">
      <c r="A5" s="15"/>
      <c r="B5" s="1" t="s">
        <v>3</v>
      </c>
      <c r="C5" s="3">
        <v>8</v>
      </c>
      <c r="D5" s="3"/>
      <c r="E5" s="3"/>
      <c r="F5" s="3">
        <v>8</v>
      </c>
      <c r="G5" s="3"/>
      <c r="H5" s="3"/>
      <c r="I5" s="3"/>
      <c r="J5" s="3"/>
      <c r="K5" s="3"/>
      <c r="L5" s="3"/>
      <c r="M5" s="2">
        <f>SUM(C5:L5)</f>
        <v>16</v>
      </c>
    </row>
    <row r="6" spans="1:13" x14ac:dyDescent="0.25">
      <c r="A6" s="15"/>
      <c r="B6" s="1" t="s">
        <v>4</v>
      </c>
      <c r="C6" s="3">
        <v>1</v>
      </c>
      <c r="D6" s="3">
        <v>1</v>
      </c>
      <c r="E6" s="3"/>
      <c r="F6" s="3">
        <v>2</v>
      </c>
      <c r="G6" s="3"/>
      <c r="H6" s="3"/>
      <c r="I6" s="3">
        <v>6.5</v>
      </c>
      <c r="J6" s="3"/>
      <c r="K6" s="3"/>
      <c r="L6" s="3"/>
      <c r="M6" s="2">
        <f>SUM(C6:L6)</f>
        <v>10.5</v>
      </c>
    </row>
    <row r="7" spans="1:13" x14ac:dyDescent="0.25">
      <c r="A7" s="15"/>
      <c r="B7" s="1" t="s">
        <v>5</v>
      </c>
      <c r="C7" s="3"/>
      <c r="D7" s="3">
        <v>8.4</v>
      </c>
      <c r="E7" s="3">
        <v>1</v>
      </c>
      <c r="F7" s="3"/>
      <c r="G7" s="3"/>
      <c r="H7" s="3"/>
      <c r="I7" s="3"/>
      <c r="J7" s="3"/>
      <c r="K7" s="3"/>
      <c r="L7" s="3"/>
      <c r="M7" s="2">
        <f>SUM(C7:L7)</f>
        <v>9.4</v>
      </c>
    </row>
    <row r="8" spans="1:13" x14ac:dyDescent="0.25">
      <c r="A8" s="15"/>
      <c r="B8" s="1" t="s">
        <v>6</v>
      </c>
      <c r="C8" s="3"/>
      <c r="D8" s="3">
        <v>46.5</v>
      </c>
      <c r="E8" s="3">
        <v>44.1</v>
      </c>
      <c r="F8" s="3"/>
      <c r="G8" s="3"/>
      <c r="H8" s="3"/>
      <c r="I8" s="3"/>
      <c r="J8" s="3"/>
      <c r="K8" s="3"/>
      <c r="L8" s="3"/>
      <c r="M8" s="2">
        <f>46+44+0.4</f>
        <v>90.4</v>
      </c>
    </row>
    <row r="9" spans="1:13" x14ac:dyDescent="0.25">
      <c r="A9" s="15"/>
      <c r="B9" s="1" t="s">
        <v>8</v>
      </c>
      <c r="C9" s="3"/>
      <c r="D9" s="3">
        <v>30.15</v>
      </c>
      <c r="E9" s="3">
        <v>11.4</v>
      </c>
      <c r="F9" s="3">
        <v>9</v>
      </c>
      <c r="G9" s="3"/>
      <c r="H9" s="3">
        <v>12</v>
      </c>
      <c r="I9" s="3"/>
      <c r="J9" s="3"/>
      <c r="K9" s="3"/>
      <c r="L9" s="3"/>
      <c r="M9" s="2">
        <f>31+11+9+12</f>
        <v>63</v>
      </c>
    </row>
    <row r="10" spans="1:13" x14ac:dyDescent="0.25">
      <c r="A10" s="15"/>
      <c r="B10" s="1" t="s">
        <v>9</v>
      </c>
      <c r="C10" s="3"/>
      <c r="D10" s="3">
        <v>2.1</v>
      </c>
      <c r="E10" s="3"/>
      <c r="F10" s="3"/>
      <c r="G10" s="3"/>
      <c r="H10" s="3"/>
      <c r="I10" s="3"/>
      <c r="J10" s="3"/>
      <c r="K10" s="3"/>
      <c r="L10" s="3"/>
      <c r="M10" s="2">
        <f>SUM(C10:L10)</f>
        <v>2.1</v>
      </c>
    </row>
    <row r="11" spans="1:13" x14ac:dyDescent="0.25">
      <c r="A11" s="15"/>
      <c r="B11" s="1" t="s">
        <v>10</v>
      </c>
      <c r="C11" s="3"/>
      <c r="D11" s="3">
        <v>11</v>
      </c>
      <c r="E11" s="3">
        <v>6</v>
      </c>
      <c r="F11" s="3"/>
      <c r="G11" s="3"/>
      <c r="H11" s="3"/>
      <c r="I11" s="3"/>
      <c r="J11" s="3"/>
      <c r="K11" s="3"/>
      <c r="L11" s="3"/>
      <c r="M11" s="2">
        <f>SUM(C11:L11)</f>
        <v>17</v>
      </c>
    </row>
    <row r="12" spans="1:13" x14ac:dyDescent="0.25">
      <c r="A12" s="15"/>
      <c r="B12" s="1" t="s">
        <v>11</v>
      </c>
      <c r="C12" s="3"/>
      <c r="D12" s="3">
        <v>7.15</v>
      </c>
      <c r="E12" s="3"/>
      <c r="F12" s="3">
        <v>13.45</v>
      </c>
      <c r="G12" s="3"/>
      <c r="H12" s="3">
        <v>6.5</v>
      </c>
      <c r="I12" s="3"/>
      <c r="J12" s="3"/>
      <c r="K12" s="3"/>
      <c r="L12" s="3"/>
      <c r="M12" s="2">
        <f>8+13+6.58</f>
        <v>27.58</v>
      </c>
    </row>
    <row r="13" spans="1:13" x14ac:dyDescent="0.25">
      <c r="A13" s="15"/>
      <c r="B13" s="1" t="s">
        <v>12</v>
      </c>
      <c r="C13" s="3"/>
      <c r="D13" s="3">
        <v>0.45</v>
      </c>
      <c r="E13" s="3">
        <v>0.45</v>
      </c>
      <c r="F13" s="3">
        <v>2.15</v>
      </c>
      <c r="G13" s="3"/>
      <c r="H13" s="3">
        <v>1.45</v>
      </c>
      <c r="I13" s="3"/>
      <c r="J13" s="3"/>
      <c r="K13" s="3"/>
      <c r="L13" s="3"/>
      <c r="M13" s="2">
        <f>1.5+3+1</f>
        <v>5.5</v>
      </c>
    </row>
    <row r="14" spans="1:13" x14ac:dyDescent="0.25">
      <c r="A14" s="15"/>
      <c r="B14" s="1" t="s">
        <v>13</v>
      </c>
      <c r="C14" s="3">
        <f>8.5+8</f>
        <v>16.5</v>
      </c>
      <c r="D14" s="3"/>
      <c r="E14" s="3"/>
      <c r="F14" s="3">
        <f>14+8+9</f>
        <v>31</v>
      </c>
      <c r="G14" s="3">
        <f>6.15+9</f>
        <v>15.15</v>
      </c>
      <c r="H14" s="3">
        <v>10</v>
      </c>
      <c r="I14" s="3">
        <v>8</v>
      </c>
      <c r="J14" s="3"/>
      <c r="K14" s="3"/>
      <c r="L14" s="3"/>
      <c r="M14" s="2">
        <f>SUM(C14:L14)</f>
        <v>80.650000000000006</v>
      </c>
    </row>
    <row r="15" spans="1:13" x14ac:dyDescent="0.25">
      <c r="A15" s="15"/>
      <c r="B15" s="1" t="s">
        <v>14</v>
      </c>
      <c r="C15" s="3">
        <v>25</v>
      </c>
      <c r="D15" s="3">
        <v>1.1499999999999999</v>
      </c>
      <c r="E15" s="3">
        <v>1.1499999999999999</v>
      </c>
      <c r="F15" s="3">
        <v>18.100000000000001</v>
      </c>
      <c r="G15" s="3"/>
      <c r="H15" s="3">
        <v>115.4</v>
      </c>
      <c r="I15" s="3">
        <v>110.5</v>
      </c>
      <c r="J15" s="3"/>
      <c r="K15" s="3"/>
      <c r="L15" s="3"/>
      <c r="M15" s="2">
        <f>25+2.5+19+115+110.5</f>
        <v>272</v>
      </c>
    </row>
    <row r="16" spans="1:13" x14ac:dyDescent="0.25">
      <c r="A16" s="15"/>
      <c r="B16" s="1" t="s">
        <v>20</v>
      </c>
      <c r="C16" s="3">
        <v>1</v>
      </c>
      <c r="D16" s="3"/>
      <c r="E16" s="3"/>
      <c r="F16" s="3">
        <v>3</v>
      </c>
      <c r="G16" s="3">
        <v>3</v>
      </c>
      <c r="H16" s="3"/>
      <c r="I16" s="3">
        <v>2.5</v>
      </c>
      <c r="J16" s="3"/>
      <c r="K16" s="3"/>
      <c r="L16" s="3"/>
      <c r="M16" s="2">
        <f>SUM(C16:L16)</f>
        <v>9.5</v>
      </c>
    </row>
    <row r="17" spans="1:13" x14ac:dyDescent="0.25">
      <c r="A17" s="15"/>
      <c r="B17" s="1" t="s">
        <v>21</v>
      </c>
      <c r="C17" s="3"/>
      <c r="D17" s="3"/>
      <c r="E17" s="3"/>
      <c r="F17" s="3"/>
      <c r="G17" s="3"/>
      <c r="H17" s="3"/>
      <c r="I17" s="3">
        <v>5</v>
      </c>
      <c r="J17" s="3"/>
      <c r="K17" s="4">
        <v>5</v>
      </c>
      <c r="L17" s="3"/>
      <c r="M17" s="2">
        <f>SUM(C17:L17)</f>
        <v>10</v>
      </c>
    </row>
    <row r="18" spans="1:13" x14ac:dyDescent="0.25">
      <c r="A18" s="15"/>
      <c r="B18" s="1" t="s">
        <v>24</v>
      </c>
      <c r="C18" s="3"/>
      <c r="D18" s="3"/>
      <c r="E18" s="3"/>
      <c r="F18" s="3"/>
      <c r="G18" s="3"/>
      <c r="H18" s="3"/>
      <c r="I18" s="3"/>
      <c r="J18" s="4">
        <v>1.45</v>
      </c>
      <c r="K18" s="3"/>
      <c r="L18" s="3"/>
      <c r="M18" s="2">
        <f>SUM(C18:L18)</f>
        <v>1.45</v>
      </c>
    </row>
    <row r="19" spans="1:13" x14ac:dyDescent="0.25">
      <c r="A19" s="15"/>
      <c r="B19" s="1" t="s">
        <v>25</v>
      </c>
      <c r="C19" s="3"/>
      <c r="D19" s="3"/>
      <c r="E19" s="3"/>
      <c r="F19" s="3">
        <v>2</v>
      </c>
      <c r="G19" s="3"/>
      <c r="H19" s="3"/>
      <c r="I19" s="3"/>
      <c r="J19" s="3"/>
      <c r="K19" s="3"/>
      <c r="L19" s="3"/>
      <c r="M19" s="2">
        <f>SUM(C19:L19)</f>
        <v>2</v>
      </c>
    </row>
    <row r="20" spans="1:13" x14ac:dyDescent="0.25">
      <c r="A20" s="15"/>
      <c r="B20" s="1" t="s">
        <v>26</v>
      </c>
      <c r="C20" s="3"/>
      <c r="D20" s="3"/>
      <c r="E20" s="3"/>
      <c r="F20" s="3">
        <v>4</v>
      </c>
      <c r="G20" s="3">
        <v>3</v>
      </c>
      <c r="H20" s="3"/>
      <c r="I20" s="3"/>
      <c r="J20" s="3"/>
      <c r="K20" s="3"/>
      <c r="L20" s="3"/>
      <c r="M20" s="2">
        <f>SUM(C20:L20)</f>
        <v>7</v>
      </c>
    </row>
    <row r="21" spans="1:13" x14ac:dyDescent="0.25">
      <c r="A21" s="15"/>
      <c r="B21" s="1" t="s">
        <v>27</v>
      </c>
      <c r="C21" s="3"/>
      <c r="D21" s="3">
        <v>1.4</v>
      </c>
      <c r="E21" s="3">
        <v>1.4</v>
      </c>
      <c r="F21" s="3"/>
      <c r="G21" s="3"/>
      <c r="H21" s="3"/>
      <c r="I21" s="3"/>
      <c r="J21" s="3"/>
      <c r="K21" s="3"/>
      <c r="L21" s="3"/>
      <c r="M21" s="2">
        <v>3.5</v>
      </c>
    </row>
    <row r="22" spans="1:13" x14ac:dyDescent="0.25">
      <c r="A22" s="15"/>
      <c r="B22" s="1" t="s">
        <v>28</v>
      </c>
      <c r="C22" s="3"/>
      <c r="D22" s="3"/>
      <c r="E22" s="3"/>
      <c r="F22" s="3">
        <v>3</v>
      </c>
      <c r="G22" s="3">
        <v>3</v>
      </c>
      <c r="H22" s="3"/>
      <c r="I22" s="3"/>
      <c r="J22" s="3"/>
      <c r="K22" s="3"/>
      <c r="L22" s="3"/>
      <c r="M22" s="2">
        <f>3+3</f>
        <v>6</v>
      </c>
    </row>
    <row r="23" spans="1:13" x14ac:dyDescent="0.25">
      <c r="A23" s="15"/>
      <c r="B23" s="1" t="s">
        <v>29</v>
      </c>
      <c r="C23" s="3"/>
      <c r="D23" s="3"/>
      <c r="E23" s="3"/>
      <c r="F23" s="3">
        <v>9.5</v>
      </c>
      <c r="G23" s="3">
        <v>14.5</v>
      </c>
      <c r="H23" s="3"/>
      <c r="I23" s="3"/>
      <c r="J23" s="3"/>
      <c r="K23" s="3"/>
      <c r="L23" s="3"/>
      <c r="M23" s="2">
        <f>SUM(C23:L23)</f>
        <v>24</v>
      </c>
    </row>
    <row r="24" spans="1:13" x14ac:dyDescent="0.25">
      <c r="A24" s="15"/>
      <c r="B24" s="1" t="s">
        <v>30</v>
      </c>
      <c r="C24" s="3"/>
      <c r="D24" s="3">
        <v>1.5</v>
      </c>
      <c r="E24" s="3">
        <v>1.5</v>
      </c>
      <c r="F24" s="3"/>
      <c r="G24" s="3"/>
      <c r="H24" s="3"/>
      <c r="I24" s="3"/>
      <c r="J24" s="3"/>
      <c r="K24" s="3"/>
      <c r="L24" s="3"/>
      <c r="M24" s="2">
        <f>SUM(C24:L24)</f>
        <v>3</v>
      </c>
    </row>
    <row r="25" spans="1:13" x14ac:dyDescent="0.25">
      <c r="A25" s="15"/>
      <c r="B25" s="1" t="s">
        <v>32</v>
      </c>
      <c r="C25" s="3"/>
      <c r="D25" s="3">
        <v>21.4</v>
      </c>
      <c r="E25" s="3">
        <v>17.399999999999999</v>
      </c>
      <c r="F25" s="3"/>
      <c r="G25" s="3"/>
      <c r="H25" s="3"/>
      <c r="I25" s="3"/>
      <c r="J25" s="3"/>
      <c r="K25" s="3"/>
      <c r="L25" s="3"/>
      <c r="M25" s="2">
        <f>21+17+1.5</f>
        <v>39.5</v>
      </c>
    </row>
    <row r="26" spans="1:13" x14ac:dyDescent="0.25">
      <c r="A26" s="15"/>
      <c r="B26" s="1" t="s">
        <v>33</v>
      </c>
      <c r="C26" s="3"/>
      <c r="D26" s="3">
        <v>3.15</v>
      </c>
      <c r="E26" s="3">
        <v>0.5</v>
      </c>
      <c r="F26" s="3"/>
      <c r="G26" s="3"/>
      <c r="H26" s="3"/>
      <c r="I26" s="3"/>
      <c r="J26" s="3"/>
      <c r="K26" s="3"/>
      <c r="L26" s="3"/>
      <c r="M26" s="2">
        <v>3.45</v>
      </c>
    </row>
    <row r="27" spans="1:13" x14ac:dyDescent="0.25">
      <c r="A27" s="15"/>
      <c r="B27" s="1" t="s">
        <v>50</v>
      </c>
      <c r="C27" s="3"/>
      <c r="D27" s="3">
        <v>0.5</v>
      </c>
      <c r="E27" s="3">
        <v>0.5</v>
      </c>
      <c r="F27" s="3"/>
      <c r="G27" s="3"/>
      <c r="H27" s="3"/>
      <c r="I27" s="3"/>
      <c r="J27" s="3"/>
      <c r="K27" s="3"/>
      <c r="L27" s="3"/>
      <c r="M27" s="2">
        <v>1</v>
      </c>
    </row>
    <row r="29" spans="1:13" x14ac:dyDescent="0.25">
      <c r="B29" s="17" t="s">
        <v>49</v>
      </c>
      <c r="C29" s="17"/>
    </row>
    <row r="30" spans="1:13" x14ac:dyDescent="0.25">
      <c r="B30" s="18" t="s">
        <v>63</v>
      </c>
      <c r="C30" s="18"/>
      <c r="D30" s="18"/>
    </row>
    <row r="33" spans="1:13" x14ac:dyDescent="0.25">
      <c r="A33" s="15" t="s">
        <v>48</v>
      </c>
      <c r="B33" s="2" t="s">
        <v>47</v>
      </c>
      <c r="C33" s="2" t="s">
        <v>36</v>
      </c>
      <c r="D33" s="2" t="s">
        <v>37</v>
      </c>
      <c r="E33" s="2" t="s">
        <v>38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K33" s="2" t="s">
        <v>44</v>
      </c>
      <c r="L33" s="2" t="s">
        <v>45</v>
      </c>
      <c r="M33" s="2" t="s">
        <v>51</v>
      </c>
    </row>
    <row r="34" spans="1:13" x14ac:dyDescent="0.25">
      <c r="A34" s="15"/>
      <c r="B34" s="1" t="s">
        <v>7</v>
      </c>
      <c r="C34" s="3"/>
      <c r="D34" s="4">
        <f>17+5.45</f>
        <v>22.45</v>
      </c>
      <c r="E34" s="4">
        <f>34+7</f>
        <v>41</v>
      </c>
      <c r="F34" s="3"/>
      <c r="G34" s="5">
        <v>11.15</v>
      </c>
      <c r="H34" s="5">
        <v>18.149999999999999</v>
      </c>
      <c r="I34" s="3"/>
      <c r="J34" s="3">
        <f>116+8</f>
        <v>124</v>
      </c>
      <c r="K34" s="3">
        <f>90.5+16.5</f>
        <v>107</v>
      </c>
      <c r="L34" s="3">
        <f>77.5+56</f>
        <v>133.5</v>
      </c>
      <c r="M34" s="2">
        <f>22.45+41+11+18+124+107+134</f>
        <v>457.45</v>
      </c>
    </row>
    <row r="35" spans="1:13" x14ac:dyDescent="0.25">
      <c r="A35" s="15"/>
      <c r="B35" s="1" t="s">
        <v>15</v>
      </c>
      <c r="C35" s="3"/>
      <c r="D35" s="3"/>
      <c r="E35" s="3"/>
      <c r="F35" s="3"/>
      <c r="G35" s="3"/>
      <c r="H35" s="5">
        <v>1.5</v>
      </c>
      <c r="I35" s="3"/>
      <c r="J35" s="3">
        <v>3</v>
      </c>
      <c r="K35" s="3">
        <v>4</v>
      </c>
      <c r="L35" s="3"/>
      <c r="M35" s="2">
        <f t="shared" ref="M35:M44" si="0">SUM(C35:L35)</f>
        <v>8.5</v>
      </c>
    </row>
    <row r="36" spans="1:13" x14ac:dyDescent="0.25">
      <c r="A36" s="15"/>
      <c r="B36" s="1" t="s">
        <v>16</v>
      </c>
      <c r="C36" s="3"/>
      <c r="D36" s="3"/>
      <c r="E36" s="3"/>
      <c r="F36" s="3"/>
      <c r="G36" s="3"/>
      <c r="H36" s="5">
        <v>1</v>
      </c>
      <c r="I36" s="3"/>
      <c r="J36" s="3">
        <v>0.15</v>
      </c>
      <c r="K36" s="3">
        <v>2</v>
      </c>
      <c r="L36" s="3"/>
      <c r="M36" s="2">
        <f t="shared" si="0"/>
        <v>3.15</v>
      </c>
    </row>
    <row r="37" spans="1:13" x14ac:dyDescent="0.25">
      <c r="A37" s="15"/>
      <c r="B37" s="1" t="s">
        <v>17</v>
      </c>
      <c r="C37" s="3"/>
      <c r="D37" s="3"/>
      <c r="E37" s="3"/>
      <c r="F37" s="3"/>
      <c r="G37" s="3"/>
      <c r="H37" s="3"/>
      <c r="I37" s="3"/>
      <c r="J37" s="3">
        <v>4</v>
      </c>
      <c r="K37" s="3">
        <v>7.5</v>
      </c>
      <c r="L37" s="3">
        <v>7.5</v>
      </c>
      <c r="M37" s="2">
        <f t="shared" si="0"/>
        <v>19</v>
      </c>
    </row>
    <row r="38" spans="1:13" x14ac:dyDescent="0.25">
      <c r="A38" s="15"/>
      <c r="B38" s="1" t="s">
        <v>18</v>
      </c>
      <c r="C38" s="3"/>
      <c r="D38" s="3"/>
      <c r="E38" s="3"/>
      <c r="F38" s="3"/>
      <c r="G38" s="3"/>
      <c r="H38" s="5">
        <v>2</v>
      </c>
      <c r="I38" s="3"/>
      <c r="J38" s="3">
        <v>17</v>
      </c>
      <c r="K38" s="3">
        <v>32.5</v>
      </c>
      <c r="L38" s="3">
        <v>31.5</v>
      </c>
      <c r="M38" s="2">
        <f t="shared" si="0"/>
        <v>83</v>
      </c>
    </row>
    <row r="39" spans="1:13" x14ac:dyDescent="0.25">
      <c r="A39" s="15"/>
      <c r="B39" s="1" t="s">
        <v>19</v>
      </c>
      <c r="C39" s="3"/>
      <c r="D39" s="3"/>
      <c r="E39" s="3"/>
      <c r="F39" s="3"/>
      <c r="G39" s="3"/>
      <c r="H39" s="5">
        <v>6.5</v>
      </c>
      <c r="I39" s="3"/>
      <c r="J39" s="3"/>
      <c r="K39" s="3"/>
      <c r="L39" s="3"/>
      <c r="M39" s="2">
        <f t="shared" si="0"/>
        <v>6.5</v>
      </c>
    </row>
    <row r="40" spans="1:13" x14ac:dyDescent="0.25">
      <c r="A40" s="15"/>
      <c r="B40" s="1" t="s">
        <v>22</v>
      </c>
      <c r="C40" s="3"/>
      <c r="D40" s="3"/>
      <c r="E40" s="3"/>
      <c r="F40" s="3"/>
      <c r="G40" s="3"/>
      <c r="H40" s="3"/>
      <c r="I40" s="3"/>
      <c r="J40" s="3">
        <v>1.5</v>
      </c>
      <c r="K40" s="3">
        <v>5.5</v>
      </c>
      <c r="L40" s="3"/>
      <c r="M40" s="2">
        <f t="shared" si="0"/>
        <v>7</v>
      </c>
    </row>
    <row r="41" spans="1:13" x14ac:dyDescent="0.25">
      <c r="A41" s="15"/>
      <c r="B41" s="1" t="s">
        <v>23</v>
      </c>
      <c r="C41" s="3"/>
      <c r="D41" s="3"/>
      <c r="E41" s="3"/>
      <c r="F41" s="3"/>
      <c r="G41" s="3"/>
      <c r="H41" s="3"/>
      <c r="I41" s="3"/>
      <c r="J41" s="3">
        <v>2</v>
      </c>
      <c r="K41" s="3">
        <v>4.5</v>
      </c>
      <c r="L41" s="3"/>
      <c r="M41" s="2">
        <f t="shared" si="0"/>
        <v>6.5</v>
      </c>
    </row>
    <row r="42" spans="1:13" x14ac:dyDescent="0.25">
      <c r="A42" s="15"/>
      <c r="B42" s="1" t="s">
        <v>31</v>
      </c>
      <c r="C42" s="3"/>
      <c r="D42" s="3"/>
      <c r="E42" s="3"/>
      <c r="F42" s="3"/>
      <c r="G42" s="3"/>
      <c r="H42" s="3"/>
      <c r="I42" s="3"/>
      <c r="J42" s="3">
        <v>0.5</v>
      </c>
      <c r="K42" s="3"/>
      <c r="L42" s="3">
        <v>0.5</v>
      </c>
      <c r="M42" s="2">
        <f t="shared" si="0"/>
        <v>1</v>
      </c>
    </row>
    <row r="43" spans="1:13" x14ac:dyDescent="0.25">
      <c r="A43" s="15"/>
      <c r="B43" s="1" t="s">
        <v>34</v>
      </c>
      <c r="C43" s="3"/>
      <c r="D43" s="4">
        <v>1.5</v>
      </c>
      <c r="E43" s="3"/>
      <c r="F43" s="3"/>
      <c r="G43" s="3"/>
      <c r="H43" s="3"/>
      <c r="I43" s="3"/>
      <c r="J43" s="3"/>
      <c r="K43" s="3"/>
      <c r="L43" s="3"/>
      <c r="M43" s="2">
        <f t="shared" si="0"/>
        <v>1.5</v>
      </c>
    </row>
    <row r="44" spans="1:13" x14ac:dyDescent="0.25">
      <c r="A44" s="15"/>
      <c r="B44" s="1" t="s">
        <v>35</v>
      </c>
      <c r="C44" s="3"/>
      <c r="D44" s="3"/>
      <c r="E44" s="3"/>
      <c r="F44" s="3"/>
      <c r="G44" s="3"/>
      <c r="H44" s="3"/>
      <c r="I44" s="3"/>
      <c r="J44" s="3"/>
      <c r="K44" s="3">
        <v>1.5</v>
      </c>
      <c r="L44" s="3"/>
      <c r="M44" s="2">
        <f t="shared" si="0"/>
        <v>1.5</v>
      </c>
    </row>
    <row r="46" spans="1:13" x14ac:dyDescent="0.25">
      <c r="B46" s="8" t="s">
        <v>60</v>
      </c>
      <c r="C46" s="8"/>
    </row>
    <row r="47" spans="1:13" x14ac:dyDescent="0.25">
      <c r="B47" s="7" t="s">
        <v>61</v>
      </c>
      <c r="C47" s="7"/>
    </row>
    <row r="49" spans="1:5" x14ac:dyDescent="0.25">
      <c r="A49" s="15" t="s">
        <v>48</v>
      </c>
      <c r="B49" s="2" t="s">
        <v>53</v>
      </c>
      <c r="C49" s="2" t="s">
        <v>37</v>
      </c>
      <c r="D49" s="2" t="s">
        <v>38</v>
      </c>
      <c r="E49" s="12" t="s">
        <v>55</v>
      </c>
    </row>
    <row r="50" spans="1:5" x14ac:dyDescent="0.25">
      <c r="A50" s="15"/>
      <c r="B50" s="1" t="s">
        <v>0</v>
      </c>
      <c r="C50" s="3">
        <v>2</v>
      </c>
      <c r="D50" s="3">
        <v>2</v>
      </c>
      <c r="E50" s="2">
        <v>4</v>
      </c>
    </row>
    <row r="51" spans="1:5" x14ac:dyDescent="0.25">
      <c r="A51" s="15"/>
      <c r="B51" s="1" t="s">
        <v>4</v>
      </c>
      <c r="C51" s="3">
        <v>1</v>
      </c>
      <c r="D51" s="3"/>
      <c r="E51" s="2">
        <v>1</v>
      </c>
    </row>
    <row r="52" spans="1:5" x14ac:dyDescent="0.25">
      <c r="A52" s="15"/>
      <c r="B52" s="1" t="s">
        <v>5</v>
      </c>
      <c r="C52" s="3">
        <v>8.4</v>
      </c>
      <c r="D52" s="3">
        <v>1</v>
      </c>
      <c r="E52" s="2">
        <v>9.4</v>
      </c>
    </row>
    <row r="53" spans="1:5" x14ac:dyDescent="0.25">
      <c r="A53" s="15"/>
      <c r="B53" s="1" t="s">
        <v>6</v>
      </c>
      <c r="C53" s="3">
        <v>46.5</v>
      </c>
      <c r="D53" s="3">
        <v>44.1</v>
      </c>
      <c r="E53" s="2">
        <f>44+44+1</f>
        <v>89</v>
      </c>
    </row>
    <row r="54" spans="1:5" x14ac:dyDescent="0.25">
      <c r="A54" s="15"/>
      <c r="B54" s="1" t="s">
        <v>8</v>
      </c>
      <c r="C54" s="3">
        <v>30.15</v>
      </c>
      <c r="D54" s="3">
        <v>11.4</v>
      </c>
      <c r="E54" s="2">
        <f>30+11+1</f>
        <v>42</v>
      </c>
    </row>
    <row r="55" spans="1:5" x14ac:dyDescent="0.25">
      <c r="A55" s="15"/>
      <c r="B55" s="1" t="s">
        <v>9</v>
      </c>
      <c r="C55" s="3">
        <v>2.1</v>
      </c>
      <c r="D55" s="3"/>
      <c r="E55" s="2">
        <v>2.1</v>
      </c>
    </row>
    <row r="56" spans="1:5" x14ac:dyDescent="0.25">
      <c r="A56" s="15"/>
      <c r="B56" s="1" t="s">
        <v>10</v>
      </c>
      <c r="C56" s="3">
        <v>11</v>
      </c>
      <c r="D56" s="3">
        <v>6</v>
      </c>
      <c r="E56" s="2">
        <f>11+6</f>
        <v>17</v>
      </c>
    </row>
    <row r="57" spans="1:5" x14ac:dyDescent="0.25">
      <c r="A57" s="15"/>
      <c r="B57" s="1" t="s">
        <v>11</v>
      </c>
      <c r="C57" s="3">
        <v>7.15</v>
      </c>
      <c r="D57" s="3"/>
      <c r="E57" s="2">
        <v>7.15</v>
      </c>
    </row>
    <row r="58" spans="1:5" x14ac:dyDescent="0.25">
      <c r="A58" s="15"/>
      <c r="B58" s="1" t="s">
        <v>12</v>
      </c>
      <c r="C58" s="3">
        <v>0.45</v>
      </c>
      <c r="D58" s="3">
        <v>0.45</v>
      </c>
      <c r="E58" s="2">
        <v>1.5</v>
      </c>
    </row>
    <row r="59" spans="1:5" x14ac:dyDescent="0.25">
      <c r="A59" s="15"/>
      <c r="B59" s="1" t="s">
        <v>14</v>
      </c>
      <c r="C59" s="3">
        <v>1.1499999999999999</v>
      </c>
      <c r="D59" s="3">
        <v>1.1499999999999999</v>
      </c>
      <c r="E59" s="2">
        <v>2.5</v>
      </c>
    </row>
    <row r="60" spans="1:5" x14ac:dyDescent="0.25">
      <c r="A60" s="15"/>
      <c r="B60" s="1" t="s">
        <v>27</v>
      </c>
      <c r="C60" s="3">
        <v>1.4</v>
      </c>
      <c r="D60" s="3">
        <v>1.4</v>
      </c>
      <c r="E60" s="2">
        <v>3.5</v>
      </c>
    </row>
    <row r="61" spans="1:5" x14ac:dyDescent="0.25">
      <c r="A61" s="15"/>
      <c r="B61" s="1" t="s">
        <v>30</v>
      </c>
      <c r="C61" s="3">
        <v>1.5</v>
      </c>
      <c r="D61" s="3">
        <v>1.5</v>
      </c>
      <c r="E61" s="2">
        <v>3</v>
      </c>
    </row>
    <row r="62" spans="1:5" x14ac:dyDescent="0.25">
      <c r="A62" s="15"/>
      <c r="B62" s="1" t="s">
        <v>33</v>
      </c>
      <c r="C62" s="3">
        <v>3.15</v>
      </c>
      <c r="D62" s="3">
        <v>0.5</v>
      </c>
      <c r="E62" s="2">
        <v>3.45</v>
      </c>
    </row>
    <row r="63" spans="1:5" x14ac:dyDescent="0.25">
      <c r="A63" s="15"/>
      <c r="B63" s="1" t="s">
        <v>50</v>
      </c>
      <c r="C63" s="3">
        <v>0.5</v>
      </c>
      <c r="D63" s="3">
        <v>0.5</v>
      </c>
      <c r="E63" s="2">
        <v>1</v>
      </c>
    </row>
    <row r="66" spans="1:14" ht="45" x14ac:dyDescent="0.25">
      <c r="A66" s="14" t="s">
        <v>59</v>
      </c>
      <c r="B66" s="9" t="s">
        <v>52</v>
      </c>
      <c r="C66" s="2" t="s">
        <v>37</v>
      </c>
      <c r="D66" s="2" t="s">
        <v>38</v>
      </c>
      <c r="E66" s="2" t="s">
        <v>39</v>
      </c>
      <c r="F66" s="2" t="s">
        <v>40</v>
      </c>
      <c r="G66" s="2" t="s">
        <v>41</v>
      </c>
      <c r="H66" s="2" t="s">
        <v>42</v>
      </c>
      <c r="I66" s="2" t="s">
        <v>43</v>
      </c>
      <c r="J66" s="2" t="s">
        <v>44</v>
      </c>
      <c r="K66" s="2" t="s">
        <v>45</v>
      </c>
      <c r="L66" s="13" t="s">
        <v>56</v>
      </c>
      <c r="M66" s="13" t="s">
        <v>57</v>
      </c>
      <c r="N66" s="13" t="s">
        <v>58</v>
      </c>
    </row>
    <row r="67" spans="1:14" x14ac:dyDescent="0.25">
      <c r="A67" s="14"/>
      <c r="B67" s="1" t="s">
        <v>32</v>
      </c>
      <c r="C67" s="3">
        <v>21.4</v>
      </c>
      <c r="D67" s="3">
        <v>17.399999999999999</v>
      </c>
      <c r="E67" s="1"/>
      <c r="F67" s="1"/>
      <c r="G67" s="1"/>
      <c r="H67" s="1"/>
      <c r="I67" s="1"/>
      <c r="J67" s="1"/>
      <c r="K67" s="1"/>
      <c r="L67" s="3">
        <f>21+17+1.5</f>
        <v>39.5</v>
      </c>
      <c r="M67" s="1"/>
      <c r="N67" s="3"/>
    </row>
    <row r="68" spans="1:14" x14ac:dyDescent="0.25">
      <c r="A68" s="14"/>
      <c r="B68" s="1" t="s">
        <v>8</v>
      </c>
      <c r="C68" s="3">
        <v>30.15</v>
      </c>
      <c r="D68" s="3">
        <v>11.4</v>
      </c>
      <c r="E68" s="16">
        <v>9</v>
      </c>
      <c r="F68" s="3"/>
      <c r="G68" s="16">
        <v>12</v>
      </c>
      <c r="H68" s="3"/>
      <c r="I68" s="1"/>
      <c r="J68" s="1"/>
      <c r="K68" s="1"/>
      <c r="L68" s="3">
        <f>30+11+1+9+12</f>
        <v>63</v>
      </c>
      <c r="M68" s="3">
        <f>+E68+G68</f>
        <v>21</v>
      </c>
      <c r="N68" s="3"/>
    </row>
    <row r="70" spans="1:14" x14ac:dyDescent="0.25">
      <c r="B70" s="11" t="s">
        <v>54</v>
      </c>
      <c r="C70" s="11"/>
      <c r="D70" s="11"/>
    </row>
    <row r="71" spans="1:14" x14ac:dyDescent="0.25">
      <c r="B71" s="10" t="s">
        <v>62</v>
      </c>
      <c r="C71" s="10"/>
      <c r="D71" s="10"/>
    </row>
  </sheetData>
  <mergeCells count="10">
    <mergeCell ref="B70:D70"/>
    <mergeCell ref="B71:D71"/>
    <mergeCell ref="A66:A68"/>
    <mergeCell ref="B47:C47"/>
    <mergeCell ref="B30:D30"/>
    <mergeCell ref="B29:C29"/>
    <mergeCell ref="B46:C46"/>
    <mergeCell ref="A33:A44"/>
    <mergeCell ref="A1:A27"/>
    <mergeCell ref="A49:A63"/>
  </mergeCells>
  <pageMargins left="0.7" right="0.7" top="0.75" bottom="0.75" header="0.3" footer="0.3"/>
  <pageSetup paperSize="9" scale="4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ENERO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MONTAJES ELECTRICOS</dc:creator>
  <cp:lastModifiedBy>TESLA MONTAJES ELECTRICOS</cp:lastModifiedBy>
  <cp:lastPrinted>2026-02-05T14:21:46Z</cp:lastPrinted>
  <dcterms:created xsi:type="dcterms:W3CDTF">2026-01-30T11:17:55Z</dcterms:created>
  <dcterms:modified xsi:type="dcterms:W3CDTF">2026-02-05T14:51:48Z</dcterms:modified>
</cp:coreProperties>
</file>